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LSETF_GIZ\"/>
    </mc:Choice>
  </mc:AlternateContent>
  <xr:revisionPtr revIDLastSave="0" documentId="13_ncr:1_{B49D2266-0DD4-4294-A7F9-04BF550CB0CB}" xr6:coauthVersionLast="47" xr6:coauthVersionMax="47" xr10:uidLastSave="{00000000-0000-0000-0000-000000000000}"/>
  <bookViews>
    <workbookView xWindow="-110" yWindow="-110" windowWidth="19420" windowHeight="10300" activeTab="1" xr2:uid="{E0839725-55CA-4646-9808-35BD986C71A8}"/>
  </bookViews>
  <sheets>
    <sheet name="Transport Data_Messy" sheetId="2" r:id="rId1"/>
    <sheet name="Tranport Data Cle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67" i="1" l="1"/>
  <c r="E667" i="1"/>
  <c r="C667" i="1"/>
  <c r="N666" i="1"/>
  <c r="E666" i="1"/>
  <c r="C666" i="1"/>
  <c r="N665" i="1"/>
  <c r="E665" i="1"/>
  <c r="C665" i="1"/>
  <c r="N664" i="1"/>
  <c r="E664" i="1"/>
  <c r="C664" i="1"/>
  <c r="N663" i="1"/>
  <c r="E663" i="1"/>
  <c r="C663" i="1"/>
  <c r="N662" i="1"/>
  <c r="E662" i="1"/>
  <c r="C662" i="1"/>
  <c r="N661" i="1"/>
  <c r="E661" i="1"/>
  <c r="C661" i="1"/>
  <c r="N660" i="1"/>
  <c r="E660" i="1"/>
  <c r="C660" i="1"/>
  <c r="N659" i="1"/>
  <c r="E659" i="1"/>
  <c r="C659" i="1"/>
  <c r="N658" i="1"/>
  <c r="E658" i="1"/>
  <c r="C658" i="1"/>
  <c r="N657" i="1"/>
  <c r="E657" i="1"/>
  <c r="C657" i="1"/>
  <c r="N656" i="1"/>
  <c r="E656" i="1"/>
  <c r="C656" i="1"/>
  <c r="N655" i="1"/>
  <c r="E655" i="1"/>
  <c r="C655" i="1"/>
  <c r="N654" i="1"/>
  <c r="E654" i="1"/>
  <c r="C654" i="1"/>
  <c r="N653" i="1"/>
  <c r="E653" i="1"/>
  <c r="C653" i="1"/>
  <c r="N652" i="1"/>
  <c r="E652" i="1"/>
  <c r="C652" i="1"/>
  <c r="N651" i="1"/>
  <c r="E651" i="1"/>
  <c r="C651" i="1"/>
  <c r="N650" i="1"/>
  <c r="E650" i="1"/>
  <c r="C650" i="1"/>
  <c r="N649" i="1"/>
  <c r="E649" i="1"/>
  <c r="C649" i="1"/>
  <c r="N648" i="1"/>
  <c r="E648" i="1"/>
  <c r="C648" i="1"/>
  <c r="N647" i="1"/>
  <c r="E647" i="1"/>
  <c r="C647" i="1"/>
  <c r="N646" i="1"/>
  <c r="E646" i="1"/>
  <c r="C646" i="1"/>
  <c r="N645" i="1"/>
  <c r="E645" i="1"/>
  <c r="C645" i="1"/>
  <c r="N644" i="1"/>
  <c r="E644" i="1"/>
  <c r="C644" i="1"/>
  <c r="N643" i="1"/>
  <c r="E643" i="1"/>
  <c r="C643" i="1"/>
  <c r="N642" i="1"/>
  <c r="E642" i="1"/>
  <c r="C642" i="1"/>
  <c r="N641" i="1"/>
  <c r="E641" i="1"/>
  <c r="C641" i="1"/>
  <c r="N640" i="1"/>
  <c r="E640" i="1"/>
  <c r="C640" i="1"/>
  <c r="N639" i="1"/>
  <c r="E639" i="1"/>
  <c r="C639" i="1"/>
  <c r="N638" i="1"/>
  <c r="E638" i="1"/>
  <c r="C638" i="1"/>
  <c r="N637" i="1"/>
  <c r="E637" i="1"/>
  <c r="C637" i="1"/>
  <c r="N636" i="1"/>
  <c r="E636" i="1"/>
  <c r="C636" i="1"/>
  <c r="N635" i="1"/>
  <c r="E635" i="1"/>
  <c r="C635" i="1"/>
  <c r="N634" i="1"/>
  <c r="E634" i="1"/>
  <c r="C634" i="1"/>
  <c r="N633" i="1"/>
  <c r="E633" i="1"/>
  <c r="C633" i="1"/>
  <c r="N632" i="1"/>
  <c r="E632" i="1"/>
  <c r="C632" i="1"/>
  <c r="N631" i="1"/>
  <c r="E631" i="1"/>
  <c r="C631" i="1"/>
  <c r="N630" i="1"/>
  <c r="E630" i="1"/>
  <c r="C630" i="1"/>
  <c r="N629" i="1"/>
  <c r="E629" i="1"/>
  <c r="C629" i="1"/>
  <c r="N628" i="1"/>
  <c r="E628" i="1"/>
  <c r="C628" i="1"/>
  <c r="N627" i="1"/>
  <c r="E627" i="1"/>
  <c r="C627" i="1"/>
  <c r="N626" i="1"/>
  <c r="E626" i="1"/>
  <c r="C626" i="1"/>
  <c r="N625" i="1"/>
  <c r="E625" i="1"/>
  <c r="C625" i="1"/>
  <c r="N624" i="1"/>
  <c r="E624" i="1"/>
  <c r="C624" i="1"/>
  <c r="N623" i="1"/>
  <c r="E623" i="1"/>
  <c r="C623" i="1"/>
  <c r="N622" i="1"/>
  <c r="E622" i="1"/>
  <c r="C622" i="1"/>
  <c r="N621" i="1"/>
  <c r="E621" i="1"/>
  <c r="C621" i="1"/>
  <c r="N620" i="1"/>
  <c r="E620" i="1"/>
  <c r="C620" i="1"/>
  <c r="N619" i="1"/>
  <c r="E619" i="1"/>
  <c r="C619" i="1"/>
  <c r="N618" i="1"/>
  <c r="E618" i="1"/>
  <c r="C618" i="1"/>
  <c r="N617" i="1"/>
  <c r="E617" i="1"/>
  <c r="C617" i="1"/>
  <c r="N616" i="1"/>
  <c r="E616" i="1"/>
  <c r="C616" i="1"/>
  <c r="N615" i="1"/>
  <c r="E615" i="1"/>
  <c r="C615" i="1"/>
  <c r="N614" i="1"/>
  <c r="E614" i="1"/>
  <c r="C614" i="1"/>
  <c r="N613" i="1"/>
  <c r="E613" i="1"/>
  <c r="C613" i="1"/>
  <c r="N612" i="1"/>
  <c r="E612" i="1"/>
  <c r="C612" i="1"/>
  <c r="N611" i="1"/>
  <c r="E611" i="1"/>
  <c r="C611" i="1"/>
  <c r="N610" i="1"/>
  <c r="E610" i="1"/>
  <c r="C610" i="1"/>
  <c r="N609" i="1"/>
  <c r="E609" i="1"/>
  <c r="C609" i="1"/>
  <c r="N608" i="1"/>
  <c r="E608" i="1"/>
  <c r="C608" i="1"/>
  <c r="N607" i="1"/>
  <c r="E607" i="1"/>
  <c r="C607" i="1"/>
  <c r="N606" i="1"/>
  <c r="E606" i="1"/>
  <c r="C606" i="1"/>
  <c r="N605" i="1"/>
  <c r="E605" i="1"/>
  <c r="C605" i="1"/>
  <c r="N604" i="1"/>
  <c r="E604" i="1"/>
  <c r="C604" i="1"/>
  <c r="N603" i="1"/>
  <c r="E603" i="1"/>
  <c r="C603" i="1"/>
  <c r="N602" i="1"/>
  <c r="E602" i="1"/>
  <c r="C602" i="1"/>
  <c r="N601" i="1"/>
  <c r="E601" i="1"/>
  <c r="C601" i="1"/>
  <c r="N600" i="1"/>
  <c r="E600" i="1"/>
  <c r="C600" i="1"/>
  <c r="N599" i="1"/>
  <c r="E599" i="1"/>
  <c r="C599" i="1"/>
  <c r="N598" i="1"/>
  <c r="E598" i="1"/>
  <c r="C598" i="1"/>
  <c r="N597" i="1"/>
  <c r="E597" i="1"/>
  <c r="C597" i="1"/>
  <c r="N596" i="1"/>
  <c r="E596" i="1"/>
  <c r="C596" i="1"/>
  <c r="N595" i="1"/>
  <c r="E595" i="1"/>
  <c r="C595" i="1"/>
  <c r="N594" i="1"/>
  <c r="E594" i="1"/>
  <c r="C594" i="1"/>
  <c r="N593" i="1"/>
  <c r="E593" i="1"/>
  <c r="C593" i="1"/>
  <c r="N592" i="1"/>
  <c r="E592" i="1"/>
  <c r="C592" i="1"/>
  <c r="N591" i="1"/>
  <c r="E591" i="1"/>
  <c r="C591" i="1"/>
  <c r="N590" i="1"/>
  <c r="E590" i="1"/>
  <c r="C590" i="1"/>
  <c r="N589" i="1"/>
  <c r="E589" i="1"/>
  <c r="C589" i="1"/>
  <c r="N588" i="1"/>
  <c r="E588" i="1"/>
  <c r="C588" i="1"/>
  <c r="N587" i="1"/>
  <c r="E587" i="1"/>
  <c r="C587" i="1"/>
  <c r="N586" i="1"/>
  <c r="E586" i="1"/>
  <c r="C586" i="1"/>
  <c r="N585" i="1"/>
  <c r="E585" i="1"/>
  <c r="C585" i="1"/>
  <c r="N584" i="1"/>
  <c r="E584" i="1"/>
  <c r="C584" i="1"/>
  <c r="N583" i="1"/>
  <c r="E583" i="1"/>
  <c r="C583" i="1"/>
  <c r="N582" i="1"/>
  <c r="E582" i="1"/>
  <c r="C582" i="1"/>
  <c r="N581" i="1"/>
  <c r="E581" i="1"/>
  <c r="C581" i="1"/>
  <c r="N580" i="1"/>
  <c r="E580" i="1"/>
  <c r="C580" i="1"/>
  <c r="N579" i="1"/>
  <c r="E579" i="1"/>
  <c r="C579" i="1"/>
  <c r="N578" i="1"/>
  <c r="E578" i="1"/>
  <c r="C578" i="1"/>
  <c r="N577" i="1"/>
  <c r="E577" i="1"/>
  <c r="C577" i="1"/>
  <c r="N576" i="1"/>
  <c r="E576" i="1"/>
  <c r="C576" i="1"/>
  <c r="N575" i="1"/>
  <c r="E575" i="1"/>
  <c r="C575" i="1"/>
  <c r="N574" i="1"/>
  <c r="E574" i="1"/>
  <c r="C574" i="1"/>
  <c r="N573" i="1"/>
  <c r="E573" i="1"/>
  <c r="C573" i="1"/>
  <c r="N572" i="1"/>
  <c r="E572" i="1"/>
  <c r="C572" i="1"/>
  <c r="N571" i="1"/>
  <c r="E571" i="1"/>
  <c r="C571" i="1"/>
  <c r="N570" i="1"/>
  <c r="E570" i="1"/>
  <c r="C570" i="1"/>
  <c r="N569" i="1"/>
  <c r="E569" i="1"/>
  <c r="C569" i="1"/>
  <c r="N568" i="1"/>
  <c r="E568" i="1"/>
  <c r="C568" i="1"/>
  <c r="N567" i="1"/>
  <c r="E567" i="1"/>
  <c r="C567" i="1"/>
  <c r="N566" i="1"/>
  <c r="E566" i="1"/>
  <c r="C566" i="1"/>
  <c r="N565" i="1"/>
  <c r="E565" i="1"/>
  <c r="C565" i="1"/>
  <c r="N564" i="1"/>
  <c r="E564" i="1"/>
  <c r="C564" i="1"/>
  <c r="N563" i="1"/>
  <c r="E563" i="1"/>
  <c r="C563" i="1"/>
  <c r="N562" i="1"/>
  <c r="E562" i="1"/>
  <c r="C562" i="1"/>
  <c r="N561" i="1"/>
  <c r="E561" i="1"/>
  <c r="C561" i="1"/>
  <c r="N560" i="1"/>
  <c r="E560" i="1"/>
  <c r="C560" i="1"/>
  <c r="N559" i="1"/>
  <c r="E559" i="1"/>
  <c r="C559" i="1"/>
  <c r="N558" i="1"/>
  <c r="E558" i="1"/>
  <c r="C558" i="1"/>
  <c r="N557" i="1"/>
  <c r="E557" i="1"/>
  <c r="C557" i="1"/>
  <c r="N556" i="1"/>
  <c r="E556" i="1"/>
  <c r="C556" i="1"/>
  <c r="N555" i="1"/>
  <c r="E555" i="1"/>
  <c r="C555" i="1"/>
  <c r="N554" i="1"/>
  <c r="E554" i="1"/>
  <c r="C554" i="1"/>
  <c r="N553" i="1"/>
  <c r="E553" i="1"/>
  <c r="C553" i="1"/>
  <c r="N552" i="1"/>
  <c r="E552" i="1"/>
  <c r="C552" i="1"/>
  <c r="N551" i="1"/>
  <c r="E551" i="1"/>
  <c r="C551" i="1"/>
  <c r="N550" i="1"/>
  <c r="E550" i="1"/>
  <c r="C550" i="1"/>
  <c r="N549" i="1"/>
  <c r="E549" i="1"/>
  <c r="C549" i="1"/>
  <c r="N548" i="1"/>
  <c r="E548" i="1"/>
  <c r="C548" i="1"/>
  <c r="N547" i="1"/>
  <c r="E547" i="1"/>
  <c r="C547" i="1"/>
  <c r="N546" i="1"/>
  <c r="E546" i="1"/>
  <c r="C546" i="1"/>
  <c r="N545" i="1"/>
  <c r="E545" i="1"/>
  <c r="C545" i="1"/>
  <c r="N544" i="1"/>
  <c r="E544" i="1"/>
  <c r="C544" i="1"/>
  <c r="N543" i="1"/>
  <c r="E543" i="1"/>
  <c r="C543" i="1"/>
  <c r="N542" i="1"/>
  <c r="E542" i="1"/>
  <c r="C542" i="1"/>
  <c r="N541" i="1"/>
  <c r="E541" i="1"/>
  <c r="C541" i="1"/>
  <c r="N540" i="1"/>
  <c r="E540" i="1"/>
  <c r="C540" i="1"/>
  <c r="N539" i="1"/>
  <c r="E539" i="1"/>
  <c r="C539" i="1"/>
  <c r="N538" i="1"/>
  <c r="E538" i="1"/>
  <c r="C538" i="1"/>
  <c r="N537" i="1"/>
  <c r="E537" i="1"/>
  <c r="C537" i="1"/>
  <c r="N536" i="1"/>
  <c r="E536" i="1"/>
  <c r="C536" i="1"/>
  <c r="N535" i="1"/>
  <c r="E535" i="1"/>
  <c r="C535" i="1"/>
  <c r="N534" i="1"/>
  <c r="E534" i="1"/>
  <c r="C534" i="1"/>
  <c r="N533" i="1"/>
  <c r="E533" i="1"/>
  <c r="C533" i="1"/>
  <c r="N532" i="1"/>
  <c r="E532" i="1"/>
  <c r="C532" i="1"/>
  <c r="N531" i="1"/>
  <c r="E531" i="1"/>
  <c r="C531" i="1"/>
  <c r="N530" i="1"/>
  <c r="E530" i="1"/>
  <c r="C530" i="1"/>
  <c r="N529" i="1"/>
  <c r="E529" i="1"/>
  <c r="C529" i="1"/>
  <c r="N528" i="1"/>
  <c r="E528" i="1"/>
  <c r="C528" i="1"/>
  <c r="N527" i="1"/>
  <c r="E527" i="1"/>
  <c r="C527" i="1"/>
  <c r="N526" i="1"/>
  <c r="E526" i="1"/>
  <c r="C526" i="1"/>
  <c r="N525" i="1"/>
  <c r="E525" i="1"/>
  <c r="C525" i="1"/>
  <c r="N524" i="1"/>
  <c r="E524" i="1"/>
  <c r="C524" i="1"/>
  <c r="N523" i="1"/>
  <c r="E523" i="1"/>
  <c r="C523" i="1"/>
  <c r="N522" i="1"/>
  <c r="E522" i="1"/>
  <c r="C522" i="1"/>
  <c r="N521" i="1"/>
  <c r="E521" i="1"/>
  <c r="C521" i="1"/>
  <c r="N520" i="1"/>
  <c r="E520" i="1"/>
  <c r="C520" i="1"/>
  <c r="N519" i="1"/>
  <c r="E519" i="1"/>
  <c r="C519" i="1"/>
  <c r="N518" i="1"/>
  <c r="E518" i="1"/>
  <c r="C518" i="1"/>
  <c r="N517" i="1"/>
  <c r="E517" i="1"/>
  <c r="C517" i="1"/>
  <c r="N516" i="1"/>
  <c r="E516" i="1"/>
  <c r="C516" i="1"/>
  <c r="N515" i="1"/>
  <c r="E515" i="1"/>
  <c r="C515" i="1"/>
  <c r="N514" i="1"/>
  <c r="E514" i="1"/>
  <c r="C514" i="1"/>
  <c r="N513" i="1"/>
  <c r="E513" i="1"/>
  <c r="C513" i="1"/>
  <c r="N512" i="1"/>
  <c r="E512" i="1"/>
  <c r="C512" i="1"/>
  <c r="N511" i="1"/>
  <c r="E511" i="1"/>
  <c r="C511" i="1"/>
  <c r="N510" i="1"/>
  <c r="E510" i="1"/>
  <c r="C510" i="1"/>
  <c r="N509" i="1"/>
  <c r="E509" i="1"/>
  <c r="C509" i="1"/>
  <c r="N508" i="1"/>
  <c r="E508" i="1"/>
  <c r="C508" i="1"/>
  <c r="N507" i="1"/>
  <c r="E507" i="1"/>
  <c r="C507" i="1"/>
  <c r="N506" i="1"/>
  <c r="E506" i="1"/>
  <c r="C506" i="1"/>
  <c r="N505" i="1"/>
  <c r="E505" i="1"/>
  <c r="C505" i="1"/>
  <c r="N504" i="1"/>
  <c r="E504" i="1"/>
  <c r="C504" i="1"/>
  <c r="N503" i="1"/>
  <c r="E503" i="1"/>
  <c r="C503" i="1"/>
  <c r="N502" i="1"/>
  <c r="E502" i="1"/>
  <c r="C502" i="1"/>
  <c r="N501" i="1"/>
  <c r="E501" i="1"/>
  <c r="C501" i="1"/>
  <c r="N500" i="1"/>
  <c r="E500" i="1"/>
  <c r="C500" i="1"/>
  <c r="N499" i="1"/>
  <c r="E499" i="1"/>
  <c r="C499" i="1"/>
  <c r="N498" i="1"/>
  <c r="E498" i="1"/>
  <c r="C498" i="1"/>
  <c r="N497" i="1"/>
  <c r="E497" i="1"/>
  <c r="C497" i="1"/>
  <c r="N496" i="1"/>
  <c r="E496" i="1"/>
  <c r="C496" i="1"/>
  <c r="N495" i="1"/>
  <c r="E495" i="1"/>
  <c r="C495" i="1"/>
  <c r="N494" i="1"/>
  <c r="E494" i="1"/>
  <c r="C494" i="1"/>
  <c r="N493" i="1"/>
  <c r="E493" i="1"/>
  <c r="C493" i="1"/>
  <c r="N492" i="1"/>
  <c r="E492" i="1"/>
  <c r="C492" i="1"/>
  <c r="N491" i="1"/>
  <c r="E491" i="1"/>
  <c r="C491" i="1"/>
  <c r="N490" i="1"/>
  <c r="E490" i="1"/>
  <c r="C490" i="1"/>
  <c r="N489" i="1"/>
  <c r="E489" i="1"/>
  <c r="C489" i="1"/>
  <c r="N488" i="1"/>
  <c r="E488" i="1"/>
  <c r="C488" i="1"/>
  <c r="N487" i="1"/>
  <c r="E487" i="1"/>
  <c r="C487" i="1"/>
  <c r="N486" i="1"/>
  <c r="E486" i="1"/>
  <c r="C486" i="1"/>
  <c r="N485" i="1"/>
  <c r="E485" i="1"/>
  <c r="C485" i="1"/>
  <c r="N484" i="1"/>
  <c r="E484" i="1"/>
  <c r="C484" i="1"/>
  <c r="N483" i="1"/>
  <c r="E483" i="1"/>
  <c r="C483" i="1"/>
  <c r="N482" i="1"/>
  <c r="E482" i="1"/>
  <c r="C482" i="1"/>
  <c r="N481" i="1"/>
  <c r="E481" i="1"/>
  <c r="C481" i="1"/>
  <c r="N480" i="1"/>
  <c r="E480" i="1"/>
  <c r="C480" i="1"/>
  <c r="N479" i="1"/>
  <c r="E479" i="1"/>
  <c r="C479" i="1"/>
  <c r="N478" i="1"/>
  <c r="E478" i="1"/>
  <c r="C478" i="1"/>
  <c r="N477" i="1"/>
  <c r="E477" i="1"/>
  <c r="C477" i="1"/>
  <c r="N476" i="1"/>
  <c r="E476" i="1"/>
  <c r="C476" i="1"/>
  <c r="N475" i="1"/>
  <c r="E475" i="1"/>
  <c r="C475" i="1"/>
  <c r="N474" i="1"/>
  <c r="E474" i="1"/>
  <c r="C474" i="1"/>
  <c r="N473" i="1"/>
  <c r="E473" i="1"/>
  <c r="C473" i="1"/>
  <c r="N472" i="1"/>
  <c r="E472" i="1"/>
  <c r="C472" i="1"/>
  <c r="N471" i="1"/>
  <c r="E471" i="1"/>
  <c r="C471" i="1"/>
  <c r="N470" i="1"/>
  <c r="E470" i="1"/>
  <c r="C470" i="1"/>
  <c r="N469" i="1"/>
  <c r="E469" i="1"/>
  <c r="C469" i="1"/>
  <c r="N468" i="1"/>
  <c r="E468" i="1"/>
  <c r="C468" i="1"/>
  <c r="N467" i="1"/>
  <c r="E467" i="1"/>
  <c r="C467" i="1"/>
  <c r="N466" i="1"/>
  <c r="E466" i="1"/>
  <c r="C466" i="1"/>
  <c r="N465" i="1"/>
  <c r="E465" i="1"/>
  <c r="C465" i="1"/>
  <c r="N464" i="1"/>
  <c r="E464" i="1"/>
  <c r="C464" i="1"/>
  <c r="N463" i="1"/>
  <c r="E463" i="1"/>
  <c r="C463" i="1"/>
  <c r="N462" i="1"/>
  <c r="E462" i="1"/>
  <c r="C462" i="1"/>
  <c r="N461" i="1"/>
  <c r="E461" i="1"/>
  <c r="C461" i="1"/>
  <c r="N460" i="1"/>
  <c r="E460" i="1"/>
  <c r="C460" i="1"/>
  <c r="N459" i="1"/>
  <c r="E459" i="1"/>
  <c r="C459" i="1"/>
  <c r="N458" i="1"/>
  <c r="E458" i="1"/>
  <c r="C458" i="1"/>
  <c r="N457" i="1"/>
  <c r="E457" i="1"/>
  <c r="C457" i="1"/>
  <c r="N456" i="1"/>
  <c r="E456" i="1"/>
  <c r="C456" i="1"/>
  <c r="N455" i="1"/>
  <c r="E455" i="1"/>
  <c r="C455" i="1"/>
  <c r="N454" i="1"/>
  <c r="E454" i="1"/>
  <c r="C454" i="1"/>
  <c r="N453" i="1"/>
  <c r="E453" i="1"/>
  <c r="C453" i="1"/>
  <c r="N452" i="1"/>
  <c r="E452" i="1"/>
  <c r="C452" i="1"/>
  <c r="N451" i="1"/>
  <c r="E451" i="1"/>
  <c r="C451" i="1"/>
  <c r="N450" i="1"/>
  <c r="E450" i="1"/>
  <c r="C450" i="1"/>
  <c r="N449" i="1"/>
  <c r="E449" i="1"/>
  <c r="C449" i="1"/>
  <c r="N448" i="1"/>
  <c r="E448" i="1"/>
  <c r="C448" i="1"/>
  <c r="N447" i="1"/>
  <c r="E447" i="1"/>
  <c r="C447" i="1"/>
  <c r="N446" i="1"/>
  <c r="E446" i="1"/>
  <c r="C446" i="1"/>
  <c r="N445" i="1"/>
  <c r="E445" i="1"/>
  <c r="C445" i="1"/>
  <c r="N444" i="1"/>
  <c r="E444" i="1"/>
  <c r="C444" i="1"/>
  <c r="N443" i="1"/>
  <c r="E443" i="1"/>
  <c r="C443" i="1"/>
  <c r="N442" i="1"/>
  <c r="E442" i="1"/>
  <c r="C442" i="1"/>
  <c r="N441" i="1"/>
  <c r="E441" i="1"/>
  <c r="C441" i="1"/>
  <c r="N440" i="1"/>
  <c r="E440" i="1"/>
  <c r="C440" i="1"/>
  <c r="N439" i="1"/>
  <c r="E439" i="1"/>
  <c r="C439" i="1"/>
  <c r="N438" i="1"/>
  <c r="E438" i="1"/>
  <c r="C438" i="1"/>
  <c r="N437" i="1"/>
  <c r="E437" i="1"/>
  <c r="C437" i="1"/>
  <c r="N436" i="1"/>
  <c r="E436" i="1"/>
  <c r="C436" i="1"/>
  <c r="N435" i="1"/>
  <c r="E435" i="1"/>
  <c r="C435" i="1"/>
  <c r="N434" i="1"/>
  <c r="E434" i="1"/>
  <c r="C434" i="1"/>
  <c r="N433" i="1"/>
  <c r="E433" i="1"/>
  <c r="C433" i="1"/>
  <c r="N432" i="1"/>
  <c r="E432" i="1"/>
  <c r="C432" i="1"/>
  <c r="N431" i="1"/>
  <c r="E431" i="1"/>
  <c r="C431" i="1"/>
  <c r="N430" i="1"/>
  <c r="E430" i="1"/>
  <c r="C430" i="1"/>
  <c r="N429" i="1"/>
  <c r="E429" i="1"/>
  <c r="C429" i="1"/>
  <c r="N428" i="1"/>
  <c r="E428" i="1"/>
  <c r="C428" i="1"/>
  <c r="N427" i="1"/>
  <c r="E427" i="1"/>
  <c r="C427" i="1"/>
  <c r="N426" i="1"/>
  <c r="E426" i="1"/>
  <c r="C426" i="1"/>
  <c r="N425" i="1"/>
  <c r="E425" i="1"/>
  <c r="C425" i="1"/>
  <c r="N424" i="1"/>
  <c r="E424" i="1"/>
  <c r="C424" i="1"/>
  <c r="N423" i="1"/>
  <c r="E423" i="1"/>
  <c r="C423" i="1"/>
  <c r="N422" i="1"/>
  <c r="E422" i="1"/>
  <c r="C422" i="1"/>
  <c r="N421" i="1"/>
  <c r="E421" i="1"/>
  <c r="C421" i="1"/>
  <c r="N420" i="1"/>
  <c r="E420" i="1"/>
  <c r="C420" i="1"/>
  <c r="N419" i="1"/>
  <c r="E419" i="1"/>
  <c r="C419" i="1"/>
  <c r="N418" i="1"/>
  <c r="E418" i="1"/>
  <c r="C418" i="1"/>
  <c r="N417" i="1"/>
  <c r="E417" i="1"/>
  <c r="C417" i="1"/>
  <c r="N416" i="1"/>
  <c r="E416" i="1"/>
  <c r="C416" i="1"/>
  <c r="N415" i="1"/>
  <c r="E415" i="1"/>
  <c r="C415" i="1"/>
  <c r="N414" i="1"/>
  <c r="E414" i="1"/>
  <c r="C414" i="1"/>
  <c r="N413" i="1"/>
  <c r="E413" i="1"/>
  <c r="C413" i="1"/>
  <c r="N412" i="1"/>
  <c r="E412" i="1"/>
  <c r="C412" i="1"/>
  <c r="N411" i="1"/>
  <c r="E411" i="1"/>
  <c r="C411" i="1"/>
  <c r="N410" i="1"/>
  <c r="E410" i="1"/>
  <c r="C410" i="1"/>
  <c r="N409" i="1"/>
  <c r="E409" i="1"/>
  <c r="C409" i="1"/>
  <c r="N408" i="1"/>
  <c r="E408" i="1"/>
  <c r="C408" i="1"/>
  <c r="N407" i="1"/>
  <c r="E407" i="1"/>
  <c r="C407" i="1"/>
  <c r="N406" i="1"/>
  <c r="E406" i="1"/>
  <c r="C406" i="1"/>
  <c r="N405" i="1"/>
  <c r="E405" i="1"/>
  <c r="C405" i="1"/>
  <c r="N404" i="1"/>
  <c r="E404" i="1"/>
  <c r="C404" i="1"/>
  <c r="N403" i="1"/>
  <c r="E403" i="1"/>
  <c r="C403" i="1"/>
  <c r="N402" i="1"/>
  <c r="E402" i="1"/>
  <c r="C402" i="1"/>
  <c r="N401" i="1"/>
  <c r="E401" i="1"/>
  <c r="C401" i="1"/>
  <c r="N400" i="1"/>
  <c r="E400" i="1"/>
  <c r="C400" i="1"/>
  <c r="N399" i="1"/>
  <c r="E399" i="1"/>
  <c r="C399" i="1"/>
  <c r="N398" i="1"/>
  <c r="E398" i="1"/>
  <c r="C398" i="1"/>
  <c r="N397" i="1"/>
  <c r="E397" i="1"/>
  <c r="C397" i="1"/>
  <c r="N396" i="1"/>
  <c r="E396" i="1"/>
  <c r="C396" i="1"/>
  <c r="N395" i="1"/>
  <c r="E395" i="1"/>
  <c r="C395" i="1"/>
  <c r="N394" i="1"/>
  <c r="E394" i="1"/>
  <c r="C394" i="1"/>
  <c r="N393" i="1"/>
  <c r="E393" i="1"/>
  <c r="C393" i="1"/>
  <c r="N392" i="1"/>
  <c r="E392" i="1"/>
  <c r="C392" i="1"/>
  <c r="N391" i="1"/>
  <c r="E391" i="1"/>
  <c r="C391" i="1"/>
  <c r="N390" i="1"/>
  <c r="E390" i="1"/>
  <c r="C390" i="1"/>
  <c r="N389" i="1"/>
  <c r="E389" i="1"/>
  <c r="C389" i="1"/>
  <c r="N388" i="1"/>
  <c r="E388" i="1"/>
  <c r="C388" i="1"/>
  <c r="N387" i="1"/>
  <c r="E387" i="1"/>
  <c r="C387" i="1"/>
  <c r="N386" i="1"/>
  <c r="E386" i="1"/>
  <c r="C386" i="1"/>
  <c r="N385" i="1"/>
  <c r="E385" i="1"/>
  <c r="C385" i="1"/>
  <c r="N384" i="1"/>
  <c r="E384" i="1"/>
  <c r="C384" i="1"/>
  <c r="N383" i="1"/>
  <c r="E383" i="1"/>
  <c r="C383" i="1"/>
  <c r="N382" i="1"/>
  <c r="E382" i="1"/>
  <c r="C382" i="1"/>
  <c r="N381" i="1"/>
  <c r="E381" i="1"/>
  <c r="C381" i="1"/>
  <c r="N380" i="1"/>
  <c r="E380" i="1"/>
  <c r="C380" i="1"/>
  <c r="N379" i="1"/>
  <c r="E379" i="1"/>
  <c r="C379" i="1"/>
  <c r="N378" i="1"/>
  <c r="E378" i="1"/>
  <c r="C378" i="1"/>
  <c r="N377" i="1"/>
  <c r="E377" i="1"/>
  <c r="C377" i="1"/>
  <c r="N376" i="1"/>
  <c r="E376" i="1"/>
  <c r="C376" i="1"/>
  <c r="N375" i="1"/>
  <c r="E375" i="1"/>
  <c r="C375" i="1"/>
  <c r="N374" i="1"/>
  <c r="E374" i="1"/>
  <c r="C374" i="1"/>
  <c r="N373" i="1"/>
  <c r="E373" i="1"/>
  <c r="C373" i="1"/>
  <c r="N372" i="1"/>
  <c r="E372" i="1"/>
  <c r="C372" i="1"/>
  <c r="N371" i="1"/>
  <c r="E371" i="1"/>
  <c r="C371" i="1"/>
  <c r="N370" i="1"/>
  <c r="E370" i="1"/>
  <c r="C370" i="1"/>
  <c r="N369" i="1"/>
  <c r="E369" i="1"/>
  <c r="C369" i="1"/>
  <c r="N368" i="1"/>
  <c r="E368" i="1"/>
  <c r="C368" i="1"/>
  <c r="N367" i="1"/>
  <c r="E367" i="1"/>
  <c r="C367" i="1"/>
  <c r="N366" i="1"/>
  <c r="E366" i="1"/>
  <c r="C366" i="1"/>
  <c r="N365" i="1"/>
  <c r="E365" i="1"/>
  <c r="C365" i="1"/>
  <c r="N364" i="1"/>
  <c r="E364" i="1"/>
  <c r="C364" i="1"/>
  <c r="N363" i="1"/>
  <c r="E363" i="1"/>
  <c r="C363" i="1"/>
  <c r="N362" i="1"/>
  <c r="E362" i="1"/>
  <c r="C362" i="1"/>
  <c r="N361" i="1"/>
  <c r="E361" i="1"/>
  <c r="C361" i="1"/>
  <c r="N360" i="1"/>
  <c r="E360" i="1"/>
  <c r="C360" i="1"/>
  <c r="N359" i="1"/>
  <c r="E359" i="1"/>
  <c r="C359" i="1"/>
  <c r="N358" i="1"/>
  <c r="E358" i="1"/>
  <c r="C358" i="1"/>
  <c r="N357" i="1"/>
  <c r="E357" i="1"/>
  <c r="C357" i="1"/>
  <c r="N356" i="1"/>
  <c r="E356" i="1"/>
  <c r="C356" i="1"/>
  <c r="N355" i="1"/>
  <c r="E355" i="1"/>
  <c r="C355" i="1"/>
  <c r="N354" i="1"/>
  <c r="E354" i="1"/>
  <c r="C354" i="1"/>
  <c r="N353" i="1"/>
  <c r="E353" i="1"/>
  <c r="C353" i="1"/>
  <c r="N352" i="1"/>
  <c r="E352" i="1"/>
  <c r="C352" i="1"/>
  <c r="N351" i="1"/>
  <c r="E351" i="1"/>
  <c r="C351" i="1"/>
  <c r="N350" i="1"/>
  <c r="E350" i="1"/>
  <c r="C350" i="1"/>
  <c r="N349" i="1"/>
  <c r="E349" i="1"/>
  <c r="C349" i="1"/>
  <c r="N348" i="1"/>
  <c r="E348" i="1"/>
  <c r="C348" i="1"/>
  <c r="N347" i="1"/>
  <c r="E347" i="1"/>
  <c r="C347" i="1"/>
  <c r="N346" i="1"/>
  <c r="E346" i="1"/>
  <c r="C346" i="1"/>
  <c r="N345" i="1"/>
  <c r="E345" i="1"/>
  <c r="C345" i="1"/>
  <c r="N344" i="1"/>
  <c r="E344" i="1"/>
  <c r="C344" i="1"/>
  <c r="N343" i="1"/>
  <c r="E343" i="1"/>
  <c r="C343" i="1"/>
  <c r="N342" i="1"/>
  <c r="E342" i="1"/>
  <c r="C342" i="1"/>
  <c r="N341" i="1"/>
  <c r="E341" i="1"/>
  <c r="C341" i="1"/>
  <c r="N340" i="1"/>
  <c r="E340" i="1"/>
  <c r="C340" i="1"/>
  <c r="N339" i="1"/>
  <c r="E339" i="1"/>
  <c r="C339" i="1"/>
  <c r="N338" i="1"/>
  <c r="E338" i="1"/>
  <c r="C338" i="1"/>
  <c r="N337" i="1"/>
  <c r="E337" i="1"/>
  <c r="C337" i="1"/>
  <c r="N336" i="1"/>
  <c r="E336" i="1"/>
  <c r="C336" i="1"/>
  <c r="N335" i="1"/>
  <c r="E335" i="1"/>
  <c r="C335" i="1"/>
  <c r="N334" i="1"/>
  <c r="E334" i="1"/>
  <c r="C334" i="1"/>
  <c r="N333" i="1"/>
  <c r="E333" i="1"/>
  <c r="C333" i="1"/>
  <c r="N332" i="1"/>
  <c r="E332" i="1"/>
  <c r="C332" i="1"/>
  <c r="N331" i="1"/>
  <c r="E331" i="1"/>
  <c r="C331" i="1"/>
  <c r="N330" i="1"/>
  <c r="E330" i="1"/>
  <c r="C330" i="1"/>
  <c r="N329" i="1"/>
  <c r="E329" i="1"/>
  <c r="C329" i="1"/>
  <c r="N328" i="1"/>
  <c r="E328" i="1"/>
  <c r="C328" i="1"/>
  <c r="N327" i="1"/>
  <c r="E327" i="1"/>
  <c r="C327" i="1"/>
  <c r="N326" i="1"/>
  <c r="E326" i="1"/>
  <c r="C326" i="1"/>
  <c r="N325" i="1"/>
  <c r="E325" i="1"/>
  <c r="C325" i="1"/>
  <c r="N324" i="1"/>
  <c r="E324" i="1"/>
  <c r="C324" i="1"/>
  <c r="N323" i="1"/>
  <c r="E323" i="1"/>
  <c r="C323" i="1"/>
  <c r="N322" i="1"/>
  <c r="E322" i="1"/>
  <c r="C322" i="1"/>
  <c r="N321" i="1"/>
  <c r="E321" i="1"/>
  <c r="C321" i="1"/>
  <c r="N320" i="1"/>
  <c r="E320" i="1"/>
  <c r="C320" i="1"/>
  <c r="N319" i="1"/>
  <c r="E319" i="1"/>
  <c r="C319" i="1"/>
  <c r="N318" i="1"/>
  <c r="E318" i="1"/>
  <c r="C318" i="1"/>
  <c r="N317" i="1"/>
  <c r="E317" i="1"/>
  <c r="C317" i="1"/>
  <c r="N316" i="1"/>
  <c r="E316" i="1"/>
  <c r="C316" i="1"/>
  <c r="N315" i="1"/>
  <c r="E315" i="1"/>
  <c r="C315" i="1"/>
  <c r="N314" i="1"/>
  <c r="E314" i="1"/>
  <c r="C314" i="1"/>
  <c r="N313" i="1"/>
  <c r="E313" i="1"/>
  <c r="C313" i="1"/>
  <c r="N312" i="1"/>
  <c r="E312" i="1"/>
  <c r="C312" i="1"/>
  <c r="N311" i="1"/>
  <c r="E311" i="1"/>
  <c r="C311" i="1"/>
  <c r="N310" i="1"/>
  <c r="E310" i="1"/>
  <c r="C310" i="1"/>
  <c r="N309" i="1"/>
  <c r="E309" i="1"/>
  <c r="C309" i="1"/>
  <c r="N308" i="1"/>
  <c r="E308" i="1"/>
  <c r="C308" i="1"/>
  <c r="N307" i="1"/>
  <c r="E307" i="1"/>
  <c r="C307" i="1"/>
  <c r="N306" i="1"/>
  <c r="E306" i="1"/>
  <c r="C306" i="1"/>
  <c r="N305" i="1"/>
  <c r="E305" i="1"/>
  <c r="C305" i="1"/>
  <c r="N304" i="1"/>
  <c r="E304" i="1"/>
  <c r="C304" i="1"/>
  <c r="N303" i="1"/>
  <c r="E303" i="1"/>
  <c r="C303" i="1"/>
  <c r="N302" i="1"/>
  <c r="E302" i="1"/>
  <c r="C302" i="1"/>
  <c r="N301" i="1"/>
  <c r="E301" i="1"/>
  <c r="C301" i="1"/>
  <c r="N300" i="1"/>
  <c r="E300" i="1"/>
  <c r="C300" i="1"/>
  <c r="N299" i="1"/>
  <c r="E299" i="1"/>
  <c r="C299" i="1"/>
  <c r="N298" i="1"/>
  <c r="E298" i="1"/>
  <c r="C298" i="1"/>
  <c r="N297" i="1"/>
  <c r="E297" i="1"/>
  <c r="C297" i="1"/>
  <c r="N296" i="1"/>
  <c r="E296" i="1"/>
  <c r="C296" i="1"/>
  <c r="N295" i="1"/>
  <c r="E295" i="1"/>
  <c r="C295" i="1"/>
  <c r="N294" i="1"/>
  <c r="E294" i="1"/>
  <c r="C294" i="1"/>
  <c r="N293" i="1"/>
  <c r="E293" i="1"/>
  <c r="C293" i="1"/>
  <c r="N292" i="1"/>
  <c r="E292" i="1"/>
  <c r="C292" i="1"/>
  <c r="N291" i="1"/>
  <c r="E291" i="1"/>
  <c r="C291" i="1"/>
  <c r="N290" i="1"/>
  <c r="E290" i="1"/>
  <c r="C290" i="1"/>
  <c r="N289" i="1"/>
  <c r="E289" i="1"/>
  <c r="C289" i="1"/>
  <c r="N288" i="1"/>
  <c r="E288" i="1"/>
  <c r="C288" i="1"/>
  <c r="N287" i="1"/>
  <c r="E287" i="1"/>
  <c r="C287" i="1"/>
  <c r="N286" i="1"/>
  <c r="E286" i="1"/>
  <c r="C286" i="1"/>
  <c r="N285" i="1"/>
  <c r="E285" i="1"/>
  <c r="C285" i="1"/>
  <c r="N284" i="1"/>
  <c r="E284" i="1"/>
  <c r="C284" i="1"/>
  <c r="N283" i="1"/>
  <c r="E283" i="1"/>
  <c r="C283" i="1"/>
  <c r="N282" i="1"/>
  <c r="E282" i="1"/>
  <c r="C282" i="1"/>
  <c r="N281" i="1"/>
  <c r="E281" i="1"/>
  <c r="C281" i="1"/>
  <c r="N280" i="1"/>
  <c r="E280" i="1"/>
  <c r="C280" i="1"/>
  <c r="N279" i="1"/>
  <c r="E279" i="1"/>
  <c r="C279" i="1"/>
  <c r="N278" i="1"/>
  <c r="E278" i="1"/>
  <c r="C278" i="1"/>
  <c r="N277" i="1"/>
  <c r="E277" i="1"/>
  <c r="C277" i="1"/>
  <c r="N276" i="1"/>
  <c r="E276" i="1"/>
  <c r="C276" i="1"/>
  <c r="N275" i="1"/>
  <c r="E275" i="1"/>
  <c r="C275" i="1"/>
  <c r="N274" i="1"/>
  <c r="E274" i="1"/>
  <c r="C274" i="1"/>
  <c r="N273" i="1"/>
  <c r="E273" i="1"/>
  <c r="C273" i="1"/>
  <c r="N272" i="1"/>
  <c r="E272" i="1"/>
  <c r="C272" i="1"/>
  <c r="N271" i="1"/>
  <c r="E271" i="1"/>
  <c r="C271" i="1"/>
  <c r="N270" i="1"/>
  <c r="E270" i="1"/>
  <c r="C270" i="1"/>
  <c r="N269" i="1"/>
  <c r="E269" i="1"/>
  <c r="C269" i="1"/>
  <c r="N268" i="1"/>
  <c r="E268" i="1"/>
  <c r="C268" i="1"/>
  <c r="N267" i="1"/>
  <c r="E267" i="1"/>
  <c r="C267" i="1"/>
  <c r="N266" i="1"/>
  <c r="E266" i="1"/>
  <c r="C266" i="1"/>
  <c r="N265" i="1"/>
  <c r="E265" i="1"/>
  <c r="C265" i="1"/>
  <c r="N264" i="1"/>
  <c r="E264" i="1"/>
  <c r="C264" i="1"/>
  <c r="N263" i="1"/>
  <c r="E263" i="1"/>
  <c r="C263" i="1"/>
  <c r="N262" i="1"/>
  <c r="E262" i="1"/>
  <c r="C262" i="1"/>
  <c r="N261" i="1"/>
  <c r="E261" i="1"/>
  <c r="C261" i="1"/>
  <c r="N260" i="1"/>
  <c r="E260" i="1"/>
  <c r="C260" i="1"/>
  <c r="N259" i="1"/>
  <c r="E259" i="1"/>
  <c r="C259" i="1"/>
  <c r="N258" i="1"/>
  <c r="E258" i="1"/>
  <c r="C258" i="1"/>
  <c r="N257" i="1"/>
  <c r="E257" i="1"/>
  <c r="C257" i="1"/>
  <c r="N256" i="1"/>
  <c r="E256" i="1"/>
  <c r="C256" i="1"/>
  <c r="N255" i="1"/>
  <c r="E255" i="1"/>
  <c r="C255" i="1"/>
  <c r="N254" i="1"/>
  <c r="E254" i="1"/>
  <c r="C254" i="1"/>
  <c r="N253" i="1"/>
  <c r="E253" i="1"/>
  <c r="C253" i="1"/>
  <c r="N252" i="1"/>
  <c r="E252" i="1"/>
  <c r="C252" i="1"/>
  <c r="N251" i="1"/>
  <c r="E251" i="1"/>
  <c r="C251" i="1"/>
  <c r="N250" i="1"/>
  <c r="E250" i="1"/>
  <c r="C250" i="1"/>
  <c r="N249" i="1"/>
  <c r="E249" i="1"/>
  <c r="C249" i="1"/>
  <c r="N248" i="1"/>
  <c r="E248" i="1"/>
  <c r="C248" i="1"/>
  <c r="N247" i="1"/>
  <c r="E247" i="1"/>
  <c r="C247" i="1"/>
  <c r="N246" i="1"/>
  <c r="E246" i="1"/>
  <c r="C246" i="1"/>
  <c r="N245" i="1"/>
  <c r="E245" i="1"/>
  <c r="C245" i="1"/>
  <c r="N244" i="1"/>
  <c r="E244" i="1"/>
  <c r="C244" i="1"/>
  <c r="N243" i="1"/>
  <c r="E243" i="1"/>
  <c r="C243" i="1"/>
  <c r="N242" i="1"/>
  <c r="E242" i="1"/>
  <c r="C242" i="1"/>
  <c r="N241" i="1"/>
  <c r="E241" i="1"/>
  <c r="C241" i="1"/>
  <c r="N240" i="1"/>
  <c r="E240" i="1"/>
  <c r="C240" i="1"/>
  <c r="N239" i="1"/>
  <c r="E239" i="1"/>
  <c r="C239" i="1"/>
  <c r="N238" i="1"/>
  <c r="E238" i="1"/>
  <c r="C238" i="1"/>
  <c r="N237" i="1"/>
  <c r="E237" i="1"/>
  <c r="C237" i="1"/>
  <c r="N236" i="1"/>
  <c r="E236" i="1"/>
  <c r="C236" i="1"/>
  <c r="N235" i="1"/>
  <c r="E235" i="1"/>
  <c r="C235" i="1"/>
  <c r="N234" i="1"/>
  <c r="E234" i="1"/>
  <c r="C234" i="1"/>
  <c r="N233" i="1"/>
  <c r="E233" i="1"/>
  <c r="C233" i="1"/>
  <c r="N232" i="1"/>
  <c r="E232" i="1"/>
  <c r="C232" i="1"/>
  <c r="N231" i="1"/>
  <c r="E231" i="1"/>
  <c r="C231" i="1"/>
  <c r="N230" i="1"/>
  <c r="E230" i="1"/>
  <c r="C230" i="1"/>
  <c r="N229" i="1"/>
  <c r="E229" i="1"/>
  <c r="C229" i="1"/>
  <c r="N228" i="1"/>
  <c r="E228" i="1"/>
  <c r="C228" i="1"/>
  <c r="N227" i="1"/>
  <c r="E227" i="1"/>
  <c r="C227" i="1"/>
  <c r="N226" i="1"/>
  <c r="E226" i="1"/>
  <c r="C226" i="1"/>
  <c r="N225" i="1"/>
  <c r="E225" i="1"/>
  <c r="C225" i="1"/>
  <c r="N224" i="1"/>
  <c r="E224" i="1"/>
  <c r="C224" i="1"/>
  <c r="N223" i="1"/>
  <c r="E223" i="1"/>
  <c r="C223" i="1"/>
  <c r="N222" i="1"/>
  <c r="E222" i="1"/>
  <c r="C222" i="1"/>
  <c r="N221" i="1"/>
  <c r="E221" i="1"/>
  <c r="C221" i="1"/>
  <c r="N220" i="1"/>
  <c r="E220" i="1"/>
  <c r="C220" i="1"/>
  <c r="N219" i="1"/>
  <c r="E219" i="1"/>
  <c r="C219" i="1"/>
  <c r="N218" i="1"/>
  <c r="E218" i="1"/>
  <c r="C218" i="1"/>
  <c r="N217" i="1"/>
  <c r="E217" i="1"/>
  <c r="C217" i="1"/>
  <c r="N216" i="1"/>
  <c r="E216" i="1"/>
  <c r="C216" i="1"/>
  <c r="N215" i="1"/>
  <c r="E215" i="1"/>
  <c r="C215" i="1"/>
  <c r="N214" i="1"/>
  <c r="E214" i="1"/>
  <c r="C214" i="1"/>
  <c r="N213" i="1"/>
  <c r="E213" i="1"/>
  <c r="C213" i="1"/>
  <c r="N212" i="1"/>
  <c r="E212" i="1"/>
  <c r="C212" i="1"/>
  <c r="N211" i="1"/>
  <c r="E211" i="1"/>
  <c r="C211" i="1"/>
  <c r="N210" i="1"/>
  <c r="E210" i="1"/>
  <c r="C210" i="1"/>
  <c r="N209" i="1"/>
  <c r="E209" i="1"/>
  <c r="C209" i="1"/>
  <c r="N208" i="1"/>
  <c r="E208" i="1"/>
  <c r="C208" i="1"/>
  <c r="N207" i="1"/>
  <c r="E207" i="1"/>
  <c r="C207" i="1"/>
  <c r="N206" i="1"/>
  <c r="E206" i="1"/>
  <c r="C206" i="1"/>
  <c r="N205" i="1"/>
  <c r="E205" i="1"/>
  <c r="C205" i="1"/>
  <c r="N204" i="1"/>
  <c r="E204" i="1"/>
  <c r="C204" i="1"/>
  <c r="N203" i="1"/>
  <c r="E203" i="1"/>
  <c r="C203" i="1"/>
  <c r="N202" i="1"/>
  <c r="E202" i="1"/>
  <c r="C202" i="1"/>
  <c r="N201" i="1"/>
  <c r="E201" i="1"/>
  <c r="C201" i="1"/>
  <c r="N200" i="1"/>
  <c r="E200" i="1"/>
  <c r="C200" i="1"/>
  <c r="N199" i="1"/>
  <c r="E199" i="1"/>
  <c r="C199" i="1"/>
  <c r="N198" i="1"/>
  <c r="E198" i="1"/>
  <c r="C198" i="1"/>
  <c r="N197" i="1"/>
  <c r="E197" i="1"/>
  <c r="C197" i="1"/>
  <c r="N196" i="1"/>
  <c r="E196" i="1"/>
  <c r="C196" i="1"/>
  <c r="N195" i="1"/>
  <c r="E195" i="1"/>
  <c r="C195" i="1"/>
  <c r="N194" i="1"/>
  <c r="E194" i="1"/>
  <c r="C194" i="1"/>
  <c r="N193" i="1"/>
  <c r="E193" i="1"/>
  <c r="C193" i="1"/>
  <c r="N192" i="1"/>
  <c r="E192" i="1"/>
  <c r="C192" i="1"/>
  <c r="N191" i="1"/>
  <c r="E191" i="1"/>
  <c r="C191" i="1"/>
  <c r="N190" i="1"/>
  <c r="E190" i="1"/>
  <c r="C190" i="1"/>
  <c r="N189" i="1"/>
  <c r="E189" i="1"/>
  <c r="C189" i="1"/>
  <c r="N188" i="1"/>
  <c r="E188" i="1"/>
  <c r="C188" i="1"/>
  <c r="N187" i="1"/>
  <c r="E187" i="1"/>
  <c r="C187" i="1"/>
  <c r="N186" i="1"/>
  <c r="E186" i="1"/>
  <c r="C186" i="1"/>
  <c r="N185" i="1"/>
  <c r="E185" i="1"/>
  <c r="C185" i="1"/>
  <c r="N184" i="1"/>
  <c r="E184" i="1"/>
  <c r="C184" i="1"/>
  <c r="N183" i="1"/>
  <c r="E183" i="1"/>
  <c r="C183" i="1"/>
  <c r="N182" i="1"/>
  <c r="E182" i="1"/>
  <c r="C182" i="1"/>
  <c r="N181" i="1"/>
  <c r="E181" i="1"/>
  <c r="C181" i="1"/>
  <c r="N180" i="1"/>
  <c r="E180" i="1"/>
  <c r="C180" i="1"/>
  <c r="N179" i="1"/>
  <c r="E179" i="1"/>
  <c r="C179" i="1"/>
  <c r="N178" i="1"/>
  <c r="E178" i="1"/>
  <c r="C178" i="1"/>
  <c r="N177" i="1"/>
  <c r="E177" i="1"/>
  <c r="C177" i="1"/>
  <c r="N176" i="1"/>
  <c r="E176" i="1"/>
  <c r="C176" i="1"/>
  <c r="N175" i="1"/>
  <c r="E175" i="1"/>
  <c r="C175" i="1"/>
  <c r="N174" i="1"/>
  <c r="E174" i="1"/>
  <c r="C174" i="1"/>
  <c r="N173" i="1"/>
  <c r="E173" i="1"/>
  <c r="C173" i="1"/>
  <c r="N172" i="1"/>
  <c r="E172" i="1"/>
  <c r="C172" i="1"/>
  <c r="N171" i="1"/>
  <c r="E171" i="1"/>
  <c r="C171" i="1"/>
  <c r="N170" i="1"/>
  <c r="E170" i="1"/>
  <c r="C170" i="1"/>
  <c r="N169" i="1"/>
  <c r="E169" i="1"/>
  <c r="C169" i="1"/>
  <c r="N168" i="1"/>
  <c r="E168" i="1"/>
  <c r="C168" i="1"/>
  <c r="N167" i="1"/>
  <c r="E167" i="1"/>
  <c r="C167" i="1"/>
  <c r="N166" i="1"/>
  <c r="E166" i="1"/>
  <c r="C166" i="1"/>
  <c r="N165" i="1"/>
  <c r="E165" i="1"/>
  <c r="C165" i="1"/>
  <c r="N164" i="1"/>
  <c r="E164" i="1"/>
  <c r="C164" i="1"/>
  <c r="N163" i="1"/>
  <c r="E163" i="1"/>
  <c r="C163" i="1"/>
  <c r="N162" i="1"/>
  <c r="E162" i="1"/>
  <c r="C162" i="1"/>
  <c r="N161" i="1"/>
  <c r="E161" i="1"/>
  <c r="C161" i="1"/>
  <c r="N160" i="1"/>
  <c r="E160" i="1"/>
  <c r="C160" i="1"/>
  <c r="N159" i="1"/>
  <c r="E159" i="1"/>
  <c r="C159" i="1"/>
  <c r="N158" i="1"/>
  <c r="E158" i="1"/>
  <c r="C158" i="1"/>
  <c r="N157" i="1"/>
  <c r="E157" i="1"/>
  <c r="C157" i="1"/>
  <c r="N156" i="1"/>
  <c r="E156" i="1"/>
  <c r="C156" i="1"/>
  <c r="N155" i="1"/>
  <c r="E155" i="1"/>
  <c r="C155" i="1"/>
  <c r="N154" i="1"/>
  <c r="E154" i="1"/>
  <c r="C154" i="1"/>
  <c r="N153" i="1"/>
  <c r="E153" i="1"/>
  <c r="C153" i="1"/>
  <c r="N152" i="1"/>
  <c r="E152" i="1"/>
  <c r="C152" i="1"/>
  <c r="N151" i="1"/>
  <c r="E151" i="1"/>
  <c r="C151" i="1"/>
  <c r="N150" i="1"/>
  <c r="E150" i="1"/>
  <c r="C150" i="1"/>
  <c r="N149" i="1"/>
  <c r="E149" i="1"/>
  <c r="C149" i="1"/>
  <c r="N148" i="1"/>
  <c r="E148" i="1"/>
  <c r="C148" i="1"/>
  <c r="N147" i="1"/>
  <c r="E147" i="1"/>
  <c r="C147" i="1"/>
  <c r="N146" i="1"/>
  <c r="E146" i="1"/>
  <c r="C146" i="1"/>
  <c r="N145" i="1"/>
  <c r="E145" i="1"/>
  <c r="C145" i="1"/>
  <c r="N144" i="1"/>
  <c r="E144" i="1"/>
  <c r="C144" i="1"/>
  <c r="N143" i="1"/>
  <c r="E143" i="1"/>
  <c r="C143" i="1"/>
  <c r="N142" i="1"/>
  <c r="E142" i="1"/>
  <c r="C142" i="1"/>
  <c r="N141" i="1"/>
  <c r="E141" i="1"/>
  <c r="C141" i="1"/>
  <c r="N140" i="1"/>
  <c r="E140" i="1"/>
  <c r="C140" i="1"/>
  <c r="N139" i="1"/>
  <c r="E139" i="1"/>
  <c r="C139" i="1"/>
  <c r="N138" i="1"/>
  <c r="E138" i="1"/>
  <c r="C138" i="1"/>
  <c r="N137" i="1"/>
  <c r="E137" i="1"/>
  <c r="C137" i="1"/>
  <c r="N136" i="1"/>
  <c r="E136" i="1"/>
  <c r="C136" i="1"/>
  <c r="N135" i="1"/>
  <c r="E135" i="1"/>
  <c r="C135" i="1"/>
  <c r="N134" i="1"/>
  <c r="E134" i="1"/>
  <c r="C134" i="1"/>
  <c r="N133" i="1"/>
  <c r="E133" i="1"/>
  <c r="C133" i="1"/>
  <c r="N132" i="1"/>
  <c r="E132" i="1"/>
  <c r="C132" i="1"/>
  <c r="N131" i="1"/>
  <c r="E131" i="1"/>
  <c r="C131" i="1"/>
  <c r="N130" i="1"/>
  <c r="E130" i="1"/>
  <c r="C130" i="1"/>
  <c r="N129" i="1"/>
  <c r="E129" i="1"/>
  <c r="C129" i="1"/>
  <c r="N128" i="1"/>
  <c r="E128" i="1"/>
  <c r="C128" i="1"/>
  <c r="N127" i="1"/>
  <c r="E127" i="1"/>
  <c r="C127" i="1"/>
  <c r="N126" i="1"/>
  <c r="E126" i="1"/>
  <c r="C126" i="1"/>
  <c r="N125" i="1"/>
  <c r="E125" i="1"/>
  <c r="C125" i="1"/>
  <c r="N124" i="1"/>
  <c r="E124" i="1"/>
  <c r="C124" i="1"/>
  <c r="N123" i="1"/>
  <c r="E123" i="1"/>
  <c r="C123" i="1"/>
  <c r="N122" i="1"/>
  <c r="E122" i="1"/>
  <c r="C122" i="1"/>
  <c r="N121" i="1"/>
  <c r="E121" i="1"/>
  <c r="C121" i="1"/>
  <c r="N120" i="1"/>
  <c r="E120" i="1"/>
  <c r="C120" i="1"/>
  <c r="N119" i="1"/>
  <c r="E119" i="1"/>
  <c r="C119" i="1"/>
  <c r="N118" i="1"/>
  <c r="E118" i="1"/>
  <c r="C118" i="1"/>
  <c r="N117" i="1"/>
  <c r="E117" i="1"/>
  <c r="C117" i="1"/>
  <c r="N116" i="1"/>
  <c r="E116" i="1"/>
  <c r="C116" i="1"/>
  <c r="N115" i="1"/>
  <c r="E115" i="1"/>
  <c r="C115" i="1"/>
  <c r="N114" i="1"/>
  <c r="E114" i="1"/>
  <c r="C114" i="1"/>
  <c r="N113" i="1"/>
  <c r="E113" i="1"/>
  <c r="C113" i="1"/>
  <c r="N112" i="1"/>
  <c r="E112" i="1"/>
  <c r="C112" i="1"/>
  <c r="N111" i="1"/>
  <c r="E111" i="1"/>
  <c r="C111" i="1"/>
  <c r="N110" i="1"/>
  <c r="E110" i="1"/>
  <c r="C110" i="1"/>
  <c r="N109" i="1"/>
  <c r="E109" i="1"/>
  <c r="C109" i="1"/>
  <c r="N108" i="1"/>
  <c r="E108" i="1"/>
  <c r="C108" i="1"/>
  <c r="N107" i="1"/>
  <c r="E107" i="1"/>
  <c r="C107" i="1"/>
  <c r="N106" i="1"/>
  <c r="E106" i="1"/>
  <c r="C106" i="1"/>
  <c r="N105" i="1"/>
  <c r="E105" i="1"/>
  <c r="C105" i="1"/>
  <c r="N104" i="1"/>
  <c r="E104" i="1"/>
  <c r="C104" i="1"/>
  <c r="N103" i="1"/>
  <c r="E103" i="1"/>
  <c r="C103" i="1"/>
  <c r="N102" i="1"/>
  <c r="E102" i="1"/>
  <c r="C102" i="1"/>
  <c r="N101" i="1"/>
  <c r="E101" i="1"/>
  <c r="C101" i="1"/>
  <c r="N100" i="1"/>
  <c r="E100" i="1"/>
  <c r="C100" i="1"/>
  <c r="N99" i="1"/>
  <c r="E99" i="1"/>
  <c r="C99" i="1"/>
  <c r="N98" i="1"/>
  <c r="E98" i="1"/>
  <c r="C98" i="1"/>
  <c r="N97" i="1"/>
  <c r="E97" i="1"/>
  <c r="C97" i="1"/>
  <c r="N96" i="1"/>
  <c r="E96" i="1"/>
  <c r="C96" i="1"/>
  <c r="N95" i="1"/>
  <c r="E95" i="1"/>
  <c r="C95" i="1"/>
  <c r="N94" i="1"/>
  <c r="E94" i="1"/>
  <c r="C94" i="1"/>
  <c r="N93" i="1"/>
  <c r="E93" i="1"/>
  <c r="C93" i="1"/>
  <c r="N92" i="1"/>
  <c r="E92" i="1"/>
  <c r="C92" i="1"/>
  <c r="N91" i="1"/>
  <c r="E91" i="1"/>
  <c r="C91" i="1"/>
  <c r="N90" i="1"/>
  <c r="E90" i="1"/>
  <c r="C90" i="1"/>
  <c r="N89" i="1"/>
  <c r="E89" i="1"/>
  <c r="C89" i="1"/>
  <c r="N88" i="1"/>
  <c r="E88" i="1"/>
  <c r="C88" i="1"/>
  <c r="N87" i="1"/>
  <c r="E87" i="1"/>
  <c r="C87" i="1"/>
  <c r="N86" i="1"/>
  <c r="E86" i="1"/>
  <c r="C86" i="1"/>
  <c r="N85" i="1"/>
  <c r="E85" i="1"/>
  <c r="C85" i="1"/>
  <c r="N84" i="1"/>
  <c r="E84" i="1"/>
  <c r="C84" i="1"/>
  <c r="N83" i="1"/>
  <c r="E83" i="1"/>
  <c r="C83" i="1"/>
  <c r="N82" i="1"/>
  <c r="E82" i="1"/>
  <c r="C82" i="1"/>
  <c r="N81" i="1"/>
  <c r="E81" i="1"/>
  <c r="C81" i="1"/>
  <c r="N80" i="1"/>
  <c r="E80" i="1"/>
  <c r="C80" i="1"/>
  <c r="N79" i="1"/>
  <c r="E79" i="1"/>
  <c r="C79" i="1"/>
  <c r="N78" i="1"/>
  <c r="E78" i="1"/>
  <c r="C78" i="1"/>
  <c r="N77" i="1"/>
  <c r="E77" i="1"/>
  <c r="C77" i="1"/>
  <c r="N76" i="1"/>
  <c r="E76" i="1"/>
  <c r="C76" i="1"/>
  <c r="N75" i="1"/>
  <c r="E75" i="1"/>
  <c r="C75" i="1"/>
  <c r="N74" i="1"/>
  <c r="E74" i="1"/>
  <c r="C74" i="1"/>
  <c r="N73" i="1"/>
  <c r="E73" i="1"/>
  <c r="C73" i="1"/>
  <c r="N72" i="1"/>
  <c r="E72" i="1"/>
  <c r="C72" i="1"/>
  <c r="N71" i="1"/>
  <c r="E71" i="1"/>
  <c r="C71" i="1"/>
  <c r="N70" i="1"/>
  <c r="E70" i="1"/>
  <c r="C70" i="1"/>
  <c r="N69" i="1"/>
  <c r="E69" i="1"/>
  <c r="C69" i="1"/>
  <c r="N68" i="1"/>
  <c r="E68" i="1"/>
  <c r="C68" i="1"/>
  <c r="N67" i="1"/>
  <c r="E67" i="1"/>
  <c r="C67" i="1"/>
  <c r="N66" i="1"/>
  <c r="E66" i="1"/>
  <c r="C66" i="1"/>
  <c r="N65" i="1"/>
  <c r="E65" i="1"/>
  <c r="C65" i="1"/>
  <c r="N64" i="1"/>
  <c r="E64" i="1"/>
  <c r="C64" i="1"/>
  <c r="N63" i="1"/>
  <c r="E63" i="1"/>
  <c r="C63" i="1"/>
  <c r="N62" i="1"/>
  <c r="E62" i="1"/>
  <c r="C62" i="1"/>
  <c r="N61" i="1"/>
  <c r="E61" i="1"/>
  <c r="C61" i="1"/>
  <c r="N60" i="1"/>
  <c r="E60" i="1"/>
  <c r="C60" i="1"/>
  <c r="N59" i="1"/>
  <c r="E59" i="1"/>
  <c r="C59" i="1"/>
  <c r="N58" i="1"/>
  <c r="E58" i="1"/>
  <c r="C58" i="1"/>
  <c r="N57" i="1"/>
  <c r="E57" i="1"/>
  <c r="C57" i="1"/>
  <c r="N56" i="1"/>
  <c r="E56" i="1"/>
  <c r="C56" i="1"/>
  <c r="N55" i="1"/>
  <c r="E55" i="1"/>
  <c r="C55" i="1"/>
  <c r="N54" i="1"/>
  <c r="E54" i="1"/>
  <c r="C54" i="1"/>
  <c r="N53" i="1"/>
  <c r="E53" i="1"/>
  <c r="C53" i="1"/>
  <c r="N52" i="1"/>
  <c r="E52" i="1"/>
  <c r="C52" i="1"/>
  <c r="N51" i="1"/>
  <c r="E51" i="1"/>
  <c r="C51" i="1"/>
  <c r="N50" i="1"/>
  <c r="E50" i="1"/>
  <c r="C50" i="1"/>
  <c r="N49" i="1"/>
  <c r="E49" i="1"/>
  <c r="C49" i="1"/>
  <c r="N48" i="1"/>
  <c r="E48" i="1"/>
  <c r="C48" i="1"/>
  <c r="N47" i="1"/>
  <c r="E47" i="1"/>
  <c r="C47" i="1"/>
  <c r="N46" i="1"/>
  <c r="E46" i="1"/>
  <c r="C46" i="1"/>
  <c r="N45" i="1"/>
  <c r="E45" i="1"/>
  <c r="C45" i="1"/>
  <c r="N44" i="1"/>
  <c r="E44" i="1"/>
  <c r="C44" i="1"/>
  <c r="N43" i="1"/>
  <c r="E43" i="1"/>
  <c r="C43" i="1"/>
  <c r="N42" i="1"/>
  <c r="E42" i="1"/>
  <c r="C42" i="1"/>
  <c r="N41" i="1"/>
  <c r="E41" i="1"/>
  <c r="C41" i="1"/>
  <c r="N40" i="1"/>
  <c r="E40" i="1"/>
  <c r="C40" i="1"/>
  <c r="N39" i="1"/>
  <c r="E39" i="1"/>
  <c r="C39" i="1"/>
  <c r="N38" i="1"/>
  <c r="E38" i="1"/>
  <c r="C38" i="1"/>
  <c r="N37" i="1"/>
  <c r="E37" i="1"/>
  <c r="C37" i="1"/>
  <c r="N36" i="1"/>
  <c r="E36" i="1"/>
  <c r="C36" i="1"/>
  <c r="N35" i="1"/>
  <c r="E35" i="1"/>
  <c r="C35" i="1"/>
  <c r="N34" i="1"/>
  <c r="E34" i="1"/>
  <c r="C34" i="1"/>
  <c r="N33" i="1"/>
  <c r="E33" i="1"/>
  <c r="C33" i="1"/>
  <c r="N32" i="1"/>
  <c r="E32" i="1"/>
  <c r="C32" i="1"/>
  <c r="N31" i="1"/>
  <c r="E31" i="1"/>
  <c r="C31" i="1"/>
  <c r="N30" i="1"/>
  <c r="E30" i="1"/>
  <c r="C30" i="1"/>
  <c r="N29" i="1"/>
  <c r="E29" i="1"/>
  <c r="C29" i="1"/>
  <c r="N28" i="1"/>
  <c r="E28" i="1"/>
  <c r="C28" i="1"/>
  <c r="N27" i="1"/>
  <c r="E27" i="1"/>
  <c r="C27" i="1"/>
  <c r="N26" i="1"/>
  <c r="E26" i="1"/>
  <c r="C26" i="1"/>
  <c r="N25" i="1"/>
  <c r="E25" i="1"/>
  <c r="C25" i="1"/>
  <c r="N24" i="1"/>
  <c r="E24" i="1"/>
  <c r="C24" i="1"/>
  <c r="N23" i="1"/>
  <c r="E23" i="1"/>
  <c r="C23" i="1"/>
  <c r="N22" i="1"/>
  <c r="E22" i="1"/>
  <c r="C22" i="1"/>
  <c r="N21" i="1"/>
  <c r="E21" i="1"/>
  <c r="C21" i="1"/>
  <c r="N20" i="1"/>
  <c r="E20" i="1"/>
  <c r="C20" i="1"/>
  <c r="N19" i="1"/>
  <c r="E19" i="1"/>
  <c r="C19" i="1"/>
  <c r="N18" i="1"/>
  <c r="E18" i="1"/>
  <c r="C18" i="1"/>
  <c r="N17" i="1"/>
  <c r="E17" i="1"/>
  <c r="C17" i="1"/>
  <c r="N16" i="1"/>
  <c r="E16" i="1"/>
  <c r="C16" i="1"/>
  <c r="N15" i="1"/>
  <c r="E15" i="1"/>
  <c r="C15" i="1"/>
  <c r="N14" i="1"/>
  <c r="E14" i="1"/>
  <c r="C14" i="1"/>
  <c r="N13" i="1"/>
  <c r="E13" i="1"/>
  <c r="C13" i="1"/>
  <c r="N12" i="1"/>
  <c r="E12" i="1"/>
  <c r="C12" i="1"/>
  <c r="N11" i="1"/>
  <c r="E11" i="1"/>
  <c r="C11" i="1"/>
  <c r="N10" i="1"/>
  <c r="E10" i="1"/>
  <c r="C10" i="1"/>
  <c r="N9" i="1"/>
  <c r="E9" i="1"/>
  <c r="C9" i="1"/>
  <c r="N8" i="1"/>
  <c r="E8" i="1"/>
  <c r="C8" i="1"/>
  <c r="N7" i="1"/>
  <c r="E7" i="1"/>
  <c r="C7" i="1"/>
  <c r="N6" i="1"/>
  <c r="E6" i="1"/>
  <c r="C6" i="1"/>
  <c r="N5" i="1"/>
  <c r="E5" i="1"/>
  <c r="C5" i="1"/>
  <c r="N4" i="1"/>
  <c r="E4" i="1"/>
  <c r="C4" i="1"/>
  <c r="N3" i="1"/>
  <c r="E3" i="1"/>
  <c r="C3" i="1"/>
  <c r="N2" i="1"/>
  <c r="E2" i="1"/>
  <c r="C2" i="1"/>
</calcChain>
</file>

<file path=xl/sharedStrings.xml><?xml version="1.0" encoding="utf-8"?>
<sst xmlns="http://schemas.openxmlformats.org/spreadsheetml/2006/main" count="4302" uniqueCount="197">
  <si>
    <t>SPEEDING</t>
  </si>
  <si>
    <t>PHONE USE</t>
  </si>
  <si>
    <t>TYRE BURST</t>
  </si>
  <si>
    <t>MECHANICAL FAULT</t>
  </si>
  <si>
    <t>BRAKE FAILURE</t>
  </si>
  <si>
    <t>OVERLOADING</t>
  </si>
  <si>
    <t>DANGEROUS OVERTAKE</t>
  </si>
  <si>
    <t>WRONGFUL OVERTAKE</t>
  </si>
  <si>
    <t>RECKLESS DRIVING</t>
  </si>
  <si>
    <t>BAD ROAD</t>
  </si>
  <si>
    <t>ROUTE VIOLATION</t>
  </si>
  <si>
    <t>ROAD OBSTRUCTION</t>
  </si>
  <si>
    <t>SLEEPING ON STEERING</t>
  </si>
  <si>
    <t>SUBSTANCE INFLUENCE</t>
  </si>
  <si>
    <t>WEATHER</t>
  </si>
  <si>
    <t>FATIGUE</t>
  </si>
  <si>
    <t>SIGNAL VIOLATION</t>
  </si>
  <si>
    <t>OTHERS</t>
  </si>
  <si>
    <t>QUARTER</t>
  </si>
  <si>
    <t>YEAR</t>
  </si>
  <si>
    <t>PERIOD</t>
  </si>
  <si>
    <t>STATE</t>
  </si>
  <si>
    <t>GEOGRAPHIC ZONE</t>
  </si>
  <si>
    <t>FATAL</t>
  </si>
  <si>
    <t>SERIOUS</t>
  </si>
  <si>
    <t>MINOR</t>
  </si>
  <si>
    <t>TOTAL CASES</t>
  </si>
  <si>
    <t>NUMBER INJURED</t>
  </si>
  <si>
    <t>NUMBER KILLED</t>
  </si>
  <si>
    <t>TOTAL CASUALTY</t>
  </si>
  <si>
    <t>PEOPLE INVOLVED</t>
  </si>
  <si>
    <t>FATALITY RATE</t>
  </si>
  <si>
    <t>Q1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</si>
  <si>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</si>
  <si>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</si>
  <si>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</si>
  <si>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</si>
  <si>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</si>
  <si>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</si>
  <si>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</si>
  <si>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</si>
  <si>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</si>
  <si>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</si>
  <si>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</si>
  <si>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</si>
  <si>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</si>
  <si>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</si>
  <si>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</si>
  <si>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</si>
  <si>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</si>
  <si>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</si>
  <si>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</si>
  <si>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</si>
  <si>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</si>
  <si>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</si>
  <si>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</si>
  <si>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</si>
  <si>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</si>
  <si>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</si>
  <si>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</si>
  <si>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</si>
  <si>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</si>
  <si>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</si>
  <si>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</si>
  <si>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</si>
  <si>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</si>
  <si>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</si>
  <si>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</si>
  <si>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</si>
  <si>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</si>
  <si>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Q2</t>
  </si>
  <si>
    <t>Q3</t>
  </si>
  <si>
    <t>Q4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</si>
  <si>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</si>
  <si>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</si>
  <si>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</si>
  <si>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</si>
  <si>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</si>
  <si>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</si>
  <si>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</si>
  <si>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</si>
  <si>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</si>
  <si>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</si>
  <si>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</si>
  <si>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</si>
  <si>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</si>
  <si>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</si>
  <si>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</si>
  <si>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</si>
  <si>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</si>
  <si>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</si>
  <si>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</si>
  <si>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 xml:space="preserve">ROAD TRAFFIC CRASHES ON STATE BASIS </t>
  </si>
  <si>
    <t>ROAD TRAFFIC CRASHES ON STATE BASIS 1ST QUARTER, 2025</t>
  </si>
  <si>
    <t>ROAD TRAFFIC CRASHES ON STATE BASIS 2ND QUARTER, 2025</t>
  </si>
  <si>
    <t>YonY</t>
  </si>
  <si>
    <t>QonQ</t>
  </si>
  <si>
    <t>TOTAL</t>
  </si>
  <si>
    <t>Source: Federal Road Safety Corps (FRSC)</t>
  </si>
  <si>
    <t xml:space="preserve">SEX DISTRIBUTION OF PERSONS KILLED IN RTC </t>
  </si>
  <si>
    <t>Q1 2025`</t>
  </si>
  <si>
    <t>SEX</t>
  </si>
  <si>
    <t xml:space="preserve">Persons Killed </t>
  </si>
  <si>
    <t>Persons Killed</t>
  </si>
  <si>
    <t>Frequency</t>
  </si>
  <si>
    <t>%</t>
  </si>
  <si>
    <t>Percentage</t>
  </si>
  <si>
    <t>MALE ADULT</t>
  </si>
  <si>
    <t>FEMALE ADULT</t>
  </si>
  <si>
    <t>MALE CHILD</t>
  </si>
  <si>
    <t>FEMALE CHILD</t>
  </si>
  <si>
    <t xml:space="preserve"> FEMALE CHILD</t>
  </si>
  <si>
    <t>100</t>
  </si>
  <si>
    <t>Total</t>
  </si>
  <si>
    <t xml:space="preserve">SEX DISTRIBUTION OF PERSONS INJURED IN RTC </t>
  </si>
  <si>
    <t>Persons Injured </t>
  </si>
  <si>
    <t>Persons Injured</t>
  </si>
  <si>
    <t xml:space="preserve">NUMBER OF VEHICLES INVOLVED IN ROAD TRAFFIC CRASHES </t>
  </si>
  <si>
    <t>VEHICLE CATEGORY</t>
  </si>
  <si>
    <t>BICYCLE</t>
  </si>
  <si>
    <t>MOTORCYCLE</t>
  </si>
  <si>
    <t>TRICYCLE</t>
  </si>
  <si>
    <t>CAR</t>
  </si>
  <si>
    <t>SUV(JEEP)</t>
  </si>
  <si>
    <t>VAN</t>
  </si>
  <si>
    <t>MINIBUS</t>
  </si>
  <si>
    <t>LUXURY BUS</t>
  </si>
  <si>
    <t>PICK-UP</t>
  </si>
  <si>
    <t>TRUCK</t>
  </si>
  <si>
    <t>TANKER</t>
  </si>
  <si>
    <t>TRAILER</t>
  </si>
  <si>
    <t xml:space="preserve">CATEGORY OF VEHICLES INVOLVED IN ROAD TRAFFIC CRASHES </t>
  </si>
  <si>
    <t>PRIVATE</t>
  </si>
  <si>
    <t>COMMERCIAL</t>
  </si>
  <si>
    <t>GOVERNMENT</t>
  </si>
  <si>
    <t>DIPLOMAT</t>
  </si>
  <si>
    <t xml:space="preserve">CAUSATIVE FACTORS OF ROAD TRAFFIC CRASHES </t>
  </si>
  <si>
    <t xml:space="preserve">Q3 2021 CAUSATIVE FACTORS OF ROAD TRAFFIC CRASHES  </t>
  </si>
  <si>
    <t xml:space="preserve">Q4 2021 CAUSATIVE FACTORS OF ROAD TRAFFIC CRASHES  </t>
  </si>
  <si>
    <t xml:space="preserve">Q1 2022 CAUSATIVE FACTORS OF ROAD TRAFFIC CRASHES  </t>
  </si>
  <si>
    <t xml:space="preserve">Q2 2022 CAUSATIVE FACTORS OF ROAD TRAFFIC CRASHES  </t>
  </si>
  <si>
    <t xml:space="preserve">Q3 2022 CAUSATIVE FACTORS OF ROAD TRAFFIC CRASHES  </t>
  </si>
  <si>
    <t xml:space="preserve">Q4 2022 CAUSATIVE FACTORS OF ROAD TRAFFIC CRASHES  </t>
  </si>
  <si>
    <t xml:space="preserve">Q1 2023 CAUSATIVE FACTORS OF ROAD TRAFFIC CRASHES  </t>
  </si>
  <si>
    <t xml:space="preserve">Q2 2023 CAUSATIVE FACTORS OF ROAD TRAFFIC CRASHES  </t>
  </si>
  <si>
    <t xml:space="preserve">Q3 2023 CAUSATIVE FACTORS OF ROAD TRAFFIC CRASHES  </t>
  </si>
  <si>
    <t xml:space="preserve">Q4 2023 CAUSATIVE FACTORS OF ROAD TRAFFIC CRASHES  </t>
  </si>
  <si>
    <t xml:space="preserve">Q1 2024 CAUSATIVE FACTORS OF ROAD TRAFFIC CRASHES  </t>
  </si>
  <si>
    <t xml:space="preserve">Q2 2024 CAUSATIVE FACTORS OF ROAD TRAFFIC CRASHES  </t>
  </si>
  <si>
    <t xml:space="preserve">Q3 2024 CAUSATIVE FACTORS OF ROAD TRAFFIC CRASHES  </t>
  </si>
  <si>
    <t xml:space="preserve">Q4 2024 CAUSATIVE FACTORS OF ROAD TRAFFIC CRASHES  </t>
  </si>
  <si>
    <t xml:space="preserve">Q1 2025 CAUSATIVE FACTORS OF ROAD TRAFFIC CRASHES  </t>
  </si>
  <si>
    <t xml:space="preserve">Q2 2025 CAUSATIVE FACTORS OF ROAD TRAFFIC CRASHES  </t>
  </si>
  <si>
    <t>SPV</t>
  </si>
  <si>
    <t>UPD</t>
  </si>
  <si>
    <t>TBT</t>
  </si>
  <si>
    <t>MDV</t>
  </si>
  <si>
    <t>BFL</t>
  </si>
  <si>
    <t>OVL</t>
  </si>
  <si>
    <t>DOT</t>
  </si>
  <si>
    <t>WOT</t>
  </si>
  <si>
    <t>DGD</t>
  </si>
  <si>
    <t>BRD</t>
  </si>
  <si>
    <t>RTV</t>
  </si>
  <si>
    <t>OBS</t>
  </si>
  <si>
    <t>SOS</t>
  </si>
  <si>
    <t>DAD</t>
  </si>
  <si>
    <t>PWR</t>
  </si>
  <si>
    <t>FTQ</t>
  </si>
  <si>
    <t>SLV</t>
  </si>
  <si>
    <t>LOC</t>
  </si>
  <si>
    <t>WOV</t>
  </si>
  <si>
    <t>DOV</t>
  </si>
  <si>
    <t>ROV</t>
  </si>
  <si>
    <t>*LEGEND OF CAUSATIVE FACTORS CODE</t>
  </si>
  <si>
    <t>CAUSATIVE FACTORS</t>
  </si>
  <si>
    <t>CODE</t>
  </si>
  <si>
    <t>Speed Violation (SPV)</t>
  </si>
  <si>
    <t>Use of Phone While Driving (UPWD)</t>
  </si>
  <si>
    <t>UPWD</t>
  </si>
  <si>
    <t>Tyre Burst (TBT)</t>
  </si>
  <si>
    <t>Mechanically Deficient Vehicle (MDV)</t>
  </si>
  <si>
    <t>Brake Failure (BFL)</t>
  </si>
  <si>
    <t>Overloading (OVL)</t>
  </si>
  <si>
    <t>Dangerous Overtaking (DOT)</t>
  </si>
  <si>
    <t>Wrongful Overtaking (WOT)</t>
  </si>
  <si>
    <t>Dangerous Driving (DGD)</t>
  </si>
  <si>
    <t>Bad Road (BRD)</t>
  </si>
  <si>
    <t>Route Violation (RTV)</t>
  </si>
  <si>
    <t>Road Obstruction Violation (OBS)</t>
  </si>
  <si>
    <t>Sleeping on Steering (SOS)</t>
  </si>
  <si>
    <t>Driving Under Alcohol/Drug Influence (DAD)</t>
  </si>
  <si>
    <t>Poor Weather (PWR)</t>
  </si>
  <si>
    <t>Fatigue (FTQ)</t>
  </si>
  <si>
    <t>Sign Light Violation (SLV)</t>
  </si>
  <si>
    <t>Others</t>
  </si>
  <si>
    <t>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</si>
</sst>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* #,##0.00_-;\-* #,##0.00_-;_-* &quot;-&quot;??_-;_-@_-"/>
    <numFmt numFmtId="168" formatCode="_-* #,##0_-;\-* #,##0_-;_-* &quot;-&quot;??_-;_-@_-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i/>
      <sz val="10"/>
      <color theme="1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b/>
      <u/>
      <sz val="10"/>
      <color rgb="FF000000"/>
      <name val="Comic Sans MS"/>
      <charset val="134"/>
    </font>
    <font>
      <b/>
      <sz val="8"/>
      <color indexed="8"/>
      <name val="Comic Sans MS"/>
      <charset val="134"/>
    </font>
    <font>
      <sz val="8"/>
      <color indexed="8"/>
      <name val="Comic Sans MS"/>
      <charset val="134"/>
    </font>
    <font>
      <sz val="8"/>
      <color rgb="FF000000"/>
      <name val="Comic Sans MS"/>
      <charset val="134"/>
    </font>
    <font>
      <b/>
      <i/>
      <sz val="8"/>
      <color theme="1"/>
      <name val="Comic Sans MS"/>
      <charset val="134"/>
    </font>
    <font>
      <b/>
      <sz val="11"/>
      <color rgb="FF000000"/>
      <name val="Calibri"/>
      <charset val="134"/>
      <scheme val="minor"/>
    </font>
    <font>
      <b/>
      <sz val="8"/>
      <color rgb="FF000000"/>
      <name val="Comic Sans MS"/>
      <charset val="134"/>
    </font>
    <font>
      <sz val="8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theme="1"/>
      <name val="Comic Sans MS"/>
      <charset val="134"/>
    </font>
    <font>
      <i/>
      <sz val="8"/>
      <color theme="1"/>
      <name val="Comic Sans MS"/>
      <charset val="134"/>
    </font>
    <font>
      <b/>
      <sz val="10"/>
      <color theme="1"/>
      <name val="Calibri"/>
      <family val="2"/>
      <scheme val="minor"/>
    </font>
    <font>
      <sz val="8"/>
      <color rgb="FF000000"/>
      <name val="Comic Sans MS"/>
      <family val="4"/>
    </font>
    <font>
      <sz val="10"/>
      <color theme="1"/>
      <name val="Calibri"/>
      <family val="2"/>
      <scheme val="minor"/>
    </font>
    <font>
      <b/>
      <sz val="8"/>
      <color rgb="FF000000"/>
      <name val="Comic Sans MS"/>
      <family val="4"/>
    </font>
    <font>
      <b/>
      <sz val="8"/>
      <color indexed="8"/>
      <name val="Comic Sans MS"/>
      <family val="4"/>
    </font>
    <font>
      <sz val="8"/>
      <color indexed="8"/>
      <name val="Comic Sans MS"/>
      <family val="4"/>
    </font>
    <font>
      <b/>
      <u/>
      <sz val="10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7" fillId="0" borderId="0"/>
    <xf numFmtId="167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12">
    <xf numFmtId="0" fontId="0" fillId="0" borderId="0" xfId="0"/>
    <xf numFmtId="0" fontId="2" fillId="0" borderId="0" xfId="0" applyFont="1"/>
    <xf numFmtId="1" fontId="3" fillId="0" borderId="0" xfId="2" applyNumberFormat="1" applyFont="1" applyAlignment="1">
      <alignment vertical="center"/>
    </xf>
    <xf numFmtId="1" fontId="3" fillId="0" borderId="0" xfId="2" applyNumberFormat="1" applyFont="1"/>
    <xf numFmtId="9" fontId="3" fillId="0" borderId="0" xfId="1" applyFont="1" applyFill="1" applyBorder="1" applyAlignment="1">
      <alignment vertical="center"/>
    </xf>
    <xf numFmtId="1" fontId="4" fillId="0" borderId="0" xfId="2" applyNumberFormat="1" applyFont="1" applyAlignment="1">
      <alignment horizontal="right" vertical="center"/>
    </xf>
    <xf numFmtId="9" fontId="0" fillId="0" borderId="0" xfId="1" applyFont="1"/>
    <xf numFmtId="1" fontId="4" fillId="0" borderId="0" xfId="2" applyNumberFormat="1" applyFont="1" applyAlignment="1">
      <alignment vertical="center"/>
    </xf>
    <xf numFmtId="1" fontId="5" fillId="0" borderId="0" xfId="2" applyNumberFormat="1" applyFont="1" applyAlignment="1">
      <alignment horizontal="right"/>
    </xf>
    <xf numFmtId="1" fontId="6" fillId="0" borderId="0" xfId="2" applyNumberFormat="1" applyFont="1" applyAlignment="1">
      <alignment horizontal="right" vertical="center"/>
    </xf>
    <xf numFmtId="1" fontId="6" fillId="0" borderId="0" xfId="2" applyNumberFormat="1" applyFont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3" fillId="0" borderId="0" xfId="2" applyNumberFormat="1" applyFont="1" applyFill="1" applyAlignment="1">
      <alignment vertical="center"/>
    </xf>
    <xf numFmtId="0" fontId="7" fillId="0" borderId="0" xfId="3"/>
    <xf numFmtId="0" fontId="8" fillId="0" borderId="0" xfId="3" applyFont="1"/>
    <xf numFmtId="0" fontId="9" fillId="0" borderId="0" xfId="3" applyFont="1"/>
    <xf numFmtId="0" fontId="8" fillId="0" borderId="0" xfId="3" applyFont="1" applyAlignment="1">
      <alignment vertical="center"/>
    </xf>
    <xf numFmtId="0" fontId="10" fillId="0" borderId="1" xfId="3" applyFont="1" applyBorder="1" applyAlignment="1">
      <alignment vertical="center"/>
    </xf>
    <xf numFmtId="0" fontId="10" fillId="0" borderId="1" xfId="3" applyFont="1" applyBorder="1" applyAlignment="1">
      <alignment vertical="center" wrapText="1"/>
    </xf>
    <xf numFmtId="0" fontId="11" fillId="0" borderId="1" xfId="3" applyFont="1" applyBorder="1" applyAlignment="1">
      <alignment vertical="center"/>
    </xf>
    <xf numFmtId="0" fontId="11" fillId="0" borderId="1" xfId="3" applyFont="1" applyBorder="1" applyAlignment="1">
      <alignment horizontal="right" vertical="center"/>
    </xf>
    <xf numFmtId="0" fontId="10" fillId="0" borderId="1" xfId="3" applyFont="1" applyBorder="1" applyAlignment="1">
      <alignment horizontal="right" vertical="center"/>
    </xf>
    <xf numFmtId="0" fontId="12" fillId="0" borderId="0" xfId="3" applyFont="1" applyAlignment="1">
      <alignment vertical="center"/>
    </xf>
    <xf numFmtId="167" fontId="9" fillId="0" borderId="0" xfId="4" applyFont="1"/>
    <xf numFmtId="0" fontId="13" fillId="0" borderId="0" xfId="3" applyFont="1" applyAlignment="1">
      <alignment vertical="center"/>
    </xf>
    <xf numFmtId="0" fontId="13" fillId="0" borderId="0" xfId="3" applyFont="1" applyAlignment="1">
      <alignment vertical="center" wrapText="1"/>
    </xf>
    <xf numFmtId="0" fontId="8" fillId="0" borderId="0" xfId="3" applyFont="1" applyAlignment="1">
      <alignment horizontal="center"/>
    </xf>
    <xf numFmtId="0" fontId="10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167" fontId="9" fillId="0" borderId="1" xfId="4" applyFont="1" applyBorder="1" applyAlignment="1">
      <alignment horizontal="center"/>
    </xf>
    <xf numFmtId="2" fontId="11" fillId="0" borderId="1" xfId="3" applyNumberFormat="1" applyFont="1" applyBorder="1" applyAlignment="1">
      <alignment horizontal="center" vertical="center"/>
    </xf>
    <xf numFmtId="9" fontId="11" fillId="0" borderId="0" xfId="5" applyFont="1" applyBorder="1" applyAlignment="1">
      <alignment horizontal="right" vertical="center"/>
    </xf>
    <xf numFmtId="9" fontId="11" fillId="0" borderId="0" xfId="5" applyFont="1" applyFill="1" applyBorder="1" applyAlignment="1">
      <alignment horizontal="right" vertical="center"/>
    </xf>
    <xf numFmtId="2" fontId="9" fillId="0" borderId="0" xfId="3" applyNumberFormat="1" applyFont="1"/>
    <xf numFmtId="0" fontId="13" fillId="0" borderId="1" xfId="3" applyFont="1" applyBorder="1" applyAlignment="1">
      <alignment vertical="center" wrapText="1"/>
    </xf>
    <xf numFmtId="0" fontId="8" fillId="0" borderId="1" xfId="3" applyFont="1" applyBorder="1" applyAlignment="1">
      <alignment horizontal="center"/>
    </xf>
    <xf numFmtId="1" fontId="10" fillId="0" borderId="1" xfId="3" applyNumberFormat="1" applyFont="1" applyBorder="1" applyAlignment="1">
      <alignment horizontal="center" vertical="center"/>
    </xf>
    <xf numFmtId="2" fontId="10" fillId="0" borderId="1" xfId="3" applyNumberFormat="1" applyFont="1" applyBorder="1" applyAlignment="1">
      <alignment horizontal="center" vertical="center"/>
    </xf>
    <xf numFmtId="1" fontId="11" fillId="0" borderId="1" xfId="3" applyNumberFormat="1" applyFont="1" applyBorder="1" applyAlignment="1">
      <alignment horizontal="center" vertical="center"/>
    </xf>
    <xf numFmtId="167" fontId="9" fillId="0" borderId="1" xfId="4" applyFont="1" applyBorder="1"/>
    <xf numFmtId="2" fontId="10" fillId="0" borderId="1" xfId="3" applyNumberFormat="1" applyFont="1" applyBorder="1" applyAlignment="1">
      <alignment horizontal="right" vertical="center"/>
    </xf>
    <xf numFmtId="167" fontId="8" fillId="0" borderId="1" xfId="4" applyFont="1" applyBorder="1" applyAlignment="1">
      <alignment horizontal="center"/>
    </xf>
    <xf numFmtId="168" fontId="9" fillId="0" borderId="1" xfId="4" applyNumberFormat="1" applyFont="1" applyBorder="1" applyAlignment="1">
      <alignment horizontal="center"/>
    </xf>
    <xf numFmtId="1" fontId="9" fillId="0" borderId="0" xfId="3" applyNumberFormat="1" applyFont="1"/>
    <xf numFmtId="0" fontId="10" fillId="0" borderId="0" xfId="3" applyFont="1" applyAlignment="1">
      <alignment vertical="center" wrapText="1"/>
    </xf>
    <xf numFmtId="0" fontId="11" fillId="0" borderId="0" xfId="3" applyFont="1" applyAlignment="1">
      <alignment horizontal="right" vertical="center"/>
    </xf>
    <xf numFmtId="0" fontId="10" fillId="0" borderId="0" xfId="3" applyFont="1" applyAlignment="1">
      <alignment horizontal="right" vertical="center"/>
    </xf>
    <xf numFmtId="0" fontId="14" fillId="3" borderId="0" xfId="3" applyFont="1" applyFill="1" applyAlignment="1">
      <alignment vertical="center"/>
    </xf>
    <xf numFmtId="0" fontId="10" fillId="0" borderId="1" xfId="3" applyFont="1" applyBorder="1" applyAlignment="1">
      <alignment horizontal="left" vertical="center" wrapText="1"/>
    </xf>
    <xf numFmtId="0" fontId="10" fillId="0" borderId="1" xfId="3" applyFont="1" applyBorder="1" applyAlignment="1">
      <alignment horizontal="right" vertical="center" wrapText="1"/>
    </xf>
    <xf numFmtId="0" fontId="11" fillId="0" borderId="1" xfId="3" applyFont="1" applyBorder="1" applyAlignment="1">
      <alignment horizontal="left" vertical="center"/>
    </xf>
    <xf numFmtId="0" fontId="10" fillId="0" borderId="1" xfId="3" applyFont="1" applyBorder="1" applyAlignment="1">
      <alignment horizontal="left" vertical="center"/>
    </xf>
    <xf numFmtId="0" fontId="8" fillId="0" borderId="6" xfId="3" applyFont="1" applyBorder="1" applyAlignment="1">
      <alignment horizontal="center"/>
    </xf>
    <xf numFmtId="167" fontId="11" fillId="0" borderId="1" xfId="4" applyFont="1" applyBorder="1" applyAlignment="1">
      <alignment horizontal="center" vertical="center"/>
    </xf>
    <xf numFmtId="0" fontId="8" fillId="4" borderId="0" xfId="3" applyFont="1" applyFill="1" applyAlignment="1">
      <alignment horizontal="center"/>
    </xf>
    <xf numFmtId="168" fontId="11" fillId="0" borderId="1" xfId="4" applyNumberFormat="1" applyFont="1" applyBorder="1" applyAlignment="1">
      <alignment horizontal="center" vertical="center"/>
    </xf>
    <xf numFmtId="0" fontId="15" fillId="0" borderId="1" xfId="3" applyFont="1" applyBorder="1" applyAlignment="1">
      <alignment wrapText="1"/>
    </xf>
    <xf numFmtId="0" fontId="15" fillId="0" borderId="1" xfId="3" applyFont="1" applyBorder="1"/>
    <xf numFmtId="0" fontId="16" fillId="0" borderId="1" xfId="3" applyFont="1" applyBorder="1"/>
    <xf numFmtId="2" fontId="16" fillId="0" borderId="1" xfId="3" applyNumberFormat="1" applyFont="1" applyBorder="1"/>
    <xf numFmtId="0" fontId="17" fillId="0" borderId="1" xfId="3" applyFont="1" applyBorder="1" applyAlignment="1">
      <alignment horizontal="center" vertical="center"/>
    </xf>
    <xf numFmtId="2" fontId="17" fillId="0" borderId="1" xfId="3" applyNumberFormat="1" applyFont="1" applyBorder="1" applyAlignment="1">
      <alignment horizontal="center" vertical="center"/>
    </xf>
    <xf numFmtId="2" fontId="15" fillId="0" borderId="1" xfId="3" applyNumberFormat="1" applyFont="1" applyBorder="1"/>
    <xf numFmtId="0" fontId="15" fillId="0" borderId="1" xfId="3" applyFont="1" applyBorder="1" applyAlignment="1">
      <alignment horizontal="center"/>
    </xf>
    <xf numFmtId="0" fontId="18" fillId="0" borderId="0" xfId="3" applyFont="1" applyAlignment="1">
      <alignment vertical="center"/>
    </xf>
    <xf numFmtId="0" fontId="16" fillId="0" borderId="1" xfId="3" applyFont="1" applyBorder="1" applyAlignment="1">
      <alignment horizontal="center"/>
    </xf>
    <xf numFmtId="0" fontId="19" fillId="0" borderId="0" xfId="3" applyFont="1" applyBorder="1" applyAlignment="1">
      <alignment vertical="center"/>
    </xf>
    <xf numFmtId="0" fontId="15" fillId="0" borderId="1" xfId="3" applyFont="1" applyBorder="1" applyAlignment="1">
      <alignment horizontal="center" wrapText="1"/>
    </xf>
    <xf numFmtId="0" fontId="20" fillId="0" borderId="7" xfId="3" applyFont="1" applyBorder="1" applyAlignment="1">
      <alignment horizontal="center"/>
    </xf>
    <xf numFmtId="0" fontId="20" fillId="0" borderId="8" xfId="3" applyFont="1" applyBorder="1" applyAlignment="1">
      <alignment horizontal="center"/>
    </xf>
    <xf numFmtId="0" fontId="17" fillId="0" borderId="7" xfId="3" applyFont="1" applyBorder="1" applyAlignment="1">
      <alignment vertical="center"/>
    </xf>
    <xf numFmtId="0" fontId="17" fillId="0" borderId="8" xfId="3" applyFont="1" applyBorder="1" applyAlignment="1">
      <alignment horizontal="center" vertical="center"/>
    </xf>
    <xf numFmtId="0" fontId="9" fillId="0" borderId="0" xfId="3" applyFont="1" applyBorder="1"/>
    <xf numFmtId="0" fontId="20" fillId="0" borderId="8" xfId="3" applyFont="1" applyBorder="1" applyAlignment="1">
      <alignment horizontal="center" wrapText="1"/>
    </xf>
    <xf numFmtId="0" fontId="20" fillId="0" borderId="7" xfId="3" applyFont="1" applyBorder="1" applyAlignment="1">
      <alignment vertical="center"/>
    </xf>
    <xf numFmtId="0" fontId="20" fillId="0" borderId="8" xfId="3" applyFont="1" applyBorder="1" applyAlignment="1">
      <alignment horizontal="center" vertical="center"/>
    </xf>
    <xf numFmtId="0" fontId="13" fillId="0" borderId="1" xfId="3" applyFont="1" applyBorder="1" applyAlignment="1">
      <alignment vertical="center"/>
    </xf>
    <xf numFmtId="0" fontId="10" fillId="0" borderId="1" xfId="3" applyFont="1" applyBorder="1"/>
    <xf numFmtId="0" fontId="11" fillId="0" borderId="1" xfId="3" applyFont="1" applyBorder="1"/>
    <xf numFmtId="0" fontId="9" fillId="0" borderId="1" xfId="3" applyFont="1" applyBorder="1" applyAlignment="1">
      <alignment horizontal="center"/>
    </xf>
    <xf numFmtId="2" fontId="9" fillId="0" borderId="1" xfId="3" applyNumberFormat="1" applyFont="1" applyBorder="1" applyAlignment="1">
      <alignment horizontal="center"/>
    </xf>
    <xf numFmtId="167" fontId="8" fillId="0" borderId="1" xfId="3" applyNumberFormat="1" applyFont="1" applyBorder="1" applyAlignment="1">
      <alignment horizontal="center"/>
    </xf>
    <xf numFmtId="0" fontId="13" fillId="0" borderId="0" xfId="3" applyFont="1"/>
    <xf numFmtId="0" fontId="13" fillId="0" borderId="1" xfId="3" applyFont="1" applyBorder="1"/>
    <xf numFmtId="0" fontId="9" fillId="0" borderId="1" xfId="3" applyFont="1" applyBorder="1"/>
    <xf numFmtId="167" fontId="9" fillId="0" borderId="1" xfId="4" applyFont="1" applyFill="1" applyBorder="1" applyAlignment="1">
      <alignment horizontal="center"/>
    </xf>
    <xf numFmtId="0" fontId="8" fillId="0" borderId="1" xfId="3" applyFont="1" applyBorder="1"/>
    <xf numFmtId="167" fontId="9" fillId="0" borderId="0" xfId="3" applyNumberFormat="1" applyFont="1"/>
    <xf numFmtId="0" fontId="10" fillId="0" borderId="1" xfId="3" applyFont="1" applyBorder="1" applyAlignment="1">
      <alignment vertical="center" textRotation="90"/>
    </xf>
    <xf numFmtId="0" fontId="9" fillId="0" borderId="1" xfId="3" applyFont="1" applyBorder="1" applyAlignment="1">
      <alignment horizontal="right" vertical="center"/>
    </xf>
    <xf numFmtId="168" fontId="8" fillId="0" borderId="1" xfId="4" applyNumberFormat="1" applyFont="1" applyBorder="1" applyAlignment="1">
      <alignment horizontal="center"/>
    </xf>
    <xf numFmtId="167" fontId="11" fillId="0" borderId="1" xfId="4" applyFont="1" applyBorder="1"/>
    <xf numFmtId="167" fontId="10" fillId="0" borderId="1" xfId="3" applyNumberFormat="1" applyFont="1" applyBorder="1"/>
    <xf numFmtId="0" fontId="20" fillId="0" borderId="0" xfId="3" applyFont="1" applyAlignment="1">
      <alignment horizontal="right" vertical="center"/>
    </xf>
    <xf numFmtId="1" fontId="11" fillId="0" borderId="1" xfId="3" applyNumberFormat="1" applyFont="1" applyBorder="1"/>
    <xf numFmtId="168" fontId="11" fillId="0" borderId="1" xfId="4" applyNumberFormat="1" applyFont="1" applyBorder="1"/>
    <xf numFmtId="1" fontId="10" fillId="0" borderId="1" xfId="3" applyNumberFormat="1" applyFont="1" applyBorder="1"/>
    <xf numFmtId="168" fontId="10" fillId="0" borderId="1" xfId="4" applyNumberFormat="1" applyFont="1" applyBorder="1"/>
    <xf numFmtId="0" fontId="8" fillId="0" borderId="3" xfId="3" applyFont="1" applyBorder="1" applyAlignment="1">
      <alignment horizontal="center"/>
    </xf>
    <xf numFmtId="0" fontId="8" fillId="0" borderId="4" xfId="3" applyFont="1" applyBorder="1" applyAlignment="1">
      <alignment horizontal="center"/>
    </xf>
    <xf numFmtId="2" fontId="11" fillId="0" borderId="1" xfId="3" applyNumberFormat="1" applyFont="1" applyBorder="1"/>
    <xf numFmtId="2" fontId="10" fillId="0" borderId="1" xfId="3" applyNumberFormat="1" applyFont="1" applyBorder="1"/>
    <xf numFmtId="168" fontId="9" fillId="0" borderId="0" xfId="3" applyNumberFormat="1" applyFont="1"/>
    <xf numFmtId="0" fontId="10" fillId="0" borderId="9" xfId="3" applyFont="1" applyBorder="1" applyAlignment="1">
      <alignment vertical="center" textRotation="90"/>
    </xf>
    <xf numFmtId="0" fontId="9" fillId="0" borderId="9" xfId="3" applyFont="1" applyBorder="1" applyAlignment="1">
      <alignment horizontal="right" vertical="center"/>
    </xf>
    <xf numFmtId="167" fontId="11" fillId="0" borderId="1" xfId="4" applyFont="1" applyFill="1" applyBorder="1"/>
    <xf numFmtId="167" fontId="10" fillId="0" borderId="1" xfId="4" applyFont="1" applyFill="1" applyBorder="1"/>
    <xf numFmtId="0" fontId="8" fillId="0" borderId="0" xfId="3" applyFont="1" applyAlignment="1">
      <alignment horizontal="left"/>
    </xf>
    <xf numFmtId="0" fontId="10" fillId="0" borderId="1" xfId="3" applyFont="1" applyBorder="1" applyAlignment="1">
      <alignment horizontal="left" vertical="center" textRotation="90"/>
    </xf>
    <xf numFmtId="0" fontId="9" fillId="0" borderId="1" xfId="3" applyFont="1" applyBorder="1" applyAlignment="1">
      <alignment horizontal="left" vertical="center"/>
    </xf>
    <xf numFmtId="168" fontId="10" fillId="0" borderId="1" xfId="4" applyNumberFormat="1" applyFont="1" applyBorder="1" applyAlignment="1">
      <alignment horizontal="center" vertical="center"/>
    </xf>
    <xf numFmtId="168" fontId="15" fillId="0" borderId="1" xfId="4" applyNumberFormat="1" applyFont="1" applyBorder="1" applyAlignment="1">
      <alignment horizontal="center"/>
    </xf>
    <xf numFmtId="0" fontId="21" fillId="0" borderId="1" xfId="3" applyNumberFormat="1" applyFont="1" applyBorder="1" applyAlignment="1">
      <alignment horizontal="center"/>
    </xf>
    <xf numFmtId="168" fontId="15" fillId="5" borderId="1" xfId="4" applyNumberFormat="1" applyFont="1" applyFill="1" applyBorder="1" applyAlignment="1">
      <alignment horizontal="center"/>
    </xf>
    <xf numFmtId="168" fontId="10" fillId="0" borderId="1" xfId="3" applyNumberFormat="1" applyFont="1" applyBorder="1"/>
    <xf numFmtId="0" fontId="20" fillId="0" borderId="1" xfId="3" applyFont="1" applyBorder="1" applyAlignment="1">
      <alignment vertical="center"/>
    </xf>
    <xf numFmtId="9" fontId="10" fillId="0" borderId="1" xfId="5" applyFont="1" applyBorder="1"/>
    <xf numFmtId="0" fontId="20" fillId="0" borderId="1" xfId="3" applyFont="1" applyBorder="1" applyAlignment="1">
      <alignment vertical="center" textRotation="90"/>
    </xf>
    <xf numFmtId="0" fontId="22" fillId="0" borderId="1" xfId="3" applyFont="1" applyBorder="1" applyAlignment="1">
      <alignment horizontal="right" vertical="center"/>
    </xf>
    <xf numFmtId="0" fontId="19" fillId="0" borderId="1" xfId="3" applyFont="1" applyBorder="1" applyAlignment="1">
      <alignment horizontal="right" vertical="center"/>
    </xf>
    <xf numFmtId="0" fontId="17" fillId="0" borderId="10" xfId="3" applyFont="1" applyBorder="1" applyAlignment="1">
      <alignment vertical="center"/>
    </xf>
    <xf numFmtId="0" fontId="17" fillId="0" borderId="11" xfId="3" applyFont="1" applyBorder="1" applyAlignment="1">
      <alignment vertical="center" textRotation="90"/>
    </xf>
    <xf numFmtId="0" fontId="22" fillId="0" borderId="8" xfId="3" applyFont="1" applyBorder="1" applyAlignment="1">
      <alignment horizontal="right" vertical="center"/>
    </xf>
    <xf numFmtId="0" fontId="7" fillId="0" borderId="8" xfId="3" applyBorder="1" applyAlignment="1">
      <alignment horizontal="right" vertical="center"/>
    </xf>
    <xf numFmtId="0" fontId="8" fillId="0" borderId="6" xfId="3" applyFont="1" applyBorder="1" applyAlignment="1"/>
    <xf numFmtId="0" fontId="20" fillId="0" borderId="10" xfId="3" applyFont="1" applyBorder="1" applyAlignment="1">
      <alignment vertical="center"/>
    </xf>
    <xf numFmtId="0" fontId="20" fillId="0" borderId="11" xfId="3" applyFont="1" applyBorder="1" applyAlignment="1">
      <alignment vertical="center" textRotation="90"/>
    </xf>
    <xf numFmtId="0" fontId="22" fillId="0" borderId="8" xfId="3" applyFont="1" applyBorder="1" applyAlignment="1">
      <alignment vertical="center"/>
    </xf>
    <xf numFmtId="0" fontId="8" fillId="0" borderId="1" xfId="3" applyFont="1" applyBorder="1" applyAlignment="1">
      <alignment horizontal="right" vertical="center"/>
    </xf>
    <xf numFmtId="0" fontId="8" fillId="0" borderId="0" xfId="3" applyFont="1" applyAlignment="1">
      <alignment horizontal="center" vertical="center"/>
    </xf>
    <xf numFmtId="0" fontId="10" fillId="0" borderId="12" xfId="3" applyFont="1" applyBorder="1" applyAlignment="1">
      <alignment vertical="center" wrapText="1"/>
    </xf>
    <xf numFmtId="0" fontId="11" fillId="0" borderId="3" xfId="3" applyFont="1" applyBorder="1" applyAlignment="1">
      <alignment vertical="center" wrapText="1"/>
    </xf>
    <xf numFmtId="0" fontId="8" fillId="0" borderId="9" xfId="3" applyFont="1" applyBorder="1" applyAlignment="1">
      <alignment horizontal="right" vertical="center"/>
    </xf>
    <xf numFmtId="0" fontId="8" fillId="0" borderId="1" xfId="3" applyFont="1" applyBorder="1" applyAlignment="1">
      <alignment horizontal="left" vertical="center"/>
    </xf>
    <xf numFmtId="0" fontId="23" fillId="0" borderId="7" xfId="3" applyFont="1" applyBorder="1" applyAlignment="1">
      <alignment vertical="center"/>
    </xf>
    <xf numFmtId="0" fontId="23" fillId="0" borderId="8" xfId="3" applyFont="1" applyBorder="1" applyAlignment="1">
      <alignment horizontal="right" vertical="center"/>
    </xf>
    <xf numFmtId="0" fontId="24" fillId="0" borderId="0" xfId="3" applyFont="1" applyAlignment="1">
      <alignment vertical="center"/>
    </xf>
    <xf numFmtId="0" fontId="19" fillId="0" borderId="8" xfId="3" applyFont="1" applyBorder="1" applyAlignment="1">
      <alignment vertical="center"/>
    </xf>
    <xf numFmtId="1" fontId="10" fillId="0" borderId="1" xfId="3" quotePrefix="1" applyNumberFormat="1" applyFont="1" applyBorder="1" applyAlignment="1">
      <alignment horizontal="center" vertical="center"/>
    </xf>
    <xf numFmtId="2" fontId="10" fillId="0" borderId="1" xfId="3" quotePrefix="1" applyNumberFormat="1" applyFont="1" applyBorder="1" applyAlignment="1">
      <alignment horizontal="center" vertical="center"/>
    </xf>
    <xf numFmtId="2" fontId="11" fillId="0" borderId="1" xfId="3" quotePrefix="1" applyNumberFormat="1" applyFont="1" applyBorder="1" applyAlignment="1">
      <alignment horizontal="center" vertical="center"/>
    </xf>
    <xf numFmtId="1" fontId="11" fillId="0" borderId="1" xfId="3" quotePrefix="1" applyNumberFormat="1" applyFont="1" applyBorder="1" applyAlignment="1">
      <alignment horizontal="center" vertical="center"/>
    </xf>
    <xf numFmtId="9" fontId="10" fillId="0" borderId="1" xfId="3" quotePrefix="1" applyNumberFormat="1" applyFont="1" applyBorder="1" applyAlignment="1">
      <alignment horizontal="center" vertical="center"/>
    </xf>
    <xf numFmtId="9" fontId="10" fillId="0" borderId="1" xfId="5" quotePrefix="1" applyFont="1" applyFill="1" applyBorder="1" applyAlignment="1">
      <alignment horizontal="center" vertical="center"/>
    </xf>
    <xf numFmtId="10" fontId="8" fillId="0" borderId="1" xfId="3" quotePrefix="1" applyNumberFormat="1" applyFont="1" applyBorder="1" applyAlignment="1">
      <alignment horizontal="center"/>
    </xf>
    <xf numFmtId="0" fontId="26" fillId="0" borderId="8" xfId="3" applyFont="1" applyBorder="1" applyAlignment="1">
      <alignment horizontal="center" vertical="center"/>
    </xf>
    <xf numFmtId="2" fontId="27" fillId="0" borderId="0" xfId="3" applyNumberFormat="1" applyFont="1"/>
    <xf numFmtId="2" fontId="26" fillId="0" borderId="0" xfId="3" applyNumberFormat="1" applyFont="1" applyBorder="1" applyAlignment="1">
      <alignment vertical="center"/>
    </xf>
    <xf numFmtId="0" fontId="25" fillId="0" borderId="0" xfId="3" applyFont="1"/>
    <xf numFmtId="0" fontId="28" fillId="0" borderId="0" xfId="3" applyFont="1" applyBorder="1" applyAlignment="1">
      <alignment horizontal="center"/>
    </xf>
    <xf numFmtId="0" fontId="27" fillId="0" borderId="0" xfId="3" applyFont="1"/>
    <xf numFmtId="0" fontId="15" fillId="0" borderId="3" xfId="3" applyFont="1" applyBorder="1" applyAlignment="1"/>
    <xf numFmtId="0" fontId="15" fillId="0" borderId="4" xfId="3" applyFont="1" applyBorder="1" applyAlignment="1"/>
    <xf numFmtId="1" fontId="10" fillId="0" borderId="3" xfId="3" quotePrefix="1" applyNumberFormat="1" applyFont="1" applyBorder="1" applyAlignment="1">
      <alignment vertical="center"/>
    </xf>
    <xf numFmtId="1" fontId="10" fillId="0" borderId="4" xfId="3" applyNumberFormat="1" applyFont="1" applyBorder="1" applyAlignment="1">
      <alignment vertical="center"/>
    </xf>
    <xf numFmtId="1" fontId="10" fillId="0" borderId="4" xfId="3" quotePrefix="1" applyNumberFormat="1" applyFont="1" applyBorder="1" applyAlignment="1">
      <alignment vertical="center"/>
    </xf>
    <xf numFmtId="0" fontId="8" fillId="0" borderId="3" xfId="3" applyFont="1" applyBorder="1" applyAlignment="1"/>
    <xf numFmtId="0" fontId="8" fillId="0" borderId="4" xfId="3" applyFont="1" applyBorder="1" applyAlignment="1"/>
    <xf numFmtId="0" fontId="29" fillId="0" borderId="1" xfId="3" applyFont="1" applyBorder="1" applyAlignment="1">
      <alignment wrapText="1"/>
    </xf>
    <xf numFmtId="0" fontId="30" fillId="0" borderId="1" xfId="3" applyFont="1" applyBorder="1"/>
    <xf numFmtId="0" fontId="26" fillId="0" borderId="1" xfId="3" applyFont="1" applyBorder="1" applyAlignment="1">
      <alignment horizontal="center" vertical="center"/>
    </xf>
    <xf numFmtId="10" fontId="26" fillId="0" borderId="1" xfId="3" applyNumberFormat="1" applyFont="1" applyBorder="1" applyAlignment="1">
      <alignment horizontal="center" vertical="center"/>
    </xf>
    <xf numFmtId="0" fontId="29" fillId="0" borderId="1" xfId="3" applyFont="1" applyBorder="1"/>
    <xf numFmtId="1" fontId="3" fillId="0" borderId="1" xfId="3" quotePrefix="1" applyNumberFormat="1" applyFont="1" applyBorder="1" applyAlignment="1">
      <alignment horizontal="center" vertical="center"/>
    </xf>
    <xf numFmtId="1" fontId="4" fillId="0" borderId="1" xfId="3" quotePrefix="1" applyNumberFormat="1" applyFont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25" fillId="0" borderId="1" xfId="3" applyFont="1" applyBorder="1" applyAlignment="1">
      <alignment horizontal="center"/>
    </xf>
    <xf numFmtId="0" fontId="3" fillId="0" borderId="1" xfId="3" applyFont="1" applyBorder="1"/>
    <xf numFmtId="0" fontId="4" fillId="0" borderId="1" xfId="3" applyFont="1" applyBorder="1"/>
    <xf numFmtId="0" fontId="29" fillId="0" borderId="1" xfId="4" applyNumberFormat="1" applyFont="1" applyBorder="1" applyAlignment="1">
      <alignment horizontal="center"/>
    </xf>
    <xf numFmtId="10" fontId="32" fillId="0" borderId="1" xfId="3" applyNumberFormat="1" applyFont="1" applyBorder="1" applyAlignment="1">
      <alignment horizontal="center"/>
    </xf>
    <xf numFmtId="0" fontId="29" fillId="5" borderId="1" xfId="4" applyNumberFormat="1" applyFont="1" applyFill="1" applyBorder="1" applyAlignment="1">
      <alignment horizontal="center"/>
    </xf>
    <xf numFmtId="0" fontId="31" fillId="0" borderId="1" xfId="3" applyFont="1" applyBorder="1"/>
    <xf numFmtId="0" fontId="27" fillId="0" borderId="1" xfId="3" applyFont="1" applyBorder="1"/>
    <xf numFmtId="0" fontId="4" fillId="0" borderId="1" xfId="4" applyNumberFormat="1" applyFont="1" applyBorder="1"/>
    <xf numFmtId="0" fontId="25" fillId="0" borderId="1" xfId="3" applyFont="1" applyBorder="1"/>
    <xf numFmtId="0" fontId="3" fillId="0" borderId="1" xfId="4" applyNumberFormat="1" applyFont="1" applyBorder="1"/>
    <xf numFmtId="0" fontId="25" fillId="0" borderId="6" xfId="3" applyFont="1" applyBorder="1" applyAlignment="1"/>
    <xf numFmtId="0" fontId="28" fillId="0" borderId="10" xfId="3" applyFont="1" applyBorder="1" applyAlignment="1">
      <alignment vertical="center"/>
    </xf>
    <xf numFmtId="0" fontId="28" fillId="0" borderId="11" xfId="3" applyFont="1" applyBorder="1" applyAlignment="1">
      <alignment vertical="center" textRotation="90"/>
    </xf>
    <xf numFmtId="0" fontId="28" fillId="0" borderId="7" xfId="3" applyFont="1" applyBorder="1" applyAlignment="1">
      <alignment vertical="center"/>
    </xf>
    <xf numFmtId="0" fontId="33" fillId="0" borderId="8" xfId="3" applyFont="1" applyBorder="1" applyAlignment="1">
      <alignment vertical="center"/>
    </xf>
    <xf numFmtId="2" fontId="11" fillId="0" borderId="1" xfId="5" applyNumberFormat="1" applyFont="1" applyBorder="1"/>
    <xf numFmtId="0" fontId="8" fillId="2" borderId="0" xfId="3" applyFont="1" applyFill="1" applyAlignment="1">
      <alignment horizontal="center"/>
    </xf>
    <xf numFmtId="0" fontId="8" fillId="4" borderId="0" xfId="3" applyFont="1" applyFill="1" applyAlignment="1">
      <alignment horizontal="center"/>
    </xf>
    <xf numFmtId="0" fontId="8" fillId="0" borderId="6" xfId="3" applyFont="1" applyBorder="1" applyAlignment="1">
      <alignment horizontal="center"/>
    </xf>
    <xf numFmtId="0" fontId="8" fillId="0" borderId="6" xfId="3" applyFont="1" applyBorder="1" applyAlignment="1">
      <alignment horizontal="center" vertical="center"/>
    </xf>
    <xf numFmtId="0" fontId="8" fillId="0" borderId="0" xfId="3" applyFont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4" xfId="3" applyFont="1" applyBorder="1" applyAlignment="1">
      <alignment horizontal="center"/>
    </xf>
    <xf numFmtId="0" fontId="10" fillId="0" borderId="1" xfId="3" applyFont="1" applyBorder="1" applyAlignment="1">
      <alignment horizontal="center" vertical="center"/>
    </xf>
    <xf numFmtId="2" fontId="10" fillId="0" borderId="3" xfId="3" quotePrefix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1" fontId="10" fillId="0" borderId="3" xfId="3" quotePrefix="1" applyNumberFormat="1" applyFont="1" applyBorder="1" applyAlignment="1">
      <alignment horizontal="center" vertical="center"/>
    </xf>
    <xf numFmtId="1" fontId="10" fillId="0" borderId="4" xfId="3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/>
    </xf>
    <xf numFmtId="0" fontId="25" fillId="0" borderId="3" xfId="3" applyFont="1" applyBorder="1" applyAlignment="1">
      <alignment horizontal="center"/>
    </xf>
    <xf numFmtId="0" fontId="25" fillId="0" borderId="4" xfId="3" applyFont="1" applyBorder="1" applyAlignment="1">
      <alignment horizontal="center"/>
    </xf>
    <xf numFmtId="167" fontId="8" fillId="0" borderId="3" xfId="4" applyFont="1" applyBorder="1" applyAlignment="1">
      <alignment horizontal="center"/>
    </xf>
    <xf numFmtId="167" fontId="8" fillId="0" borderId="4" xfId="4" applyFont="1" applyBorder="1" applyAlignment="1">
      <alignment horizontal="center"/>
    </xf>
    <xf numFmtId="0" fontId="8" fillId="0" borderId="3" xfId="3" applyFont="1" applyBorder="1" applyAlignment="1">
      <alignment horizontal="center"/>
    </xf>
    <xf numFmtId="0" fontId="8" fillId="0" borderId="4" xfId="3" applyFont="1" applyBorder="1" applyAlignment="1">
      <alignment horizontal="center"/>
    </xf>
    <xf numFmtId="2" fontId="10" fillId="0" borderId="2" xfId="3" quotePrefix="1" applyNumberFormat="1" applyFont="1" applyBorder="1" applyAlignment="1">
      <alignment horizontal="center" vertical="center"/>
    </xf>
    <xf numFmtId="2" fontId="10" fillId="0" borderId="5" xfId="3" applyNumberFormat="1" applyFont="1" applyBorder="1" applyAlignment="1">
      <alignment horizontal="center" vertical="center"/>
    </xf>
    <xf numFmtId="167" fontId="8" fillId="0" borderId="2" xfId="4" applyFont="1" applyBorder="1" applyAlignment="1">
      <alignment horizontal="center"/>
    </xf>
    <xf numFmtId="167" fontId="8" fillId="0" borderId="5" xfId="4" applyFont="1" applyBorder="1" applyAlignment="1">
      <alignment horizontal="center"/>
    </xf>
    <xf numFmtId="1" fontId="3" fillId="0" borderId="3" xfId="3" quotePrefix="1" applyNumberFormat="1" applyFont="1" applyBorder="1" applyAlignment="1">
      <alignment horizontal="center" vertical="center"/>
    </xf>
    <xf numFmtId="1" fontId="3" fillId="0" borderId="4" xfId="3" quotePrefix="1" applyNumberFormat="1" applyFont="1" applyBorder="1" applyAlignment="1">
      <alignment horizontal="center" vertical="center"/>
    </xf>
    <xf numFmtId="0" fontId="25" fillId="4" borderId="0" xfId="3" applyFont="1" applyFill="1" applyAlignment="1">
      <alignment horizontal="center"/>
    </xf>
    <xf numFmtId="0" fontId="29" fillId="0" borderId="3" xfId="3" applyFont="1" applyBorder="1" applyAlignment="1">
      <alignment horizontal="center"/>
    </xf>
    <xf numFmtId="0" fontId="29" fillId="0" borderId="4" xfId="3" applyFont="1" applyBorder="1" applyAlignment="1">
      <alignment horizontal="center"/>
    </xf>
    <xf numFmtId="0" fontId="19" fillId="0" borderId="0" xfId="3" applyFont="1" applyBorder="1" applyAlignment="1">
      <alignment vertical="center"/>
    </xf>
  </cellXfs>
  <cellStyles count="6">
    <cellStyle name="Comma 2" xfId="4" xr:uid="{5D584705-1BC0-4509-98CF-A577A562F8FC}"/>
    <cellStyle name="Normal" xfId="0" builtinId="0"/>
    <cellStyle name="Normal 2" xfId="2" xr:uid="{9554C5EB-E14E-4616-AE7C-DD02D34D6C0C}"/>
    <cellStyle name="Normal 3" xfId="3" xr:uid="{759EEC46-58C6-45A0-A33C-B4EA3630B7FE}"/>
    <cellStyle name="Percent" xfId="1" builtinId="5"/>
    <cellStyle name="Percent 2" xfId="5" xr:uid="{14A50210-0468-4A51-8E41-B0DEA7FBEF88}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34"/>
        <scheme val="minor"/>
      </font>
      <numFmt numFmtId="1" formatCode="0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80532C-BAB6-4052-831A-90405B2C03F9}" name="Transport_Data" displayName="Transport_Data" ref="A1:AF667" totalsRowShown="0" headerRowDxfId="55" dataDxfId="54" headerRowCellStyle="Normal 2" dataCellStyle="Normal 2">
  <autoFilter ref="A1:AF667" xr:uid="{DB80532C-BAB6-4052-831A-90405B2C03F9}"/>
  <tableColumns count="32">
    <tableColumn id="1" xr3:uid="{C7C8CA07-AF43-4303-BD9E-3415FFDC3967}" name="QUARTER"/>
    <tableColumn id="2" xr3:uid="{990C4F2A-77A1-4780-9CA0-38B8A8697314}" name="YEAR"/>
    <tableColumn id="3" xr3:uid="{C488BBE3-A440-4167-8D98-6B1699FC8858}" name="PERIOD">
      <calculatedColumnFormula>B2&amp;"-"&amp;A2</calculatedColumnFormula>
    </tableColumn>
    <tableColumn id="4" xr3:uid="{9776AF8E-F4EF-4135-A326-2F303B16DF85}" name="STATE"/>
    <tableColumn id="5" xr3:uid="{093AF1EA-DE59-41E1-84AC-3001ADE4ECD2}" name="GEOGRAPHIC ZONE">
      <calculatedColumnFormula>IF(OR(D2="Adamawa", D2="Bauchi", D2="Borno", D2="Gombe", D2="Taraba", D2="Yobe"), "North East",
IF(OR(D2="Jigawa", D2="Kaduna", D2="Kano", D2="Katsina", D2="Kebbi", D2="Sokoto", D2="Zamfara"), "North West",
IF(OR(D2="Benue", D2="Kogi", D2="Kwara", D2="Nasarawa", D2="Niger", D2="Plateau", D2="FCT"), "North Central",
IF(OR(D2="Abia", D2="Anambra", D2="Ebonyi", D2="Enugu", D2="Imo"), "South East",
IF(OR(D2="Akwa Ibom", D2="Bayelsa", D2="Cross River", D2="Delta", D2="Edo", D2="Rivers"), "South South",
IF(OR(D2="Ekiti", D2="Lagos", D2="Ogun", D2="Ondo", D2="Osun", D2="Oyo"), "South West",
"Zone Not Found"))))))</calculatedColumnFormula>
    </tableColumn>
    <tableColumn id="6" xr3:uid="{B4A6F23F-AD9A-4466-A925-039690418263}" name="FATAL" dataDxfId="53" totalsRowDxfId="26" dataCellStyle="Normal 2"/>
    <tableColumn id="7" xr3:uid="{82489BB6-6029-4B3B-B2F7-583D40C76808}" name="SERIOUS" dataDxfId="52" totalsRowDxfId="25" dataCellStyle="Normal 2"/>
    <tableColumn id="8" xr3:uid="{D5AFCF51-E375-4BEA-B520-B0E30726F0D3}" name="MINOR" dataDxfId="51" totalsRowDxfId="24" dataCellStyle="Normal 2"/>
    <tableColumn id="9" xr3:uid="{0533D749-07F1-4D5B-AA18-8662A258F313}" name="TOTAL CASES" dataDxfId="50" totalsRowDxfId="23" dataCellStyle="Normal 2"/>
    <tableColumn id="10" xr3:uid="{B291EA9A-96B0-4FFA-B637-09492FE4FBED}" name="NUMBER INJURED" dataDxfId="49" totalsRowDxfId="22" dataCellStyle="Normal 2"/>
    <tableColumn id="11" xr3:uid="{018EA26D-ADE7-444A-BA03-E98B63DCC606}" name="NUMBER KILLED" dataDxfId="48" totalsRowDxfId="21" dataCellStyle="Normal 2"/>
    <tableColumn id="12" xr3:uid="{7F632124-6A1D-440D-859A-DFC155AC077B}" name="TOTAL CASUALTY" dataDxfId="47" totalsRowDxfId="20" dataCellStyle="Normal 2"/>
    <tableColumn id="13" xr3:uid="{90EAB04C-0F29-4E32-865A-EDEEBA80DCBE}" name="PEOPLE INVOLVED" dataDxfId="46" totalsRowDxfId="19" dataCellStyle="Normal 2"/>
    <tableColumn id="14" xr3:uid="{16C16F7D-B321-4E44-9EFF-19C08C3B455D}" name="FATALITY RATE" dataDxfId="45" totalsRowDxfId="18" dataCellStyle="Percent">
      <calculatedColumnFormula>K2/L2</calculatedColumnFormula>
    </tableColumn>
    <tableColumn id="15" xr3:uid="{7CA5AEF8-E1CD-4C6B-BD62-11249D6979B7}" name="SPEEDING" dataDxfId="44" totalsRowDxfId="17" dataCellStyle="Normal 2"/>
    <tableColumn id="16" xr3:uid="{E5F339C3-31B9-4278-90CB-923D8122B4CC}" name="PHONE USE" dataDxfId="43" totalsRowDxfId="16" dataCellStyle="Normal 2"/>
    <tableColumn id="17" xr3:uid="{DA3B18AF-6B36-4BCD-8275-5BB0B5B443ED}" name="TYRE BURST" dataDxfId="42" totalsRowDxfId="15" dataCellStyle="Normal 2"/>
    <tableColumn id="18" xr3:uid="{78C43B09-8BEB-4299-9212-E7920C096FB2}" name="MECHANICAL FAULT" dataDxfId="41" totalsRowDxfId="14" dataCellStyle="Normal 2"/>
    <tableColumn id="19" xr3:uid="{AD6A32F4-FF60-49B1-83A9-810F4F55A705}" name="BRAKE FAILURE" dataDxfId="40" totalsRowDxfId="13" dataCellStyle="Normal 2"/>
    <tableColumn id="20" xr3:uid="{93AD9D68-EEEB-4100-9E36-D36A93C51BE0}" name="OVERLOADING" dataDxfId="39" totalsRowDxfId="12" dataCellStyle="Normal 2"/>
    <tableColumn id="21" xr3:uid="{6D3896AE-BCCD-406B-84F7-6F03BB4F02B6}" name="DANGEROUS OVERTAKE" dataDxfId="38" totalsRowDxfId="11" dataCellStyle="Normal 2"/>
    <tableColumn id="22" xr3:uid="{926FDCA4-41F7-4368-8FC0-11AD320C94FA}" name="WRONGFUL OVERTAKE" dataDxfId="37" totalsRowDxfId="10" dataCellStyle="Normal 2"/>
    <tableColumn id="23" xr3:uid="{AF4D324F-5F83-438B-9526-1DDF999D0384}" name="RECKLESS DRIVING" dataDxfId="36" totalsRowDxfId="9" dataCellStyle="Normal 2"/>
    <tableColumn id="24" xr3:uid="{ED2B3C89-B8FC-4C4F-9D8C-280D7D31A05C}" name="BAD ROAD" dataDxfId="35" totalsRowDxfId="8" dataCellStyle="Normal 2"/>
    <tableColumn id="25" xr3:uid="{B0DD3CFD-8F03-4273-884C-507259B64EFC}" name="ROUTE VIOLATION" dataDxfId="34" totalsRowDxfId="7" dataCellStyle="Normal 2"/>
    <tableColumn id="26" xr3:uid="{DFCB3991-1AB2-400B-BD86-6825D1181A1E}" name="ROAD OBSTRUCTION" dataDxfId="33" totalsRowDxfId="6" dataCellStyle="Normal 2"/>
    <tableColumn id="27" xr3:uid="{73543D9C-FB5D-43D1-8A83-9B1475D5F41D}" name="SLEEPING ON STEERING" dataDxfId="32" totalsRowDxfId="5" dataCellStyle="Normal 2"/>
    <tableColumn id="28" xr3:uid="{76853469-F568-440E-8713-995CBFC53306}" name="SUBSTANCE INFLUENCE" dataDxfId="31" totalsRowDxfId="4" dataCellStyle="Normal 2"/>
    <tableColumn id="29" xr3:uid="{C3ADB800-2A88-4544-B964-E0C8065C18D3}" name="WEATHER" dataDxfId="30" totalsRowDxfId="3" dataCellStyle="Normal 2"/>
    <tableColumn id="30" xr3:uid="{CAFDE02C-7BC1-4B15-AAEC-79310612CF05}" name="FATIGUE" dataDxfId="29" totalsRowDxfId="2" dataCellStyle="Normal 2"/>
    <tableColumn id="31" xr3:uid="{DE8DA820-74B4-4B27-9008-2F5C51B5F180}" name="SIGNAL VIOLATION" dataDxfId="28" totalsRowDxfId="1" dataCellStyle="Normal 2"/>
    <tableColumn id="32" xr3:uid="{E435EE4F-9676-457A-92ED-AA07D2097EA3}" name="OTHERS" dataDxfId="27" totalsRow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C007-E72C-4C77-816D-030F8DEE166B}">
  <dimension ref="A1:OL162"/>
  <sheetViews>
    <sheetView workbookViewId="0">
      <selection activeCell="A4" sqref="A4"/>
    </sheetView>
  </sheetViews>
  <sheetFormatPr defaultRowHeight="14.5"/>
  <sheetData>
    <row r="1" spans="1:205">
      <c r="A1" s="183" t="s">
        <v>73</v>
      </c>
      <c r="B1" s="183"/>
      <c r="C1" s="183"/>
      <c r="D1" s="183"/>
      <c r="E1" s="183"/>
      <c r="F1" s="183"/>
      <c r="G1" s="183"/>
      <c r="H1" s="183"/>
      <c r="I1" s="183"/>
      <c r="J1" s="26"/>
      <c r="K1" s="183" t="s">
        <v>74</v>
      </c>
      <c r="L1" s="183"/>
      <c r="M1" s="183"/>
      <c r="N1" s="183"/>
      <c r="O1" s="183"/>
      <c r="P1" s="183"/>
      <c r="Q1" s="183"/>
      <c r="R1" s="183"/>
      <c r="S1" s="183"/>
      <c r="T1" s="13"/>
      <c r="U1" s="14"/>
      <c r="V1" s="183" t="s">
        <v>75</v>
      </c>
      <c r="W1" s="183"/>
      <c r="X1" s="183"/>
      <c r="Y1" s="183"/>
      <c r="Z1" s="183"/>
      <c r="AA1" s="183"/>
      <c r="AB1" s="183"/>
      <c r="AC1" s="183"/>
      <c r="AD1" s="183"/>
      <c r="AE1" s="14"/>
      <c r="AF1" s="14"/>
      <c r="AG1" s="183" t="s">
        <v>76</v>
      </c>
      <c r="AH1" s="183"/>
      <c r="AI1" s="183" t="s">
        <v>76</v>
      </c>
      <c r="AJ1" s="183"/>
      <c r="AK1" s="183"/>
      <c r="AL1" s="183"/>
      <c r="AM1" s="183"/>
      <c r="AN1" s="183"/>
      <c r="AO1" s="183"/>
      <c r="AP1" s="13"/>
      <c r="AQ1" s="13"/>
      <c r="AR1" s="184" t="s">
        <v>77</v>
      </c>
      <c r="AS1" s="184"/>
      <c r="AT1" s="184"/>
      <c r="AU1" s="184"/>
      <c r="AV1" s="184"/>
      <c r="AW1" s="184"/>
      <c r="AX1" s="184"/>
      <c r="AY1" s="184"/>
      <c r="AZ1" s="184"/>
      <c r="BA1" s="13"/>
      <c r="BB1" s="13"/>
      <c r="BC1" s="184" t="s">
        <v>78</v>
      </c>
      <c r="BD1" s="184"/>
      <c r="BE1" s="184"/>
      <c r="BF1" s="184"/>
      <c r="BG1" s="184"/>
      <c r="BH1" s="184"/>
      <c r="BI1" s="184"/>
      <c r="BJ1" s="184"/>
      <c r="BK1" s="184"/>
      <c r="BL1" s="13"/>
      <c r="BM1" s="13"/>
      <c r="BN1" s="184" t="s">
        <v>79</v>
      </c>
      <c r="BO1" s="184"/>
      <c r="BP1" s="184"/>
      <c r="BQ1" s="184"/>
      <c r="BR1" s="54"/>
      <c r="BS1" s="54"/>
      <c r="BT1" s="54"/>
      <c r="BU1" s="54"/>
      <c r="BV1" s="54"/>
      <c r="BW1" s="13"/>
      <c r="BX1" s="13"/>
      <c r="BY1" s="184" t="s">
        <v>80</v>
      </c>
      <c r="BZ1" s="184"/>
      <c r="CA1" s="184"/>
      <c r="CB1" s="184"/>
      <c r="CC1" s="184"/>
      <c r="CD1" s="184"/>
      <c r="CE1" s="184"/>
      <c r="CF1" s="184"/>
      <c r="CG1" s="184"/>
      <c r="CH1" s="13"/>
      <c r="CI1" s="13"/>
      <c r="CJ1" s="184" t="s">
        <v>81</v>
      </c>
      <c r="CK1" s="184"/>
      <c r="CL1" s="184"/>
      <c r="CM1" s="54"/>
      <c r="CN1" s="54"/>
      <c r="CO1" s="54"/>
      <c r="CP1" s="54"/>
      <c r="CQ1" s="54"/>
      <c r="CR1" s="54"/>
      <c r="CS1" s="13"/>
      <c r="CT1" s="13"/>
      <c r="CU1" s="184" t="s">
        <v>82</v>
      </c>
      <c r="CV1" s="184"/>
      <c r="CW1" s="184"/>
      <c r="CX1" s="184"/>
      <c r="CY1" s="184"/>
      <c r="CZ1" s="184"/>
      <c r="DA1" s="184"/>
      <c r="DB1" s="184"/>
      <c r="DC1" s="184"/>
      <c r="DD1" s="13"/>
      <c r="DE1" s="13"/>
      <c r="DF1" s="184" t="s">
        <v>83</v>
      </c>
      <c r="DG1" s="184"/>
      <c r="DH1" s="184"/>
      <c r="DI1" s="184"/>
      <c r="DJ1" s="184"/>
      <c r="DK1" s="184"/>
      <c r="DL1" s="184"/>
      <c r="DM1" s="184"/>
      <c r="DN1" s="184"/>
      <c r="DO1" s="13"/>
      <c r="DP1" s="13"/>
      <c r="DQ1" s="184" t="s">
        <v>84</v>
      </c>
      <c r="DR1" s="184"/>
      <c r="DS1" s="184"/>
      <c r="DT1" s="184"/>
      <c r="DU1" s="184"/>
      <c r="DV1" s="184"/>
      <c r="DW1" s="184"/>
      <c r="DX1" s="184"/>
      <c r="DY1" s="184"/>
      <c r="DZ1" s="13"/>
      <c r="EA1" s="13"/>
      <c r="EB1" s="184" t="s">
        <v>85</v>
      </c>
      <c r="EC1" s="184"/>
      <c r="ED1" s="184"/>
      <c r="EE1" s="184"/>
      <c r="EF1" s="184"/>
      <c r="EG1" s="184"/>
      <c r="EH1" s="184"/>
      <c r="EI1" s="184"/>
      <c r="EJ1" s="184"/>
      <c r="EK1" s="13"/>
      <c r="EL1" s="13"/>
      <c r="EM1" s="184" t="s">
        <v>86</v>
      </c>
      <c r="EN1" s="184"/>
      <c r="EO1" s="184"/>
      <c r="EP1" s="184"/>
      <c r="EQ1" s="184"/>
      <c r="ER1" s="184"/>
      <c r="ES1" s="184"/>
      <c r="ET1" s="184"/>
      <c r="EU1" s="184"/>
      <c r="EV1" s="13"/>
      <c r="EW1" s="13"/>
      <c r="EX1" s="184" t="s">
        <v>87</v>
      </c>
      <c r="EY1" s="184"/>
      <c r="EZ1" s="184"/>
      <c r="FA1" s="184"/>
      <c r="FB1" s="184"/>
      <c r="FC1" s="184"/>
      <c r="FD1" s="184"/>
      <c r="FE1" s="184"/>
      <c r="FF1" s="184"/>
      <c r="FG1" s="13"/>
      <c r="FH1" s="13"/>
      <c r="FI1" s="184" t="s">
        <v>88</v>
      </c>
      <c r="FJ1" s="184"/>
      <c r="FK1" s="184"/>
      <c r="FL1" s="184"/>
      <c r="FM1" s="184"/>
      <c r="FN1" s="184"/>
      <c r="FO1" s="184"/>
      <c r="FP1" s="184"/>
      <c r="FQ1" s="184"/>
      <c r="FR1" s="13"/>
      <c r="FS1" s="208" t="s">
        <v>89</v>
      </c>
      <c r="FT1" s="184"/>
      <c r="FU1" s="184"/>
      <c r="FV1" s="184"/>
      <c r="FW1" s="184"/>
      <c r="FX1" s="184"/>
      <c r="FY1" s="184"/>
      <c r="FZ1" s="184"/>
      <c r="GA1" s="184"/>
      <c r="GB1" s="13"/>
      <c r="GC1" s="208" t="s">
        <v>90</v>
      </c>
      <c r="GD1" s="184"/>
      <c r="GE1" s="184"/>
      <c r="GF1" s="184"/>
      <c r="GG1" s="184"/>
      <c r="GH1" s="184"/>
      <c r="GI1" s="184"/>
      <c r="GJ1" s="184"/>
      <c r="GK1" s="184"/>
      <c r="GL1" s="13"/>
      <c r="GM1" s="208" t="s">
        <v>91</v>
      </c>
      <c r="GN1" s="184"/>
      <c r="GO1" s="184"/>
      <c r="GP1" s="184"/>
      <c r="GQ1" s="184"/>
      <c r="GR1" s="184"/>
      <c r="GS1" s="184"/>
      <c r="GT1" s="184"/>
      <c r="GU1" s="184"/>
      <c r="GV1" s="13"/>
      <c r="GW1" s="13"/>
    </row>
    <row r="2" spans="1:205">
      <c r="A2" s="16" t="s">
        <v>92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86" t="s">
        <v>92</v>
      </c>
      <c r="AH2" s="186"/>
      <c r="AI2" s="186"/>
      <c r="AJ2" s="186"/>
      <c r="AK2" s="186"/>
      <c r="AL2" s="186"/>
      <c r="AM2" s="186"/>
      <c r="AN2" s="186"/>
      <c r="AO2" s="186"/>
      <c r="AP2" s="13"/>
      <c r="AQ2" s="13"/>
      <c r="AR2" s="186" t="s">
        <v>92</v>
      </c>
      <c r="AS2" s="186"/>
      <c r="AT2" s="186"/>
      <c r="AU2" s="186"/>
      <c r="AV2" s="186"/>
      <c r="AW2" s="186"/>
      <c r="AX2" s="186"/>
      <c r="AY2" s="186"/>
      <c r="AZ2" s="186"/>
      <c r="BA2" s="13"/>
      <c r="BB2" s="13"/>
      <c r="BC2" s="186" t="s">
        <v>92</v>
      </c>
      <c r="BD2" s="186"/>
      <c r="BE2" s="186"/>
      <c r="BF2" s="186"/>
      <c r="BG2" s="186"/>
      <c r="BH2" s="186"/>
      <c r="BI2" s="186"/>
      <c r="BJ2" s="186"/>
      <c r="BK2" s="186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211" t="s">
        <v>93</v>
      </c>
      <c r="FT2" s="211"/>
      <c r="FU2" s="211"/>
      <c r="FV2" s="211"/>
      <c r="FW2" s="211"/>
      <c r="FX2" s="211"/>
      <c r="FY2" s="211"/>
      <c r="FZ2" s="211"/>
      <c r="GA2" s="211"/>
      <c r="GB2" s="72"/>
      <c r="GC2" s="211" t="s">
        <v>93</v>
      </c>
      <c r="GD2" s="211"/>
      <c r="GE2" s="211"/>
      <c r="GF2" s="211"/>
      <c r="GG2" s="211"/>
      <c r="GH2" s="211"/>
      <c r="GI2" s="211"/>
      <c r="GJ2" s="211"/>
      <c r="GK2" s="211"/>
      <c r="GL2" s="72"/>
      <c r="GM2" s="66" t="s">
        <v>94</v>
      </c>
      <c r="GN2" s="66"/>
      <c r="GO2" s="66"/>
      <c r="GP2" s="66"/>
      <c r="GQ2" s="66"/>
      <c r="GR2" s="66"/>
      <c r="GS2" s="66"/>
      <c r="GT2" s="66"/>
      <c r="GU2" s="66"/>
      <c r="GV2" s="13"/>
      <c r="GW2" s="13"/>
    </row>
    <row r="3" spans="1:205" ht="39.5" thickBot="1">
      <c r="A3" s="17" t="s">
        <v>21</v>
      </c>
      <c r="B3" s="17" t="s">
        <v>23</v>
      </c>
      <c r="C3" s="17" t="s">
        <v>24</v>
      </c>
      <c r="D3" s="17" t="s">
        <v>25</v>
      </c>
      <c r="E3" s="18" t="s">
        <v>26</v>
      </c>
      <c r="F3" s="18" t="s">
        <v>27</v>
      </c>
      <c r="G3" s="18" t="s">
        <v>28</v>
      </c>
      <c r="H3" s="18" t="s">
        <v>29</v>
      </c>
      <c r="I3" s="18" t="s">
        <v>30</v>
      </c>
      <c r="J3" s="26"/>
      <c r="K3" s="17" t="s">
        <v>21</v>
      </c>
      <c r="L3" s="17" t="s">
        <v>23</v>
      </c>
      <c r="M3" s="17" t="s">
        <v>24</v>
      </c>
      <c r="N3" s="17" t="s">
        <v>25</v>
      </c>
      <c r="O3" s="18" t="s">
        <v>26</v>
      </c>
      <c r="P3" s="18" t="s">
        <v>27</v>
      </c>
      <c r="Q3" s="18" t="s">
        <v>28</v>
      </c>
      <c r="R3" s="18" t="s">
        <v>29</v>
      </c>
      <c r="S3" s="18" t="s">
        <v>30</v>
      </c>
      <c r="T3" s="13"/>
      <c r="U3" s="13"/>
      <c r="V3" s="17" t="s">
        <v>21</v>
      </c>
      <c r="W3" s="17" t="s">
        <v>23</v>
      </c>
      <c r="X3" s="17" t="s">
        <v>24</v>
      </c>
      <c r="Y3" s="17" t="s">
        <v>25</v>
      </c>
      <c r="Z3" s="18" t="s">
        <v>26</v>
      </c>
      <c r="AA3" s="18" t="s">
        <v>27</v>
      </c>
      <c r="AB3" s="18" t="s">
        <v>28</v>
      </c>
      <c r="AC3" s="18" t="s">
        <v>29</v>
      </c>
      <c r="AD3" s="18" t="s">
        <v>30</v>
      </c>
      <c r="AE3" s="44"/>
      <c r="AF3" s="44"/>
      <c r="AG3" s="48" t="s">
        <v>21</v>
      </c>
      <c r="AH3" s="49" t="s">
        <v>23</v>
      </c>
      <c r="AI3" s="49" t="s">
        <v>24</v>
      </c>
      <c r="AJ3" s="49" t="s">
        <v>25</v>
      </c>
      <c r="AK3" s="49" t="s">
        <v>26</v>
      </c>
      <c r="AL3" s="49" t="s">
        <v>27</v>
      </c>
      <c r="AM3" s="49" t="s">
        <v>28</v>
      </c>
      <c r="AN3" s="49" t="s">
        <v>29</v>
      </c>
      <c r="AO3" s="49" t="s">
        <v>30</v>
      </c>
      <c r="AP3" s="13"/>
      <c r="AQ3" s="13"/>
      <c r="AR3" s="21" t="s">
        <v>21</v>
      </c>
      <c r="AS3" s="21" t="s">
        <v>23</v>
      </c>
      <c r="AT3" s="21" t="s">
        <v>24</v>
      </c>
      <c r="AU3" s="21" t="s">
        <v>25</v>
      </c>
      <c r="AV3" s="49" t="s">
        <v>26</v>
      </c>
      <c r="AW3" s="49" t="s">
        <v>27</v>
      </c>
      <c r="AX3" s="49" t="s">
        <v>28</v>
      </c>
      <c r="AY3" s="49" t="s">
        <v>29</v>
      </c>
      <c r="AZ3" s="49" t="s">
        <v>30</v>
      </c>
      <c r="BA3" s="13"/>
      <c r="BB3" s="13"/>
      <c r="BC3" s="21" t="s">
        <v>21</v>
      </c>
      <c r="BD3" s="21" t="s">
        <v>23</v>
      </c>
      <c r="BE3" s="21" t="s">
        <v>24</v>
      </c>
      <c r="BF3" s="21" t="s">
        <v>25</v>
      </c>
      <c r="BG3" s="21" t="s">
        <v>26</v>
      </c>
      <c r="BH3" s="21" t="s">
        <v>27</v>
      </c>
      <c r="BI3" s="21" t="s">
        <v>28</v>
      </c>
      <c r="BJ3" s="21" t="s">
        <v>29</v>
      </c>
      <c r="BK3" s="21" t="s">
        <v>30</v>
      </c>
      <c r="BL3" s="13"/>
      <c r="BM3" s="13"/>
      <c r="BN3" s="21" t="s">
        <v>21</v>
      </c>
      <c r="BO3" s="21" t="s">
        <v>23</v>
      </c>
      <c r="BP3" s="21" t="s">
        <v>24</v>
      </c>
      <c r="BQ3" s="21" t="s">
        <v>25</v>
      </c>
      <c r="BR3" s="21" t="s">
        <v>26</v>
      </c>
      <c r="BS3" s="21" t="s">
        <v>27</v>
      </c>
      <c r="BT3" s="21" t="s">
        <v>28</v>
      </c>
      <c r="BU3" s="21" t="s">
        <v>29</v>
      </c>
      <c r="BV3" s="21" t="s">
        <v>30</v>
      </c>
      <c r="BW3" s="13"/>
      <c r="BX3" s="13"/>
      <c r="BY3" s="21" t="s">
        <v>21</v>
      </c>
      <c r="BZ3" s="21" t="s">
        <v>23</v>
      </c>
      <c r="CA3" s="21" t="s">
        <v>24</v>
      </c>
      <c r="CB3" s="21" t="s">
        <v>25</v>
      </c>
      <c r="CC3" s="21" t="s">
        <v>26</v>
      </c>
      <c r="CD3" s="21" t="s">
        <v>27</v>
      </c>
      <c r="CE3" s="21" t="s">
        <v>28</v>
      </c>
      <c r="CF3" s="21" t="s">
        <v>29</v>
      </c>
      <c r="CG3" s="21" t="s">
        <v>30</v>
      </c>
      <c r="CH3" s="13"/>
      <c r="CI3" s="13"/>
      <c r="CJ3" s="21" t="s">
        <v>21</v>
      </c>
      <c r="CK3" s="21" t="s">
        <v>23</v>
      </c>
      <c r="CL3" s="21" t="s">
        <v>24</v>
      </c>
      <c r="CM3" s="21" t="s">
        <v>25</v>
      </c>
      <c r="CN3" s="21" t="s">
        <v>26</v>
      </c>
      <c r="CO3" s="21" t="s">
        <v>27</v>
      </c>
      <c r="CP3" s="21" t="s">
        <v>28</v>
      </c>
      <c r="CQ3" s="21" t="s">
        <v>29</v>
      </c>
      <c r="CR3" s="21" t="s">
        <v>30</v>
      </c>
      <c r="CS3" s="13"/>
      <c r="CT3" s="13"/>
      <c r="CU3" s="21" t="s">
        <v>21</v>
      </c>
      <c r="CV3" s="21" t="s">
        <v>23</v>
      </c>
      <c r="CW3" s="21" t="s">
        <v>24</v>
      </c>
      <c r="CX3" s="21" t="s">
        <v>25</v>
      </c>
      <c r="CY3" s="21" t="s">
        <v>26</v>
      </c>
      <c r="CZ3" s="21" t="s">
        <v>27</v>
      </c>
      <c r="DA3" s="21" t="s">
        <v>28</v>
      </c>
      <c r="DB3" s="21" t="s">
        <v>29</v>
      </c>
      <c r="DC3" s="21" t="s">
        <v>30</v>
      </c>
      <c r="DD3" s="13"/>
      <c r="DE3" s="13"/>
      <c r="DF3" s="21" t="s">
        <v>21</v>
      </c>
      <c r="DG3" s="21" t="s">
        <v>23</v>
      </c>
      <c r="DH3" s="21" t="s">
        <v>24</v>
      </c>
      <c r="DI3" s="21" t="s">
        <v>25</v>
      </c>
      <c r="DJ3" s="21" t="s">
        <v>26</v>
      </c>
      <c r="DK3" s="21" t="s">
        <v>27</v>
      </c>
      <c r="DL3" s="21" t="s">
        <v>28</v>
      </c>
      <c r="DM3" s="21" t="s">
        <v>29</v>
      </c>
      <c r="DN3" s="21" t="s">
        <v>30</v>
      </c>
      <c r="DO3" s="13"/>
      <c r="DP3" s="13"/>
      <c r="DQ3" s="21" t="s">
        <v>21</v>
      </c>
      <c r="DR3" s="21" t="s">
        <v>23</v>
      </c>
      <c r="DS3" s="21" t="s">
        <v>24</v>
      </c>
      <c r="DT3" s="21" t="s">
        <v>25</v>
      </c>
      <c r="DU3" s="21" t="s">
        <v>26</v>
      </c>
      <c r="DV3" s="21" t="s">
        <v>27</v>
      </c>
      <c r="DW3" s="21" t="s">
        <v>28</v>
      </c>
      <c r="DX3" s="21" t="s">
        <v>29</v>
      </c>
      <c r="DY3" s="21" t="s">
        <v>30</v>
      </c>
      <c r="DZ3" s="13"/>
      <c r="EA3" s="13"/>
      <c r="EB3" s="17" t="s">
        <v>21</v>
      </c>
      <c r="EC3" s="17" t="s">
        <v>23</v>
      </c>
      <c r="ED3" s="17" t="s">
        <v>24</v>
      </c>
      <c r="EE3" s="17" t="s">
        <v>25</v>
      </c>
      <c r="EF3" s="17" t="s">
        <v>26</v>
      </c>
      <c r="EG3" s="17" t="s">
        <v>27</v>
      </c>
      <c r="EH3" s="17" t="s">
        <v>28</v>
      </c>
      <c r="EI3" s="17" t="s">
        <v>29</v>
      </c>
      <c r="EJ3" s="18" t="s">
        <v>30</v>
      </c>
      <c r="EK3" s="13"/>
      <c r="EL3" s="13"/>
      <c r="EM3" s="17" t="s">
        <v>21</v>
      </c>
      <c r="EN3" s="17" t="s">
        <v>23</v>
      </c>
      <c r="EO3" s="17" t="s">
        <v>24</v>
      </c>
      <c r="EP3" s="17" t="s">
        <v>25</v>
      </c>
      <c r="EQ3" s="17" t="s">
        <v>26</v>
      </c>
      <c r="ER3" s="17" t="s">
        <v>27</v>
      </c>
      <c r="ES3" s="17" t="s">
        <v>28</v>
      </c>
      <c r="ET3" s="17" t="s">
        <v>29</v>
      </c>
      <c r="EU3" s="18" t="s">
        <v>30</v>
      </c>
      <c r="EV3" s="13"/>
      <c r="EW3" s="13"/>
      <c r="EX3" s="17" t="s">
        <v>21</v>
      </c>
      <c r="EY3" s="17" t="s">
        <v>23</v>
      </c>
      <c r="EZ3" s="17" t="s">
        <v>24</v>
      </c>
      <c r="FA3" s="17" t="s">
        <v>25</v>
      </c>
      <c r="FB3" s="17" t="s">
        <v>26</v>
      </c>
      <c r="FC3" s="17" t="s">
        <v>27</v>
      </c>
      <c r="FD3" s="17" t="s">
        <v>28</v>
      </c>
      <c r="FE3" s="17" t="s">
        <v>29</v>
      </c>
      <c r="FF3" s="18" t="s">
        <v>30</v>
      </c>
      <c r="FG3" s="13"/>
      <c r="FH3" s="13"/>
      <c r="FI3" s="57" t="s">
        <v>21</v>
      </c>
      <c r="FJ3" s="63" t="s">
        <v>23</v>
      </c>
      <c r="FK3" s="63" t="s">
        <v>24</v>
      </c>
      <c r="FL3" s="63" t="s">
        <v>25</v>
      </c>
      <c r="FM3" s="67" t="s">
        <v>26</v>
      </c>
      <c r="FN3" s="67" t="s">
        <v>27</v>
      </c>
      <c r="FO3" s="67" t="s">
        <v>28</v>
      </c>
      <c r="FP3" s="67" t="s">
        <v>29</v>
      </c>
      <c r="FQ3" s="67" t="s">
        <v>30</v>
      </c>
      <c r="FR3" s="13"/>
      <c r="FS3" s="68" t="s">
        <v>21</v>
      </c>
      <c r="FT3" s="69" t="s">
        <v>23</v>
      </c>
      <c r="FU3" s="69" t="s">
        <v>24</v>
      </c>
      <c r="FV3" s="69" t="s">
        <v>25</v>
      </c>
      <c r="FW3" s="73" t="s">
        <v>26</v>
      </c>
      <c r="FX3" s="73" t="s">
        <v>27</v>
      </c>
      <c r="FY3" s="73" t="s">
        <v>28</v>
      </c>
      <c r="FZ3" s="73" t="s">
        <v>29</v>
      </c>
      <c r="GA3" s="73" t="s">
        <v>30</v>
      </c>
      <c r="GB3" s="13"/>
      <c r="GC3" s="68" t="s">
        <v>21</v>
      </c>
      <c r="GD3" s="69" t="s">
        <v>23</v>
      </c>
      <c r="GE3" s="69" t="s">
        <v>24</v>
      </c>
      <c r="GF3" s="69" t="s">
        <v>25</v>
      </c>
      <c r="GG3" s="73" t="s">
        <v>26</v>
      </c>
      <c r="GH3" s="73" t="s">
        <v>27</v>
      </c>
      <c r="GI3" s="73" t="s">
        <v>28</v>
      </c>
      <c r="GJ3" s="73" t="s">
        <v>29</v>
      </c>
      <c r="GK3" s="73" t="s">
        <v>30</v>
      </c>
      <c r="GL3" s="13"/>
      <c r="GM3" s="68" t="s">
        <v>21</v>
      </c>
      <c r="GN3" s="69" t="s">
        <v>23</v>
      </c>
      <c r="GO3" s="69" t="s">
        <v>24</v>
      </c>
      <c r="GP3" s="69" t="s">
        <v>25</v>
      </c>
      <c r="GQ3" s="73" t="s">
        <v>26</v>
      </c>
      <c r="GR3" s="73" t="s">
        <v>27</v>
      </c>
      <c r="GS3" s="73" t="s">
        <v>28</v>
      </c>
      <c r="GT3" s="73" t="s">
        <v>29</v>
      </c>
      <c r="GU3" s="73" t="s">
        <v>30</v>
      </c>
      <c r="GV3" s="148" t="s">
        <v>95</v>
      </c>
      <c r="GW3" s="149" t="s">
        <v>96</v>
      </c>
    </row>
    <row r="4" spans="1:205" ht="15.5" thickBot="1">
      <c r="A4" s="19" t="s">
        <v>33</v>
      </c>
      <c r="B4" s="20">
        <v>10</v>
      </c>
      <c r="C4" s="20">
        <v>19</v>
      </c>
      <c r="D4" s="20">
        <v>1</v>
      </c>
      <c r="E4" s="20">
        <v>30</v>
      </c>
      <c r="F4" s="20">
        <v>146</v>
      </c>
      <c r="G4" s="20">
        <v>31</v>
      </c>
      <c r="H4" s="20">
        <v>177</v>
      </c>
      <c r="I4" s="20">
        <v>279</v>
      </c>
      <c r="J4" s="26"/>
      <c r="K4" s="19" t="s">
        <v>33</v>
      </c>
      <c r="L4" s="20">
        <v>16</v>
      </c>
      <c r="M4" s="20">
        <v>23</v>
      </c>
      <c r="N4" s="20">
        <v>5</v>
      </c>
      <c r="O4" s="20">
        <v>44</v>
      </c>
      <c r="P4" s="20">
        <v>119</v>
      </c>
      <c r="Q4" s="20">
        <v>35</v>
      </c>
      <c r="R4" s="20">
        <v>154</v>
      </c>
      <c r="S4" s="20">
        <v>289</v>
      </c>
      <c r="T4" s="13"/>
      <c r="U4" s="13"/>
      <c r="V4" s="19" t="s">
        <v>33</v>
      </c>
      <c r="W4" s="20">
        <v>10</v>
      </c>
      <c r="X4" s="20">
        <v>11</v>
      </c>
      <c r="Y4" s="20">
        <v>0</v>
      </c>
      <c r="Z4" s="20">
        <v>21</v>
      </c>
      <c r="AA4" s="20">
        <v>69</v>
      </c>
      <c r="AB4" s="20">
        <v>19</v>
      </c>
      <c r="AC4" s="20">
        <v>88</v>
      </c>
      <c r="AD4" s="20">
        <v>177</v>
      </c>
      <c r="AE4" s="45"/>
      <c r="AF4" s="45"/>
      <c r="AG4" s="50" t="s">
        <v>33</v>
      </c>
      <c r="AH4" s="20">
        <v>7</v>
      </c>
      <c r="AI4" s="20">
        <v>10</v>
      </c>
      <c r="AJ4" s="20">
        <v>3</v>
      </c>
      <c r="AK4" s="20">
        <v>20</v>
      </c>
      <c r="AL4" s="20">
        <v>62</v>
      </c>
      <c r="AM4" s="20">
        <v>11</v>
      </c>
      <c r="AN4" s="20">
        <v>73</v>
      </c>
      <c r="AO4" s="20">
        <v>140</v>
      </c>
      <c r="AP4" s="13"/>
      <c r="AQ4" s="13"/>
      <c r="AR4" s="20" t="s">
        <v>33</v>
      </c>
      <c r="AS4" s="20">
        <v>3</v>
      </c>
      <c r="AT4" s="20">
        <v>12</v>
      </c>
      <c r="AU4" s="20">
        <v>6</v>
      </c>
      <c r="AV4" s="20">
        <v>21</v>
      </c>
      <c r="AW4" s="20">
        <v>57</v>
      </c>
      <c r="AX4" s="20">
        <v>3</v>
      </c>
      <c r="AY4" s="20">
        <v>60</v>
      </c>
      <c r="AZ4" s="20">
        <v>177</v>
      </c>
      <c r="BA4" s="13"/>
      <c r="BB4" s="13"/>
      <c r="BC4" s="20" t="s">
        <v>33</v>
      </c>
      <c r="BD4" s="20">
        <v>8</v>
      </c>
      <c r="BE4" s="20">
        <v>20</v>
      </c>
      <c r="BF4" s="20">
        <v>5</v>
      </c>
      <c r="BG4" s="20">
        <v>33</v>
      </c>
      <c r="BH4" s="20">
        <v>144</v>
      </c>
      <c r="BI4" s="20">
        <v>13</v>
      </c>
      <c r="BJ4" s="20">
        <v>157</v>
      </c>
      <c r="BK4" s="20">
        <v>260</v>
      </c>
      <c r="BL4" s="13"/>
      <c r="BM4" s="13"/>
      <c r="BN4" s="20" t="s">
        <v>33</v>
      </c>
      <c r="BO4" s="20">
        <v>10</v>
      </c>
      <c r="BP4" s="20">
        <v>13</v>
      </c>
      <c r="BQ4" s="20">
        <v>6</v>
      </c>
      <c r="BR4" s="20">
        <v>29</v>
      </c>
      <c r="BS4" s="20">
        <v>107</v>
      </c>
      <c r="BT4" s="20">
        <v>23</v>
      </c>
      <c r="BU4" s="20">
        <v>130</v>
      </c>
      <c r="BV4" s="20">
        <v>224</v>
      </c>
      <c r="BW4" s="13"/>
      <c r="BX4" s="13"/>
      <c r="BY4" s="20" t="s">
        <v>33</v>
      </c>
      <c r="BZ4" s="20">
        <v>5</v>
      </c>
      <c r="CA4" s="20">
        <v>17</v>
      </c>
      <c r="CB4" s="20">
        <v>2</v>
      </c>
      <c r="CC4" s="20">
        <v>24</v>
      </c>
      <c r="CD4" s="20">
        <v>101</v>
      </c>
      <c r="CE4" s="20">
        <v>9</v>
      </c>
      <c r="CF4" s="20">
        <v>110</v>
      </c>
      <c r="CG4" s="20">
        <v>226</v>
      </c>
      <c r="CH4" s="13"/>
      <c r="CI4" s="13"/>
      <c r="CJ4" s="20" t="s">
        <v>33</v>
      </c>
      <c r="CK4" s="20">
        <v>7</v>
      </c>
      <c r="CL4" s="20">
        <v>13</v>
      </c>
      <c r="CM4" s="20">
        <v>13</v>
      </c>
      <c r="CN4" s="20">
        <v>33</v>
      </c>
      <c r="CO4" s="20">
        <v>89</v>
      </c>
      <c r="CP4" s="20">
        <v>7</v>
      </c>
      <c r="CQ4" s="20">
        <v>96</v>
      </c>
      <c r="CR4" s="20">
        <v>209</v>
      </c>
      <c r="CS4" s="13"/>
      <c r="CT4" s="13"/>
      <c r="CU4" s="20" t="s">
        <v>33</v>
      </c>
      <c r="CV4" s="20">
        <v>7</v>
      </c>
      <c r="CW4" s="20">
        <v>5</v>
      </c>
      <c r="CX4" s="20">
        <v>0</v>
      </c>
      <c r="CY4" s="20">
        <v>12</v>
      </c>
      <c r="CZ4" s="20">
        <v>45</v>
      </c>
      <c r="DA4" s="20">
        <v>16</v>
      </c>
      <c r="DB4" s="20">
        <v>61</v>
      </c>
      <c r="DC4" s="20">
        <v>81</v>
      </c>
      <c r="DD4" s="13"/>
      <c r="DE4" s="13"/>
      <c r="DF4" s="20" t="s">
        <v>33</v>
      </c>
      <c r="DG4" s="20">
        <v>3</v>
      </c>
      <c r="DH4" s="20">
        <v>6</v>
      </c>
      <c r="DI4" s="20">
        <v>3</v>
      </c>
      <c r="DJ4" s="20">
        <v>12</v>
      </c>
      <c r="DK4" s="20">
        <v>22</v>
      </c>
      <c r="DL4" s="20">
        <v>3</v>
      </c>
      <c r="DM4" s="20">
        <v>25</v>
      </c>
      <c r="DN4" s="20">
        <v>78</v>
      </c>
      <c r="DO4" s="13"/>
      <c r="DP4" s="13"/>
      <c r="DQ4" s="20" t="s">
        <v>33</v>
      </c>
      <c r="DR4" s="20">
        <v>2</v>
      </c>
      <c r="DS4" s="20">
        <v>8</v>
      </c>
      <c r="DT4" s="20">
        <v>5</v>
      </c>
      <c r="DU4" s="20">
        <v>15</v>
      </c>
      <c r="DV4" s="20">
        <v>42</v>
      </c>
      <c r="DW4" s="20">
        <v>11</v>
      </c>
      <c r="DX4" s="20">
        <v>53</v>
      </c>
      <c r="DY4" s="20">
        <v>129</v>
      </c>
      <c r="DZ4" s="13"/>
      <c r="EA4" s="13"/>
      <c r="EB4" s="19" t="s">
        <v>33</v>
      </c>
      <c r="EC4" s="19">
        <v>9</v>
      </c>
      <c r="ED4" s="19">
        <v>15</v>
      </c>
      <c r="EE4" s="19">
        <v>2</v>
      </c>
      <c r="EF4" s="19">
        <v>26</v>
      </c>
      <c r="EG4" s="19">
        <v>159</v>
      </c>
      <c r="EH4" s="19">
        <v>14</v>
      </c>
      <c r="EI4" s="19">
        <v>173</v>
      </c>
      <c r="EJ4" s="19">
        <v>298</v>
      </c>
      <c r="EK4" s="13"/>
      <c r="EL4" s="13"/>
      <c r="EM4" s="19" t="s">
        <v>33</v>
      </c>
      <c r="EN4" s="19">
        <v>5</v>
      </c>
      <c r="EO4" s="19">
        <v>12</v>
      </c>
      <c r="EP4" s="19">
        <v>2</v>
      </c>
      <c r="EQ4" s="19">
        <v>19</v>
      </c>
      <c r="ER4" s="19">
        <v>45</v>
      </c>
      <c r="ES4" s="19">
        <v>5</v>
      </c>
      <c r="ET4" s="19">
        <v>50</v>
      </c>
      <c r="EU4" s="19">
        <v>94</v>
      </c>
      <c r="EV4" s="13"/>
      <c r="EW4" s="13"/>
      <c r="EX4" s="19" t="s">
        <v>33</v>
      </c>
      <c r="EY4" s="19">
        <v>6</v>
      </c>
      <c r="EZ4" s="19">
        <v>12</v>
      </c>
      <c r="FA4" s="19">
        <v>2</v>
      </c>
      <c r="FB4" s="19">
        <v>20</v>
      </c>
      <c r="FC4" s="19">
        <v>86</v>
      </c>
      <c r="FD4" s="19">
        <v>15</v>
      </c>
      <c r="FE4" s="19">
        <v>101</v>
      </c>
      <c r="FF4" s="19">
        <v>177</v>
      </c>
      <c r="FG4" s="13"/>
      <c r="FH4" s="13"/>
      <c r="FI4" s="58" t="s">
        <v>33</v>
      </c>
      <c r="FJ4" s="65">
        <v>5</v>
      </c>
      <c r="FK4" s="65">
        <v>10</v>
      </c>
      <c r="FL4" s="65">
        <v>0</v>
      </c>
      <c r="FM4" s="65">
        <v>15</v>
      </c>
      <c r="FN4" s="65">
        <v>104</v>
      </c>
      <c r="FO4" s="65">
        <v>17</v>
      </c>
      <c r="FP4" s="65">
        <v>121</v>
      </c>
      <c r="FQ4" s="65">
        <v>196</v>
      </c>
      <c r="FR4" s="13"/>
      <c r="FS4" s="70" t="s">
        <v>33</v>
      </c>
      <c r="FT4" s="145">
        <v>5</v>
      </c>
      <c r="FU4" s="145">
        <v>15</v>
      </c>
      <c r="FV4" s="145">
        <v>0</v>
      </c>
      <c r="FW4" s="145">
        <v>20</v>
      </c>
      <c r="FX4" s="145">
        <v>99</v>
      </c>
      <c r="FY4" s="145">
        <v>22</v>
      </c>
      <c r="FZ4" s="145">
        <v>121</v>
      </c>
      <c r="GA4" s="145">
        <v>208</v>
      </c>
      <c r="GB4" s="13"/>
      <c r="GC4" s="70" t="s">
        <v>33</v>
      </c>
      <c r="GD4" s="71">
        <v>6</v>
      </c>
      <c r="GE4" s="71">
        <v>13</v>
      </c>
      <c r="GF4" s="71">
        <v>0</v>
      </c>
      <c r="GG4" s="71">
        <v>19</v>
      </c>
      <c r="GH4" s="71">
        <v>107</v>
      </c>
      <c r="GI4" s="71">
        <v>9</v>
      </c>
      <c r="GJ4" s="71">
        <v>116</v>
      </c>
      <c r="GK4" s="71">
        <v>206</v>
      </c>
      <c r="GL4" s="13"/>
      <c r="GM4" s="70" t="s">
        <v>33</v>
      </c>
      <c r="GN4" s="71">
        <v>4</v>
      </c>
      <c r="GO4" s="71">
        <v>9</v>
      </c>
      <c r="GP4" s="71">
        <v>0</v>
      </c>
      <c r="GQ4" s="71">
        <v>13</v>
      </c>
      <c r="GR4" s="71">
        <v>89</v>
      </c>
      <c r="GS4" s="71">
        <v>7</v>
      </c>
      <c r="GT4" s="71">
        <v>96</v>
      </c>
      <c r="GU4" s="71">
        <v>127</v>
      </c>
      <c r="GV4" s="146">
        <v>-35</v>
      </c>
      <c r="GW4" s="147">
        <v>-31.578947368421051</v>
      </c>
    </row>
    <row r="5" spans="1:205" ht="15.5" thickBot="1">
      <c r="A5" s="19" t="s">
        <v>34</v>
      </c>
      <c r="B5" s="20">
        <v>14</v>
      </c>
      <c r="C5" s="20">
        <v>63</v>
      </c>
      <c r="D5" s="20">
        <v>0</v>
      </c>
      <c r="E5" s="20">
        <v>77</v>
      </c>
      <c r="F5" s="20">
        <v>234</v>
      </c>
      <c r="G5" s="20">
        <v>36</v>
      </c>
      <c r="H5" s="20">
        <v>270</v>
      </c>
      <c r="I5" s="20">
        <v>443</v>
      </c>
      <c r="J5" s="26"/>
      <c r="K5" s="19" t="s">
        <v>34</v>
      </c>
      <c r="L5" s="20">
        <v>11</v>
      </c>
      <c r="M5" s="20">
        <v>73</v>
      </c>
      <c r="N5" s="20">
        <v>0</v>
      </c>
      <c r="O5" s="20">
        <v>84</v>
      </c>
      <c r="P5" s="20">
        <v>251</v>
      </c>
      <c r="Q5" s="20">
        <v>21</v>
      </c>
      <c r="R5" s="20">
        <v>272</v>
      </c>
      <c r="S5" s="20">
        <v>437</v>
      </c>
      <c r="T5" s="13"/>
      <c r="U5" s="13"/>
      <c r="V5" s="19" t="s">
        <v>34</v>
      </c>
      <c r="W5" s="20">
        <v>11</v>
      </c>
      <c r="X5" s="20">
        <v>76</v>
      </c>
      <c r="Y5" s="20">
        <v>3</v>
      </c>
      <c r="Z5" s="20">
        <v>90</v>
      </c>
      <c r="AA5" s="20">
        <v>280</v>
      </c>
      <c r="AB5" s="20">
        <v>21</v>
      </c>
      <c r="AC5" s="20">
        <v>301</v>
      </c>
      <c r="AD5" s="20">
        <v>468</v>
      </c>
      <c r="AE5" s="45"/>
      <c r="AF5" s="45"/>
      <c r="AG5" s="50" t="s">
        <v>34</v>
      </c>
      <c r="AH5" s="20">
        <v>14</v>
      </c>
      <c r="AI5" s="20">
        <v>58</v>
      </c>
      <c r="AJ5" s="20">
        <v>8</v>
      </c>
      <c r="AK5" s="20">
        <v>80</v>
      </c>
      <c r="AL5" s="20">
        <v>208</v>
      </c>
      <c r="AM5" s="20">
        <v>26</v>
      </c>
      <c r="AN5" s="20">
        <v>234</v>
      </c>
      <c r="AO5" s="20">
        <v>391</v>
      </c>
      <c r="AP5" s="13"/>
      <c r="AQ5" s="13"/>
      <c r="AR5" s="20" t="s">
        <v>34</v>
      </c>
      <c r="AS5" s="20">
        <v>17</v>
      </c>
      <c r="AT5" s="20">
        <v>54</v>
      </c>
      <c r="AU5" s="20">
        <v>5</v>
      </c>
      <c r="AV5" s="20">
        <v>76</v>
      </c>
      <c r="AW5" s="20">
        <v>191</v>
      </c>
      <c r="AX5" s="20">
        <v>25</v>
      </c>
      <c r="AY5" s="20">
        <v>216</v>
      </c>
      <c r="AZ5" s="20">
        <v>423</v>
      </c>
      <c r="BA5" s="13"/>
      <c r="BB5" s="13"/>
      <c r="BC5" s="20" t="s">
        <v>34</v>
      </c>
      <c r="BD5" s="20">
        <v>17</v>
      </c>
      <c r="BE5" s="20">
        <v>61</v>
      </c>
      <c r="BF5" s="20">
        <v>1</v>
      </c>
      <c r="BG5" s="20">
        <v>79</v>
      </c>
      <c r="BH5" s="20">
        <v>245</v>
      </c>
      <c r="BI5" s="20">
        <v>61</v>
      </c>
      <c r="BJ5" s="20">
        <v>306</v>
      </c>
      <c r="BK5" s="20">
        <v>488</v>
      </c>
      <c r="BL5" s="13"/>
      <c r="BM5" s="13"/>
      <c r="BN5" s="20" t="s">
        <v>34</v>
      </c>
      <c r="BO5" s="20">
        <v>13</v>
      </c>
      <c r="BP5" s="20">
        <v>50</v>
      </c>
      <c r="BQ5" s="20">
        <v>1</v>
      </c>
      <c r="BR5" s="20">
        <v>64</v>
      </c>
      <c r="BS5" s="20">
        <v>176</v>
      </c>
      <c r="BT5" s="20">
        <v>25</v>
      </c>
      <c r="BU5" s="20">
        <v>201</v>
      </c>
      <c r="BV5" s="20">
        <v>345</v>
      </c>
      <c r="BW5" s="13"/>
      <c r="BX5" s="13"/>
      <c r="BY5" s="20" t="s">
        <v>34</v>
      </c>
      <c r="BZ5" s="20">
        <v>3</v>
      </c>
      <c r="CA5" s="20">
        <v>27</v>
      </c>
      <c r="CB5" s="20">
        <v>2</v>
      </c>
      <c r="CC5" s="20">
        <v>32</v>
      </c>
      <c r="CD5" s="20">
        <v>72</v>
      </c>
      <c r="CE5" s="20">
        <v>3</v>
      </c>
      <c r="CF5" s="20">
        <v>75</v>
      </c>
      <c r="CG5" s="20">
        <v>141</v>
      </c>
      <c r="CH5" s="13"/>
      <c r="CI5" s="13"/>
      <c r="CJ5" s="20" t="s">
        <v>34</v>
      </c>
      <c r="CK5" s="20">
        <v>7</v>
      </c>
      <c r="CL5" s="20">
        <v>27</v>
      </c>
      <c r="CM5" s="20">
        <v>0</v>
      </c>
      <c r="CN5" s="20">
        <v>34</v>
      </c>
      <c r="CO5" s="20">
        <v>117</v>
      </c>
      <c r="CP5" s="20">
        <v>17</v>
      </c>
      <c r="CQ5" s="20">
        <v>134</v>
      </c>
      <c r="CR5" s="20">
        <v>213</v>
      </c>
      <c r="CS5" s="13"/>
      <c r="CT5" s="13"/>
      <c r="CU5" s="20" t="s">
        <v>34</v>
      </c>
      <c r="CV5" s="20">
        <v>13</v>
      </c>
      <c r="CW5" s="20">
        <v>40</v>
      </c>
      <c r="CX5" s="20">
        <v>0</v>
      </c>
      <c r="CY5" s="20">
        <v>53</v>
      </c>
      <c r="CZ5" s="20">
        <v>152</v>
      </c>
      <c r="DA5" s="20">
        <v>20</v>
      </c>
      <c r="DB5" s="20">
        <v>172</v>
      </c>
      <c r="DC5" s="20">
        <v>272</v>
      </c>
      <c r="DD5" s="13"/>
      <c r="DE5" s="13"/>
      <c r="DF5" s="20" t="s">
        <v>34</v>
      </c>
      <c r="DG5" s="20">
        <v>5</v>
      </c>
      <c r="DH5" s="20">
        <v>51</v>
      </c>
      <c r="DI5" s="20">
        <v>1</v>
      </c>
      <c r="DJ5" s="20">
        <v>57</v>
      </c>
      <c r="DK5" s="20">
        <v>175</v>
      </c>
      <c r="DL5" s="20">
        <v>5</v>
      </c>
      <c r="DM5" s="20">
        <v>180</v>
      </c>
      <c r="DN5" s="20">
        <v>301</v>
      </c>
      <c r="DO5" s="13"/>
      <c r="DP5" s="13"/>
      <c r="DQ5" s="20" t="s">
        <v>34</v>
      </c>
      <c r="DR5" s="20">
        <v>5</v>
      </c>
      <c r="DS5" s="20">
        <v>26</v>
      </c>
      <c r="DT5" s="20">
        <v>1</v>
      </c>
      <c r="DU5" s="20">
        <v>32</v>
      </c>
      <c r="DV5" s="20">
        <v>89</v>
      </c>
      <c r="DW5" s="20">
        <v>6</v>
      </c>
      <c r="DX5" s="20">
        <v>95</v>
      </c>
      <c r="DY5" s="20">
        <v>160</v>
      </c>
      <c r="DZ5" s="13"/>
      <c r="EA5" s="13"/>
      <c r="EB5" s="19" t="s">
        <v>34</v>
      </c>
      <c r="EC5" s="19">
        <v>9</v>
      </c>
      <c r="ED5" s="19">
        <v>33</v>
      </c>
      <c r="EE5" s="19">
        <v>0</v>
      </c>
      <c r="EF5" s="19">
        <v>42</v>
      </c>
      <c r="EG5" s="19">
        <v>153</v>
      </c>
      <c r="EH5" s="19">
        <v>11</v>
      </c>
      <c r="EI5" s="19">
        <v>164</v>
      </c>
      <c r="EJ5" s="19">
        <v>327</v>
      </c>
      <c r="EK5" s="13"/>
      <c r="EL5" s="13"/>
      <c r="EM5" s="19" t="s">
        <v>34</v>
      </c>
      <c r="EN5" s="19">
        <v>10</v>
      </c>
      <c r="EO5" s="19">
        <v>14</v>
      </c>
      <c r="EP5" s="19">
        <v>5</v>
      </c>
      <c r="EQ5" s="19">
        <v>29</v>
      </c>
      <c r="ER5" s="19">
        <v>163</v>
      </c>
      <c r="ES5" s="19">
        <v>27</v>
      </c>
      <c r="ET5" s="19">
        <v>190</v>
      </c>
      <c r="EU5" s="19">
        <v>296</v>
      </c>
      <c r="EV5" s="13"/>
      <c r="EW5" s="13"/>
      <c r="EX5" s="19" t="s">
        <v>34</v>
      </c>
      <c r="EY5" s="19">
        <v>3</v>
      </c>
      <c r="EZ5" s="19">
        <v>37</v>
      </c>
      <c r="FA5" s="19">
        <v>4</v>
      </c>
      <c r="FB5" s="19">
        <v>44</v>
      </c>
      <c r="FC5" s="19">
        <v>145</v>
      </c>
      <c r="FD5" s="19">
        <v>7</v>
      </c>
      <c r="FE5" s="19">
        <v>152</v>
      </c>
      <c r="FF5" s="19">
        <v>253</v>
      </c>
      <c r="FG5" s="13"/>
      <c r="FH5" s="13"/>
      <c r="FI5" s="58" t="s">
        <v>34</v>
      </c>
      <c r="FJ5" s="65">
        <v>6</v>
      </c>
      <c r="FK5" s="65">
        <v>35</v>
      </c>
      <c r="FL5" s="65">
        <v>2</v>
      </c>
      <c r="FM5" s="65">
        <v>43</v>
      </c>
      <c r="FN5" s="65">
        <v>107</v>
      </c>
      <c r="FO5" s="65">
        <v>10</v>
      </c>
      <c r="FP5" s="65">
        <v>117</v>
      </c>
      <c r="FQ5" s="65">
        <v>203</v>
      </c>
      <c r="FR5" s="13"/>
      <c r="FS5" s="70" t="s">
        <v>34</v>
      </c>
      <c r="FT5" s="145">
        <v>4</v>
      </c>
      <c r="FU5" s="145">
        <v>45</v>
      </c>
      <c r="FV5" s="145">
        <v>4</v>
      </c>
      <c r="FW5" s="145">
        <v>53</v>
      </c>
      <c r="FX5" s="145">
        <v>150</v>
      </c>
      <c r="FY5" s="145">
        <v>8</v>
      </c>
      <c r="FZ5" s="145">
        <v>158</v>
      </c>
      <c r="GA5" s="145">
        <v>465</v>
      </c>
      <c r="GB5" s="13"/>
      <c r="GC5" s="70" t="s">
        <v>34</v>
      </c>
      <c r="GD5" s="71">
        <v>4</v>
      </c>
      <c r="GE5" s="71">
        <v>43</v>
      </c>
      <c r="GF5" s="71">
        <v>2</v>
      </c>
      <c r="GG5" s="71">
        <v>49</v>
      </c>
      <c r="GH5" s="71">
        <v>146</v>
      </c>
      <c r="GI5" s="71">
        <v>6</v>
      </c>
      <c r="GJ5" s="71">
        <v>152</v>
      </c>
      <c r="GK5" s="71">
        <v>288</v>
      </c>
      <c r="GL5" s="13"/>
      <c r="GM5" s="70" t="s">
        <v>34</v>
      </c>
      <c r="GN5" s="71">
        <v>7</v>
      </c>
      <c r="GO5" s="71">
        <v>46</v>
      </c>
      <c r="GP5" s="71">
        <v>2</v>
      </c>
      <c r="GQ5" s="71">
        <v>55</v>
      </c>
      <c r="GR5" s="71">
        <v>162</v>
      </c>
      <c r="GS5" s="71">
        <v>8</v>
      </c>
      <c r="GT5" s="71">
        <v>170</v>
      </c>
      <c r="GU5" s="71">
        <v>373</v>
      </c>
      <c r="GV5" s="146">
        <v>25</v>
      </c>
      <c r="GW5" s="147">
        <v>12.244897959183673</v>
      </c>
    </row>
    <row r="6" spans="1:205" ht="15.5" thickBot="1">
      <c r="A6" s="19" t="s">
        <v>35</v>
      </c>
      <c r="B6" s="20">
        <v>6</v>
      </c>
      <c r="C6" s="20">
        <v>13</v>
      </c>
      <c r="D6" s="20">
        <v>3</v>
      </c>
      <c r="E6" s="20">
        <v>22</v>
      </c>
      <c r="F6" s="20">
        <v>28</v>
      </c>
      <c r="G6" s="20">
        <v>7</v>
      </c>
      <c r="H6" s="20">
        <v>35</v>
      </c>
      <c r="I6" s="20">
        <v>89</v>
      </c>
      <c r="J6" s="26"/>
      <c r="K6" s="19" t="s">
        <v>35</v>
      </c>
      <c r="L6" s="20">
        <v>7</v>
      </c>
      <c r="M6" s="20">
        <v>12</v>
      </c>
      <c r="N6" s="20">
        <v>3</v>
      </c>
      <c r="O6" s="20">
        <v>22</v>
      </c>
      <c r="P6" s="20">
        <v>35</v>
      </c>
      <c r="Q6" s="20">
        <v>12</v>
      </c>
      <c r="R6" s="20">
        <v>47</v>
      </c>
      <c r="S6" s="20">
        <v>117</v>
      </c>
      <c r="T6" s="13"/>
      <c r="U6" s="13"/>
      <c r="V6" s="19" t="s">
        <v>35</v>
      </c>
      <c r="W6" s="20">
        <v>6</v>
      </c>
      <c r="X6" s="20">
        <v>9</v>
      </c>
      <c r="Y6" s="20">
        <v>1</v>
      </c>
      <c r="Z6" s="20">
        <v>16</v>
      </c>
      <c r="AA6" s="20">
        <v>32</v>
      </c>
      <c r="AB6" s="20">
        <v>10</v>
      </c>
      <c r="AC6" s="20">
        <v>42</v>
      </c>
      <c r="AD6" s="20">
        <v>87</v>
      </c>
      <c r="AE6" s="45"/>
      <c r="AF6" s="45"/>
      <c r="AG6" s="50" t="s">
        <v>35</v>
      </c>
      <c r="AH6" s="20">
        <v>1</v>
      </c>
      <c r="AI6" s="20">
        <v>8</v>
      </c>
      <c r="AJ6" s="20">
        <v>4</v>
      </c>
      <c r="AK6" s="20">
        <v>13</v>
      </c>
      <c r="AL6" s="20">
        <v>18</v>
      </c>
      <c r="AM6" s="20">
        <v>1</v>
      </c>
      <c r="AN6" s="20">
        <v>19</v>
      </c>
      <c r="AO6" s="20">
        <v>75</v>
      </c>
      <c r="AP6" s="13"/>
      <c r="AQ6" s="13"/>
      <c r="AR6" s="20" t="s">
        <v>35</v>
      </c>
      <c r="AS6" s="20">
        <v>7</v>
      </c>
      <c r="AT6" s="20">
        <v>13</v>
      </c>
      <c r="AU6" s="20">
        <v>2</v>
      </c>
      <c r="AV6" s="20">
        <v>22</v>
      </c>
      <c r="AW6" s="20">
        <v>39</v>
      </c>
      <c r="AX6" s="20">
        <v>10</v>
      </c>
      <c r="AY6" s="20">
        <v>49</v>
      </c>
      <c r="AZ6" s="20">
        <v>98</v>
      </c>
      <c r="BA6" s="13"/>
      <c r="BB6" s="13"/>
      <c r="BC6" s="20" t="s">
        <v>35</v>
      </c>
      <c r="BD6" s="20">
        <v>7</v>
      </c>
      <c r="BE6" s="20">
        <v>8</v>
      </c>
      <c r="BF6" s="20">
        <v>1</v>
      </c>
      <c r="BG6" s="20">
        <v>16</v>
      </c>
      <c r="BH6" s="20">
        <v>35</v>
      </c>
      <c r="BI6" s="20">
        <v>7</v>
      </c>
      <c r="BJ6" s="20">
        <v>42</v>
      </c>
      <c r="BK6" s="20">
        <v>84</v>
      </c>
      <c r="BL6" s="13"/>
      <c r="BM6" s="13"/>
      <c r="BN6" s="20" t="s">
        <v>35</v>
      </c>
      <c r="BO6" s="20">
        <v>9</v>
      </c>
      <c r="BP6" s="20">
        <v>15</v>
      </c>
      <c r="BQ6" s="20">
        <v>4</v>
      </c>
      <c r="BR6" s="20">
        <v>28</v>
      </c>
      <c r="BS6" s="20">
        <v>63</v>
      </c>
      <c r="BT6" s="20">
        <v>12</v>
      </c>
      <c r="BU6" s="20">
        <v>75</v>
      </c>
      <c r="BV6" s="20">
        <v>125</v>
      </c>
      <c r="BW6" s="13"/>
      <c r="BX6" s="13"/>
      <c r="BY6" s="20" t="s">
        <v>35</v>
      </c>
      <c r="BZ6" s="20">
        <v>8</v>
      </c>
      <c r="CA6" s="20">
        <v>13</v>
      </c>
      <c r="CB6" s="20">
        <v>1</v>
      </c>
      <c r="CC6" s="20">
        <v>22</v>
      </c>
      <c r="CD6" s="20">
        <v>55</v>
      </c>
      <c r="CE6" s="20">
        <v>9</v>
      </c>
      <c r="CF6" s="20">
        <v>64</v>
      </c>
      <c r="CG6" s="20">
        <v>126</v>
      </c>
      <c r="CH6" s="13"/>
      <c r="CI6" s="13"/>
      <c r="CJ6" s="20" t="s">
        <v>35</v>
      </c>
      <c r="CK6" s="20">
        <v>7</v>
      </c>
      <c r="CL6" s="20">
        <v>14</v>
      </c>
      <c r="CM6" s="20">
        <v>2</v>
      </c>
      <c r="CN6" s="20">
        <v>23</v>
      </c>
      <c r="CO6" s="20">
        <v>75</v>
      </c>
      <c r="CP6" s="20">
        <v>15</v>
      </c>
      <c r="CQ6" s="20">
        <v>90</v>
      </c>
      <c r="CR6" s="20">
        <v>164</v>
      </c>
      <c r="CS6" s="13"/>
      <c r="CT6" s="13"/>
      <c r="CU6" s="20" t="s">
        <v>35</v>
      </c>
      <c r="CV6" s="20">
        <v>3</v>
      </c>
      <c r="CW6" s="20">
        <v>6</v>
      </c>
      <c r="CX6" s="20">
        <v>0</v>
      </c>
      <c r="CY6" s="20">
        <v>9</v>
      </c>
      <c r="CZ6" s="20">
        <v>16</v>
      </c>
      <c r="DA6" s="20">
        <v>3</v>
      </c>
      <c r="DB6" s="20">
        <v>19</v>
      </c>
      <c r="DC6" s="20">
        <v>32</v>
      </c>
      <c r="DD6" s="13"/>
      <c r="DE6" s="13"/>
      <c r="DF6" s="20" t="s">
        <v>35</v>
      </c>
      <c r="DG6" s="20">
        <v>5</v>
      </c>
      <c r="DH6" s="20">
        <v>10</v>
      </c>
      <c r="DI6" s="20">
        <v>2</v>
      </c>
      <c r="DJ6" s="20">
        <v>17</v>
      </c>
      <c r="DK6" s="20">
        <v>32</v>
      </c>
      <c r="DL6" s="20">
        <v>6</v>
      </c>
      <c r="DM6" s="20">
        <v>38</v>
      </c>
      <c r="DN6" s="20">
        <v>75</v>
      </c>
      <c r="DO6" s="13"/>
      <c r="DP6" s="13"/>
      <c r="DQ6" s="20" t="s">
        <v>35</v>
      </c>
      <c r="DR6" s="20">
        <v>2</v>
      </c>
      <c r="DS6" s="20">
        <v>6</v>
      </c>
      <c r="DT6" s="20">
        <v>0</v>
      </c>
      <c r="DU6" s="20">
        <v>8</v>
      </c>
      <c r="DV6" s="20">
        <v>14</v>
      </c>
      <c r="DW6" s="20">
        <v>3</v>
      </c>
      <c r="DX6" s="20">
        <v>17</v>
      </c>
      <c r="DY6" s="20">
        <v>22</v>
      </c>
      <c r="DZ6" s="13"/>
      <c r="EA6" s="13"/>
      <c r="EB6" s="19" t="s">
        <v>35</v>
      </c>
      <c r="EC6" s="19">
        <v>5</v>
      </c>
      <c r="ED6" s="19">
        <v>4</v>
      </c>
      <c r="EE6" s="19">
        <v>3</v>
      </c>
      <c r="EF6" s="19">
        <v>12</v>
      </c>
      <c r="EG6" s="19">
        <v>24</v>
      </c>
      <c r="EH6" s="19">
        <v>15</v>
      </c>
      <c r="EI6" s="19">
        <v>39</v>
      </c>
      <c r="EJ6" s="19">
        <v>66</v>
      </c>
      <c r="EK6" s="13"/>
      <c r="EL6" s="13"/>
      <c r="EM6" s="19" t="s">
        <v>35</v>
      </c>
      <c r="EN6" s="19">
        <v>3</v>
      </c>
      <c r="EO6" s="19">
        <v>5</v>
      </c>
      <c r="EP6" s="19">
        <v>2</v>
      </c>
      <c r="EQ6" s="19">
        <v>10</v>
      </c>
      <c r="ER6" s="19">
        <v>23</v>
      </c>
      <c r="ES6" s="19">
        <v>5</v>
      </c>
      <c r="ET6" s="19">
        <v>28</v>
      </c>
      <c r="EU6" s="19">
        <v>57</v>
      </c>
      <c r="EV6" s="13"/>
      <c r="EW6" s="13"/>
      <c r="EX6" s="19" t="s">
        <v>35</v>
      </c>
      <c r="EY6" s="19">
        <v>6</v>
      </c>
      <c r="EZ6" s="19">
        <v>5</v>
      </c>
      <c r="FA6" s="19">
        <v>2</v>
      </c>
      <c r="FB6" s="19">
        <v>13</v>
      </c>
      <c r="FC6" s="19">
        <v>35</v>
      </c>
      <c r="FD6" s="19">
        <v>12</v>
      </c>
      <c r="FE6" s="19">
        <v>47</v>
      </c>
      <c r="FF6" s="19">
        <v>84</v>
      </c>
      <c r="FG6" s="13"/>
      <c r="FH6" s="13"/>
      <c r="FI6" s="58" t="s">
        <v>35</v>
      </c>
      <c r="FJ6" s="65">
        <v>3</v>
      </c>
      <c r="FK6" s="65">
        <v>2</v>
      </c>
      <c r="FL6" s="65">
        <v>2</v>
      </c>
      <c r="FM6" s="65">
        <v>7</v>
      </c>
      <c r="FN6" s="65">
        <v>13</v>
      </c>
      <c r="FO6" s="65">
        <v>4</v>
      </c>
      <c r="FP6" s="65">
        <v>17</v>
      </c>
      <c r="FQ6" s="65">
        <v>51</v>
      </c>
      <c r="FR6" s="13"/>
      <c r="FS6" s="70" t="s">
        <v>35</v>
      </c>
      <c r="FT6" s="145">
        <v>7</v>
      </c>
      <c r="FU6" s="145">
        <v>8</v>
      </c>
      <c r="FV6" s="145">
        <v>2</v>
      </c>
      <c r="FW6" s="145">
        <v>17</v>
      </c>
      <c r="FX6" s="145">
        <v>34</v>
      </c>
      <c r="FY6" s="145">
        <v>15</v>
      </c>
      <c r="FZ6" s="145">
        <v>49</v>
      </c>
      <c r="GA6" s="145">
        <v>95</v>
      </c>
      <c r="GB6" s="13"/>
      <c r="GC6" s="70" t="s">
        <v>35</v>
      </c>
      <c r="GD6" s="71">
        <v>4</v>
      </c>
      <c r="GE6" s="71">
        <v>5</v>
      </c>
      <c r="GF6" s="71">
        <v>1</v>
      </c>
      <c r="GG6" s="71">
        <v>10</v>
      </c>
      <c r="GH6" s="71">
        <v>10</v>
      </c>
      <c r="GI6" s="71">
        <v>7</v>
      </c>
      <c r="GJ6" s="71">
        <v>17</v>
      </c>
      <c r="GK6" s="71">
        <v>27</v>
      </c>
      <c r="GL6" s="13"/>
      <c r="GM6" s="70" t="s">
        <v>35</v>
      </c>
      <c r="GN6" s="71">
        <v>6</v>
      </c>
      <c r="GO6" s="71">
        <v>5</v>
      </c>
      <c r="GP6" s="71">
        <v>1</v>
      </c>
      <c r="GQ6" s="71">
        <v>12</v>
      </c>
      <c r="GR6" s="71">
        <v>29</v>
      </c>
      <c r="GS6" s="71">
        <v>13</v>
      </c>
      <c r="GT6" s="71">
        <v>42</v>
      </c>
      <c r="GU6" s="71">
        <v>69</v>
      </c>
      <c r="GV6" s="146">
        <v>-7.6923076923076925</v>
      </c>
      <c r="GW6" s="147">
        <v>20</v>
      </c>
    </row>
    <row r="7" spans="1:205" ht="15.5" thickBot="1">
      <c r="A7" s="19" t="s">
        <v>36</v>
      </c>
      <c r="B7" s="20">
        <v>14</v>
      </c>
      <c r="C7" s="20">
        <v>41</v>
      </c>
      <c r="D7" s="20">
        <v>17</v>
      </c>
      <c r="E7" s="20">
        <v>72</v>
      </c>
      <c r="F7" s="20">
        <v>152</v>
      </c>
      <c r="G7" s="20">
        <v>20</v>
      </c>
      <c r="H7" s="20">
        <v>172</v>
      </c>
      <c r="I7" s="20">
        <v>526</v>
      </c>
      <c r="J7" s="26"/>
      <c r="K7" s="19" t="s">
        <v>36</v>
      </c>
      <c r="L7" s="20">
        <v>9</v>
      </c>
      <c r="M7" s="20">
        <v>55</v>
      </c>
      <c r="N7" s="20">
        <v>16</v>
      </c>
      <c r="O7" s="20">
        <v>80</v>
      </c>
      <c r="P7" s="20">
        <v>147</v>
      </c>
      <c r="Q7" s="20">
        <v>9</v>
      </c>
      <c r="R7" s="20">
        <v>156</v>
      </c>
      <c r="S7" s="20">
        <v>575</v>
      </c>
      <c r="T7" s="13"/>
      <c r="U7" s="13"/>
      <c r="V7" s="19" t="s">
        <v>36</v>
      </c>
      <c r="W7" s="20">
        <v>15</v>
      </c>
      <c r="X7" s="20">
        <v>31</v>
      </c>
      <c r="Y7" s="20">
        <v>20</v>
      </c>
      <c r="Z7" s="20">
        <v>66</v>
      </c>
      <c r="AA7" s="20">
        <v>138</v>
      </c>
      <c r="AB7" s="20">
        <v>18</v>
      </c>
      <c r="AC7" s="20">
        <v>156</v>
      </c>
      <c r="AD7" s="20">
        <v>418</v>
      </c>
      <c r="AE7" s="45"/>
      <c r="AF7" s="45"/>
      <c r="AG7" s="50" t="s">
        <v>36</v>
      </c>
      <c r="AH7" s="20">
        <v>12</v>
      </c>
      <c r="AI7" s="20">
        <v>39</v>
      </c>
      <c r="AJ7" s="20">
        <v>11</v>
      </c>
      <c r="AK7" s="20">
        <v>62</v>
      </c>
      <c r="AL7" s="20">
        <v>142</v>
      </c>
      <c r="AM7" s="20">
        <v>17</v>
      </c>
      <c r="AN7" s="20">
        <v>159</v>
      </c>
      <c r="AO7" s="20">
        <v>411</v>
      </c>
      <c r="AP7" s="13"/>
      <c r="AQ7" s="13"/>
      <c r="AR7" s="20" t="s">
        <v>36</v>
      </c>
      <c r="AS7" s="20">
        <v>24</v>
      </c>
      <c r="AT7" s="20">
        <v>25</v>
      </c>
      <c r="AU7" s="20">
        <v>10</v>
      </c>
      <c r="AV7" s="20">
        <v>59</v>
      </c>
      <c r="AW7" s="20">
        <v>156</v>
      </c>
      <c r="AX7" s="20">
        <v>45</v>
      </c>
      <c r="AY7" s="20">
        <v>201</v>
      </c>
      <c r="AZ7" s="20">
        <v>577</v>
      </c>
      <c r="BA7" s="13"/>
      <c r="BB7" s="13"/>
      <c r="BC7" s="20" t="s">
        <v>36</v>
      </c>
      <c r="BD7" s="20">
        <v>15</v>
      </c>
      <c r="BE7" s="20">
        <v>20</v>
      </c>
      <c r="BF7" s="20">
        <v>3</v>
      </c>
      <c r="BG7" s="20">
        <v>38</v>
      </c>
      <c r="BH7" s="20">
        <v>103</v>
      </c>
      <c r="BI7" s="20">
        <v>22</v>
      </c>
      <c r="BJ7" s="20">
        <v>125</v>
      </c>
      <c r="BK7" s="20">
        <v>376</v>
      </c>
      <c r="BL7" s="13"/>
      <c r="BM7" s="13"/>
      <c r="BN7" s="20" t="s">
        <v>36</v>
      </c>
      <c r="BO7" s="20">
        <v>11</v>
      </c>
      <c r="BP7" s="20">
        <v>11</v>
      </c>
      <c r="BQ7" s="20">
        <v>7</v>
      </c>
      <c r="BR7" s="20">
        <v>29</v>
      </c>
      <c r="BS7" s="20">
        <v>45</v>
      </c>
      <c r="BT7" s="20">
        <v>18</v>
      </c>
      <c r="BU7" s="20">
        <v>63</v>
      </c>
      <c r="BV7" s="20">
        <v>160</v>
      </c>
      <c r="BW7" s="13"/>
      <c r="BX7" s="13"/>
      <c r="BY7" s="20" t="s">
        <v>36</v>
      </c>
      <c r="BZ7" s="20">
        <v>15</v>
      </c>
      <c r="CA7" s="20">
        <v>20</v>
      </c>
      <c r="CB7" s="20">
        <v>7</v>
      </c>
      <c r="CC7" s="20">
        <v>42</v>
      </c>
      <c r="CD7" s="20">
        <v>103</v>
      </c>
      <c r="CE7" s="20">
        <v>20</v>
      </c>
      <c r="CF7" s="20">
        <v>123</v>
      </c>
      <c r="CG7" s="20">
        <v>301</v>
      </c>
      <c r="CH7" s="13"/>
      <c r="CI7" s="13"/>
      <c r="CJ7" s="20" t="s">
        <v>36</v>
      </c>
      <c r="CK7" s="20">
        <v>10</v>
      </c>
      <c r="CL7" s="20">
        <v>20</v>
      </c>
      <c r="CM7" s="20">
        <v>10</v>
      </c>
      <c r="CN7" s="20">
        <v>40</v>
      </c>
      <c r="CO7" s="20">
        <v>121</v>
      </c>
      <c r="CP7" s="20">
        <v>14</v>
      </c>
      <c r="CQ7" s="20">
        <v>135</v>
      </c>
      <c r="CR7" s="20">
        <v>344</v>
      </c>
      <c r="CS7" s="13"/>
      <c r="CT7" s="13"/>
      <c r="CU7" s="20" t="s">
        <v>36</v>
      </c>
      <c r="CV7" s="20">
        <v>4</v>
      </c>
      <c r="CW7" s="20">
        <v>8</v>
      </c>
      <c r="CX7" s="20">
        <v>3</v>
      </c>
      <c r="CY7" s="20">
        <v>15</v>
      </c>
      <c r="CZ7" s="20">
        <v>76</v>
      </c>
      <c r="DA7" s="20">
        <v>3</v>
      </c>
      <c r="DB7" s="20">
        <v>79</v>
      </c>
      <c r="DC7" s="20">
        <v>161</v>
      </c>
      <c r="DD7" s="13"/>
      <c r="DE7" s="13"/>
      <c r="DF7" s="20" t="s">
        <v>36</v>
      </c>
      <c r="DG7" s="20">
        <v>10</v>
      </c>
      <c r="DH7" s="20">
        <v>11</v>
      </c>
      <c r="DI7" s="20">
        <v>13</v>
      </c>
      <c r="DJ7" s="20">
        <v>34</v>
      </c>
      <c r="DK7" s="20">
        <v>60</v>
      </c>
      <c r="DL7" s="20">
        <v>12</v>
      </c>
      <c r="DM7" s="20">
        <v>72</v>
      </c>
      <c r="DN7" s="20">
        <v>273</v>
      </c>
      <c r="DO7" s="13"/>
      <c r="DP7" s="13"/>
      <c r="DQ7" s="20" t="s">
        <v>36</v>
      </c>
      <c r="DR7" s="20">
        <v>10</v>
      </c>
      <c r="DS7" s="20">
        <v>18</v>
      </c>
      <c r="DT7" s="20">
        <v>6</v>
      </c>
      <c r="DU7" s="20">
        <v>34</v>
      </c>
      <c r="DV7" s="20">
        <v>90</v>
      </c>
      <c r="DW7" s="20">
        <v>19</v>
      </c>
      <c r="DX7" s="20">
        <v>109</v>
      </c>
      <c r="DY7" s="20">
        <v>252</v>
      </c>
      <c r="DZ7" s="13"/>
      <c r="EA7" s="13"/>
      <c r="EB7" s="19" t="s">
        <v>36</v>
      </c>
      <c r="EC7" s="19">
        <v>8</v>
      </c>
      <c r="ED7" s="19">
        <v>13</v>
      </c>
      <c r="EE7" s="19">
        <v>11</v>
      </c>
      <c r="EF7" s="19">
        <v>32</v>
      </c>
      <c r="EG7" s="19">
        <v>71</v>
      </c>
      <c r="EH7" s="19">
        <v>9</v>
      </c>
      <c r="EI7" s="19">
        <v>80</v>
      </c>
      <c r="EJ7" s="19">
        <v>288</v>
      </c>
      <c r="EK7" s="13"/>
      <c r="EL7" s="13"/>
      <c r="EM7" s="19" t="s">
        <v>36</v>
      </c>
      <c r="EN7" s="19">
        <v>11</v>
      </c>
      <c r="EO7" s="19">
        <v>16</v>
      </c>
      <c r="EP7" s="19">
        <v>4</v>
      </c>
      <c r="EQ7" s="19">
        <v>31</v>
      </c>
      <c r="ER7" s="19">
        <v>73</v>
      </c>
      <c r="ES7" s="19">
        <v>13</v>
      </c>
      <c r="ET7" s="19">
        <v>86</v>
      </c>
      <c r="EU7" s="19">
        <v>222</v>
      </c>
      <c r="EV7" s="13"/>
      <c r="EW7" s="13"/>
      <c r="EX7" s="19" t="s">
        <v>36</v>
      </c>
      <c r="EY7" s="19">
        <v>9</v>
      </c>
      <c r="EZ7" s="19">
        <v>11</v>
      </c>
      <c r="FA7" s="19">
        <v>3</v>
      </c>
      <c r="FB7" s="19">
        <v>23</v>
      </c>
      <c r="FC7" s="19">
        <v>68</v>
      </c>
      <c r="FD7" s="19">
        <v>11</v>
      </c>
      <c r="FE7" s="19">
        <v>79</v>
      </c>
      <c r="FF7" s="19">
        <v>184</v>
      </c>
      <c r="FG7" s="13"/>
      <c r="FH7" s="13"/>
      <c r="FI7" s="58" t="s">
        <v>36</v>
      </c>
      <c r="FJ7" s="65">
        <v>9</v>
      </c>
      <c r="FK7" s="65">
        <v>11</v>
      </c>
      <c r="FL7" s="65">
        <v>1</v>
      </c>
      <c r="FM7" s="65">
        <v>21</v>
      </c>
      <c r="FN7" s="65">
        <v>49</v>
      </c>
      <c r="FO7" s="65">
        <v>15</v>
      </c>
      <c r="FP7" s="65">
        <v>64</v>
      </c>
      <c r="FQ7" s="65">
        <v>140</v>
      </c>
      <c r="FR7" s="13"/>
      <c r="FS7" s="70" t="s">
        <v>36</v>
      </c>
      <c r="FT7" s="145">
        <v>7</v>
      </c>
      <c r="FU7" s="145">
        <v>17</v>
      </c>
      <c r="FV7" s="145">
        <v>1</v>
      </c>
      <c r="FW7" s="145">
        <v>25</v>
      </c>
      <c r="FX7" s="145">
        <v>103</v>
      </c>
      <c r="FY7" s="145">
        <v>12</v>
      </c>
      <c r="FZ7" s="145">
        <v>115</v>
      </c>
      <c r="GA7" s="145">
        <v>274</v>
      </c>
      <c r="GB7" s="13"/>
      <c r="GC7" s="70" t="s">
        <v>36</v>
      </c>
      <c r="GD7" s="71">
        <v>9</v>
      </c>
      <c r="GE7" s="71">
        <v>9</v>
      </c>
      <c r="GF7" s="71">
        <v>1</v>
      </c>
      <c r="GG7" s="71">
        <v>19</v>
      </c>
      <c r="GH7" s="71">
        <v>72</v>
      </c>
      <c r="GI7" s="71">
        <v>24</v>
      </c>
      <c r="GJ7" s="71">
        <v>96</v>
      </c>
      <c r="GK7" s="71">
        <v>146</v>
      </c>
      <c r="GL7" s="13"/>
      <c r="GM7" s="70" t="s">
        <v>36</v>
      </c>
      <c r="GN7" s="71">
        <v>8</v>
      </c>
      <c r="GO7" s="71">
        <v>16</v>
      </c>
      <c r="GP7" s="71">
        <v>4</v>
      </c>
      <c r="GQ7" s="71">
        <v>28</v>
      </c>
      <c r="GR7" s="71">
        <v>82</v>
      </c>
      <c r="GS7" s="71">
        <v>16</v>
      </c>
      <c r="GT7" s="71">
        <v>98</v>
      </c>
      <c r="GU7" s="71">
        <v>247</v>
      </c>
      <c r="GV7" s="146">
        <v>21.739130434782609</v>
      </c>
      <c r="GW7" s="147">
        <v>47.368421052631575</v>
      </c>
    </row>
    <row r="8" spans="1:205" ht="15.5" thickBot="1">
      <c r="A8" s="19" t="s">
        <v>37</v>
      </c>
      <c r="B8" s="20">
        <v>45</v>
      </c>
      <c r="C8" s="20">
        <v>108</v>
      </c>
      <c r="D8" s="20">
        <v>1</v>
      </c>
      <c r="E8" s="20">
        <v>154</v>
      </c>
      <c r="F8" s="20">
        <v>685</v>
      </c>
      <c r="G8" s="20">
        <v>90</v>
      </c>
      <c r="H8" s="20">
        <v>775</v>
      </c>
      <c r="I8" s="20">
        <v>1182</v>
      </c>
      <c r="J8" s="26"/>
      <c r="K8" s="19" t="s">
        <v>37</v>
      </c>
      <c r="L8" s="20">
        <v>52</v>
      </c>
      <c r="M8" s="20">
        <v>78</v>
      </c>
      <c r="N8" s="20">
        <v>1</v>
      </c>
      <c r="O8" s="20">
        <v>131</v>
      </c>
      <c r="P8" s="20">
        <v>634</v>
      </c>
      <c r="Q8" s="20">
        <v>115</v>
      </c>
      <c r="R8" s="20">
        <v>749</v>
      </c>
      <c r="S8" s="20">
        <v>1138</v>
      </c>
      <c r="T8" s="13"/>
      <c r="U8" s="13"/>
      <c r="V8" s="19" t="s">
        <v>37</v>
      </c>
      <c r="W8" s="20">
        <v>33</v>
      </c>
      <c r="X8" s="20">
        <v>72</v>
      </c>
      <c r="Y8" s="20">
        <v>0</v>
      </c>
      <c r="Z8" s="20">
        <v>105</v>
      </c>
      <c r="AA8" s="20">
        <v>418</v>
      </c>
      <c r="AB8" s="20">
        <v>46</v>
      </c>
      <c r="AC8" s="20">
        <v>464</v>
      </c>
      <c r="AD8" s="20">
        <v>737</v>
      </c>
      <c r="AE8" s="45"/>
      <c r="AF8" s="45"/>
      <c r="AG8" s="50" t="s">
        <v>37</v>
      </c>
      <c r="AH8" s="20">
        <v>39</v>
      </c>
      <c r="AI8" s="20">
        <v>86</v>
      </c>
      <c r="AJ8" s="20">
        <v>5</v>
      </c>
      <c r="AK8" s="20">
        <v>130</v>
      </c>
      <c r="AL8" s="20">
        <v>627</v>
      </c>
      <c r="AM8" s="20">
        <v>79</v>
      </c>
      <c r="AN8" s="20">
        <v>706</v>
      </c>
      <c r="AO8" s="20">
        <v>1010</v>
      </c>
      <c r="AP8" s="13"/>
      <c r="AQ8" s="13"/>
      <c r="AR8" s="20" t="s">
        <v>37</v>
      </c>
      <c r="AS8" s="20">
        <v>64</v>
      </c>
      <c r="AT8" s="20">
        <v>149</v>
      </c>
      <c r="AU8" s="20">
        <v>4</v>
      </c>
      <c r="AV8" s="20">
        <v>217</v>
      </c>
      <c r="AW8" s="20">
        <v>882</v>
      </c>
      <c r="AX8" s="20">
        <v>156</v>
      </c>
      <c r="AY8" s="20">
        <v>1038</v>
      </c>
      <c r="AZ8" s="20">
        <v>1600</v>
      </c>
      <c r="BA8" s="13"/>
      <c r="BB8" s="13"/>
      <c r="BC8" s="20" t="s">
        <v>37</v>
      </c>
      <c r="BD8" s="20">
        <v>40</v>
      </c>
      <c r="BE8" s="20">
        <v>99</v>
      </c>
      <c r="BF8" s="20">
        <v>1</v>
      </c>
      <c r="BG8" s="20">
        <v>140</v>
      </c>
      <c r="BH8" s="20">
        <v>499</v>
      </c>
      <c r="BI8" s="20">
        <v>73</v>
      </c>
      <c r="BJ8" s="20">
        <v>572</v>
      </c>
      <c r="BK8" s="20">
        <v>1105</v>
      </c>
      <c r="BL8" s="13"/>
      <c r="BM8" s="13"/>
      <c r="BN8" s="20" t="s">
        <v>37</v>
      </c>
      <c r="BO8" s="20">
        <v>27</v>
      </c>
      <c r="BP8" s="20">
        <v>61</v>
      </c>
      <c r="BQ8" s="20">
        <v>2</v>
      </c>
      <c r="BR8" s="20">
        <v>90</v>
      </c>
      <c r="BS8" s="20">
        <v>351</v>
      </c>
      <c r="BT8" s="20">
        <v>79</v>
      </c>
      <c r="BU8" s="20">
        <v>430</v>
      </c>
      <c r="BV8" s="20">
        <v>652</v>
      </c>
      <c r="BW8" s="13"/>
      <c r="BX8" s="13"/>
      <c r="BY8" s="20" t="s">
        <v>37</v>
      </c>
      <c r="BZ8" s="20">
        <v>29</v>
      </c>
      <c r="CA8" s="20">
        <v>95</v>
      </c>
      <c r="CB8" s="20">
        <v>5</v>
      </c>
      <c r="CC8" s="20">
        <v>129</v>
      </c>
      <c r="CD8" s="20">
        <v>436</v>
      </c>
      <c r="CE8" s="20">
        <v>94</v>
      </c>
      <c r="CF8" s="20">
        <v>530</v>
      </c>
      <c r="CG8" s="20">
        <v>855</v>
      </c>
      <c r="CH8" s="13"/>
      <c r="CI8" s="13"/>
      <c r="CJ8" s="20" t="s">
        <v>37</v>
      </c>
      <c r="CK8" s="20">
        <v>42</v>
      </c>
      <c r="CL8" s="20">
        <v>79</v>
      </c>
      <c r="CM8" s="20">
        <v>1</v>
      </c>
      <c r="CN8" s="20">
        <v>122</v>
      </c>
      <c r="CO8" s="20">
        <v>523</v>
      </c>
      <c r="CP8" s="20">
        <v>93</v>
      </c>
      <c r="CQ8" s="20">
        <v>616</v>
      </c>
      <c r="CR8" s="20">
        <v>888</v>
      </c>
      <c r="CS8" s="13"/>
      <c r="CT8" s="13"/>
      <c r="CU8" s="20" t="s">
        <v>37</v>
      </c>
      <c r="CV8" s="20">
        <v>43</v>
      </c>
      <c r="CW8" s="20">
        <v>56</v>
      </c>
      <c r="CX8" s="20">
        <v>11</v>
      </c>
      <c r="CY8" s="20">
        <v>110</v>
      </c>
      <c r="CZ8" s="20">
        <v>473</v>
      </c>
      <c r="DA8" s="20">
        <v>139</v>
      </c>
      <c r="DB8" s="20">
        <v>612</v>
      </c>
      <c r="DC8" s="20">
        <v>826</v>
      </c>
      <c r="DD8" s="13"/>
      <c r="DE8" s="13"/>
      <c r="DF8" s="20" t="s">
        <v>37</v>
      </c>
      <c r="DG8" s="20">
        <v>33</v>
      </c>
      <c r="DH8" s="20">
        <v>66</v>
      </c>
      <c r="DI8" s="20">
        <v>1</v>
      </c>
      <c r="DJ8" s="20">
        <v>100</v>
      </c>
      <c r="DK8" s="20">
        <v>399</v>
      </c>
      <c r="DL8" s="20">
        <v>84</v>
      </c>
      <c r="DM8" s="20">
        <v>483</v>
      </c>
      <c r="DN8" s="20">
        <v>656</v>
      </c>
      <c r="DO8" s="13"/>
      <c r="DP8" s="13"/>
      <c r="DQ8" s="20" t="s">
        <v>37</v>
      </c>
      <c r="DR8" s="20">
        <v>13</v>
      </c>
      <c r="DS8" s="20">
        <v>35</v>
      </c>
      <c r="DT8" s="20">
        <v>3</v>
      </c>
      <c r="DU8" s="20">
        <v>51</v>
      </c>
      <c r="DV8" s="20">
        <v>159</v>
      </c>
      <c r="DW8" s="20">
        <v>16</v>
      </c>
      <c r="DX8" s="20">
        <v>175</v>
      </c>
      <c r="DY8" s="20">
        <v>309</v>
      </c>
      <c r="DZ8" s="13"/>
      <c r="EA8" s="13"/>
      <c r="EB8" s="19" t="s">
        <v>37</v>
      </c>
      <c r="EC8" s="19">
        <v>23</v>
      </c>
      <c r="ED8" s="19">
        <v>59</v>
      </c>
      <c r="EE8" s="19">
        <v>1</v>
      </c>
      <c r="EF8" s="19">
        <v>83</v>
      </c>
      <c r="EG8" s="19">
        <v>361</v>
      </c>
      <c r="EH8" s="19">
        <v>46</v>
      </c>
      <c r="EI8" s="19">
        <v>407</v>
      </c>
      <c r="EJ8" s="19">
        <v>657</v>
      </c>
      <c r="EK8" s="13"/>
      <c r="EL8" s="13"/>
      <c r="EM8" s="19" t="s">
        <v>37</v>
      </c>
      <c r="EN8" s="19">
        <v>25</v>
      </c>
      <c r="EO8" s="19">
        <v>72</v>
      </c>
      <c r="EP8" s="19">
        <v>2</v>
      </c>
      <c r="EQ8" s="19">
        <v>99</v>
      </c>
      <c r="ER8" s="19">
        <v>442</v>
      </c>
      <c r="ES8" s="19">
        <v>45</v>
      </c>
      <c r="ET8" s="19">
        <v>487</v>
      </c>
      <c r="EU8" s="19">
        <v>812</v>
      </c>
      <c r="EV8" s="13"/>
      <c r="EW8" s="13"/>
      <c r="EX8" s="19" t="s">
        <v>37</v>
      </c>
      <c r="EY8" s="19">
        <v>24</v>
      </c>
      <c r="EZ8" s="19">
        <v>31</v>
      </c>
      <c r="FA8" s="19">
        <v>0</v>
      </c>
      <c r="FB8" s="19">
        <v>55</v>
      </c>
      <c r="FC8" s="19">
        <v>305</v>
      </c>
      <c r="FD8" s="19">
        <v>54</v>
      </c>
      <c r="FE8" s="19">
        <v>359</v>
      </c>
      <c r="FF8" s="19">
        <v>578</v>
      </c>
      <c r="FG8" s="13"/>
      <c r="FH8" s="13"/>
      <c r="FI8" s="58" t="s">
        <v>37</v>
      </c>
      <c r="FJ8" s="65">
        <v>11</v>
      </c>
      <c r="FK8" s="65">
        <v>35</v>
      </c>
      <c r="FL8" s="65">
        <v>0</v>
      </c>
      <c r="FM8" s="65">
        <v>46</v>
      </c>
      <c r="FN8" s="65">
        <v>260</v>
      </c>
      <c r="FO8" s="65">
        <v>17</v>
      </c>
      <c r="FP8" s="65">
        <v>277</v>
      </c>
      <c r="FQ8" s="65">
        <v>411</v>
      </c>
      <c r="FR8" s="13"/>
      <c r="FS8" s="70" t="s">
        <v>37</v>
      </c>
      <c r="FT8" s="145">
        <v>18</v>
      </c>
      <c r="FU8" s="145">
        <v>62</v>
      </c>
      <c r="FV8" s="145">
        <v>3</v>
      </c>
      <c r="FW8" s="145">
        <v>83</v>
      </c>
      <c r="FX8" s="145">
        <v>395</v>
      </c>
      <c r="FY8" s="145">
        <v>36</v>
      </c>
      <c r="FZ8" s="145">
        <v>431</v>
      </c>
      <c r="GA8" s="145">
        <v>670</v>
      </c>
      <c r="GB8" s="13"/>
      <c r="GC8" s="70" t="s">
        <v>37</v>
      </c>
      <c r="GD8" s="71">
        <v>22</v>
      </c>
      <c r="GE8" s="71">
        <v>46</v>
      </c>
      <c r="GF8" s="71">
        <v>0</v>
      </c>
      <c r="GG8" s="71">
        <v>68</v>
      </c>
      <c r="GH8" s="71">
        <v>314</v>
      </c>
      <c r="GI8" s="71">
        <v>41</v>
      </c>
      <c r="GJ8" s="71">
        <v>355</v>
      </c>
      <c r="GK8" s="71">
        <v>465</v>
      </c>
      <c r="GL8" s="13"/>
      <c r="GM8" s="70" t="s">
        <v>37</v>
      </c>
      <c r="GN8" s="71">
        <v>23</v>
      </c>
      <c r="GO8" s="71">
        <v>60</v>
      </c>
      <c r="GP8" s="71">
        <v>5</v>
      </c>
      <c r="GQ8" s="71">
        <v>88</v>
      </c>
      <c r="GR8" s="71">
        <v>402</v>
      </c>
      <c r="GS8" s="71">
        <v>58</v>
      </c>
      <c r="GT8" s="71">
        <v>460</v>
      </c>
      <c r="GU8" s="71">
        <v>686</v>
      </c>
      <c r="GV8" s="146">
        <v>60</v>
      </c>
      <c r="GW8" s="147">
        <v>29.411764705882355</v>
      </c>
    </row>
    <row r="9" spans="1:205" ht="15.5" thickBot="1">
      <c r="A9" s="19" t="s">
        <v>38</v>
      </c>
      <c r="B9" s="20">
        <v>0</v>
      </c>
      <c r="C9" s="20">
        <v>1</v>
      </c>
      <c r="D9" s="20">
        <v>0</v>
      </c>
      <c r="E9" s="20">
        <v>1</v>
      </c>
      <c r="F9" s="20">
        <v>3</v>
      </c>
      <c r="G9" s="20">
        <v>0</v>
      </c>
      <c r="H9" s="20">
        <v>3</v>
      </c>
      <c r="I9" s="20">
        <v>3</v>
      </c>
      <c r="J9" s="26"/>
      <c r="K9" s="19" t="s">
        <v>38</v>
      </c>
      <c r="L9" s="20">
        <v>0</v>
      </c>
      <c r="M9" s="20">
        <v>6</v>
      </c>
      <c r="N9" s="20">
        <v>1</v>
      </c>
      <c r="O9" s="20">
        <v>7</v>
      </c>
      <c r="P9" s="20">
        <v>15</v>
      </c>
      <c r="Q9" s="20">
        <v>0</v>
      </c>
      <c r="R9" s="20">
        <v>15</v>
      </c>
      <c r="S9" s="20">
        <v>29</v>
      </c>
      <c r="T9" s="13"/>
      <c r="U9" s="13"/>
      <c r="V9" s="19" t="s">
        <v>38</v>
      </c>
      <c r="W9" s="20">
        <v>2</v>
      </c>
      <c r="X9" s="20">
        <v>5</v>
      </c>
      <c r="Y9" s="20">
        <v>3</v>
      </c>
      <c r="Z9" s="20">
        <v>10</v>
      </c>
      <c r="AA9" s="20">
        <v>19</v>
      </c>
      <c r="AB9" s="20">
        <v>3</v>
      </c>
      <c r="AC9" s="20">
        <v>22</v>
      </c>
      <c r="AD9" s="20">
        <v>42</v>
      </c>
      <c r="AE9" s="45"/>
      <c r="AF9" s="45"/>
      <c r="AG9" s="50" t="s">
        <v>38</v>
      </c>
      <c r="AH9" s="20">
        <v>3</v>
      </c>
      <c r="AI9" s="20">
        <v>9</v>
      </c>
      <c r="AJ9" s="20">
        <v>7</v>
      </c>
      <c r="AK9" s="20">
        <v>19</v>
      </c>
      <c r="AL9" s="20">
        <v>23</v>
      </c>
      <c r="AM9" s="20">
        <v>8</v>
      </c>
      <c r="AN9" s="20">
        <v>31</v>
      </c>
      <c r="AO9" s="20">
        <v>72</v>
      </c>
      <c r="AP9" s="13"/>
      <c r="AQ9" s="13"/>
      <c r="AR9" s="20" t="s">
        <v>38</v>
      </c>
      <c r="AS9" s="20">
        <v>3</v>
      </c>
      <c r="AT9" s="20">
        <v>9</v>
      </c>
      <c r="AU9" s="20">
        <v>0</v>
      </c>
      <c r="AV9" s="20">
        <v>12</v>
      </c>
      <c r="AW9" s="20">
        <v>37</v>
      </c>
      <c r="AX9" s="20">
        <v>24</v>
      </c>
      <c r="AY9" s="20">
        <v>61</v>
      </c>
      <c r="AZ9" s="20">
        <v>80</v>
      </c>
      <c r="BA9" s="13"/>
      <c r="BB9" s="13"/>
      <c r="BC9" s="20" t="s">
        <v>38</v>
      </c>
      <c r="BD9" s="20">
        <v>2</v>
      </c>
      <c r="BE9" s="20">
        <v>16</v>
      </c>
      <c r="BF9" s="20">
        <v>5</v>
      </c>
      <c r="BG9" s="20">
        <v>23</v>
      </c>
      <c r="BH9" s="20">
        <v>61</v>
      </c>
      <c r="BI9" s="20">
        <v>2</v>
      </c>
      <c r="BJ9" s="20">
        <v>63</v>
      </c>
      <c r="BK9" s="20">
        <v>140</v>
      </c>
      <c r="BL9" s="13"/>
      <c r="BM9" s="13"/>
      <c r="BN9" s="20" t="s">
        <v>38</v>
      </c>
      <c r="BO9" s="20">
        <v>1</v>
      </c>
      <c r="BP9" s="20">
        <v>11</v>
      </c>
      <c r="BQ9" s="20">
        <v>3</v>
      </c>
      <c r="BR9" s="20">
        <v>15</v>
      </c>
      <c r="BS9" s="20">
        <v>25</v>
      </c>
      <c r="BT9" s="20">
        <v>4</v>
      </c>
      <c r="BU9" s="20">
        <v>29</v>
      </c>
      <c r="BV9" s="20">
        <v>82</v>
      </c>
      <c r="BW9" s="13"/>
      <c r="BX9" s="13"/>
      <c r="BY9" s="20" t="s">
        <v>38</v>
      </c>
      <c r="BZ9" s="20">
        <v>1</v>
      </c>
      <c r="CA9" s="20">
        <v>7</v>
      </c>
      <c r="CB9" s="20">
        <v>4</v>
      </c>
      <c r="CC9" s="20">
        <v>12</v>
      </c>
      <c r="CD9" s="20">
        <v>16</v>
      </c>
      <c r="CE9" s="20">
        <v>1</v>
      </c>
      <c r="CF9" s="20">
        <v>17</v>
      </c>
      <c r="CG9" s="20">
        <v>73</v>
      </c>
      <c r="CH9" s="13"/>
      <c r="CI9" s="13"/>
      <c r="CJ9" s="20" t="s">
        <v>38</v>
      </c>
      <c r="CK9" s="20">
        <v>1</v>
      </c>
      <c r="CL9" s="20">
        <v>5</v>
      </c>
      <c r="CM9" s="20">
        <v>2</v>
      </c>
      <c r="CN9" s="20">
        <v>8</v>
      </c>
      <c r="CO9" s="20">
        <v>17</v>
      </c>
      <c r="CP9" s="20">
        <v>1</v>
      </c>
      <c r="CQ9" s="20">
        <v>18</v>
      </c>
      <c r="CR9" s="20">
        <v>27</v>
      </c>
      <c r="CS9" s="13"/>
      <c r="CT9" s="13"/>
      <c r="CU9" s="20" t="s">
        <v>38</v>
      </c>
      <c r="CV9" s="20">
        <v>2</v>
      </c>
      <c r="CW9" s="20">
        <v>2</v>
      </c>
      <c r="CX9" s="20">
        <v>2</v>
      </c>
      <c r="CY9" s="20">
        <v>6</v>
      </c>
      <c r="CZ9" s="20">
        <v>11</v>
      </c>
      <c r="DA9" s="20">
        <v>1</v>
      </c>
      <c r="DB9" s="20">
        <v>12</v>
      </c>
      <c r="DC9" s="20">
        <v>28</v>
      </c>
      <c r="DD9" s="13"/>
      <c r="DE9" s="13"/>
      <c r="DF9" s="20" t="s">
        <v>38</v>
      </c>
      <c r="DG9" s="20">
        <v>2</v>
      </c>
      <c r="DH9" s="20">
        <v>5</v>
      </c>
      <c r="DI9" s="20">
        <v>0</v>
      </c>
      <c r="DJ9" s="20">
        <v>7</v>
      </c>
      <c r="DK9" s="20">
        <v>30</v>
      </c>
      <c r="DL9" s="20">
        <v>8</v>
      </c>
      <c r="DM9" s="20">
        <v>38</v>
      </c>
      <c r="DN9" s="20">
        <v>53</v>
      </c>
      <c r="DO9" s="13"/>
      <c r="DP9" s="13"/>
      <c r="DQ9" s="20" t="s">
        <v>38</v>
      </c>
      <c r="DR9" s="20">
        <v>0</v>
      </c>
      <c r="DS9" s="20">
        <v>2</v>
      </c>
      <c r="DT9" s="20">
        <v>3</v>
      </c>
      <c r="DU9" s="20">
        <v>5</v>
      </c>
      <c r="DV9" s="20">
        <v>2</v>
      </c>
      <c r="DW9" s="20">
        <v>0</v>
      </c>
      <c r="DX9" s="20">
        <v>2</v>
      </c>
      <c r="DY9" s="20">
        <v>22</v>
      </c>
      <c r="DZ9" s="13"/>
      <c r="EA9" s="13"/>
      <c r="EB9" s="19" t="s">
        <v>38</v>
      </c>
      <c r="EC9" s="19">
        <v>0</v>
      </c>
      <c r="ED9" s="19">
        <v>2</v>
      </c>
      <c r="EE9" s="19">
        <v>1</v>
      </c>
      <c r="EF9" s="19">
        <v>3</v>
      </c>
      <c r="EG9" s="19">
        <v>14</v>
      </c>
      <c r="EH9" s="19">
        <v>0</v>
      </c>
      <c r="EI9" s="19">
        <v>14</v>
      </c>
      <c r="EJ9" s="19">
        <v>17</v>
      </c>
      <c r="EK9" s="13"/>
      <c r="EL9" s="13"/>
      <c r="EM9" s="19" t="s">
        <v>38</v>
      </c>
      <c r="EN9" s="19">
        <v>4</v>
      </c>
      <c r="EO9" s="19">
        <v>7</v>
      </c>
      <c r="EP9" s="19">
        <v>2</v>
      </c>
      <c r="EQ9" s="19">
        <v>13</v>
      </c>
      <c r="ER9" s="19">
        <v>26</v>
      </c>
      <c r="ES9" s="19">
        <v>5</v>
      </c>
      <c r="ET9" s="19">
        <v>31</v>
      </c>
      <c r="EU9" s="19">
        <v>113</v>
      </c>
      <c r="EV9" s="13"/>
      <c r="EW9" s="13"/>
      <c r="EX9" s="19" t="s">
        <v>38</v>
      </c>
      <c r="EY9" s="19">
        <v>1</v>
      </c>
      <c r="EZ9" s="19">
        <v>6</v>
      </c>
      <c r="FA9" s="19">
        <v>2</v>
      </c>
      <c r="FB9" s="19">
        <v>9</v>
      </c>
      <c r="FC9" s="19">
        <v>16</v>
      </c>
      <c r="FD9" s="19">
        <v>6</v>
      </c>
      <c r="FE9" s="19">
        <v>22</v>
      </c>
      <c r="FF9" s="19">
        <v>47</v>
      </c>
      <c r="FG9" s="13"/>
      <c r="FH9" s="13"/>
      <c r="FI9" s="58" t="s">
        <v>38</v>
      </c>
      <c r="FJ9" s="65">
        <v>1</v>
      </c>
      <c r="FK9" s="65">
        <v>4</v>
      </c>
      <c r="FL9" s="65">
        <v>0</v>
      </c>
      <c r="FM9" s="65">
        <v>5</v>
      </c>
      <c r="FN9" s="65">
        <v>18</v>
      </c>
      <c r="FO9" s="65">
        <v>1</v>
      </c>
      <c r="FP9" s="65">
        <v>19</v>
      </c>
      <c r="FQ9" s="65">
        <v>27</v>
      </c>
      <c r="FR9" s="13"/>
      <c r="FS9" s="70" t="s">
        <v>38</v>
      </c>
      <c r="FT9" s="145">
        <v>0</v>
      </c>
      <c r="FU9" s="145">
        <v>5</v>
      </c>
      <c r="FV9" s="145">
        <v>0</v>
      </c>
      <c r="FW9" s="145">
        <v>5</v>
      </c>
      <c r="FX9" s="145">
        <v>13</v>
      </c>
      <c r="FY9" s="145">
        <v>0</v>
      </c>
      <c r="FZ9" s="145">
        <v>13</v>
      </c>
      <c r="GA9" s="145">
        <v>26</v>
      </c>
      <c r="GB9" s="13"/>
      <c r="GC9" s="70" t="s">
        <v>38</v>
      </c>
      <c r="GD9" s="71">
        <v>1</v>
      </c>
      <c r="GE9" s="71">
        <v>9</v>
      </c>
      <c r="GF9" s="71">
        <v>0</v>
      </c>
      <c r="GG9" s="71">
        <v>10</v>
      </c>
      <c r="GH9" s="71">
        <v>28</v>
      </c>
      <c r="GI9" s="71">
        <v>1</v>
      </c>
      <c r="GJ9" s="71">
        <v>29</v>
      </c>
      <c r="GK9" s="71">
        <v>51</v>
      </c>
      <c r="GL9" s="13"/>
      <c r="GM9" s="70" t="s">
        <v>38</v>
      </c>
      <c r="GN9" s="71">
        <v>2</v>
      </c>
      <c r="GO9" s="71">
        <v>8</v>
      </c>
      <c r="GP9" s="71">
        <v>3</v>
      </c>
      <c r="GQ9" s="71">
        <v>13</v>
      </c>
      <c r="GR9" s="71">
        <v>15</v>
      </c>
      <c r="GS9" s="71">
        <v>2</v>
      </c>
      <c r="GT9" s="71">
        <v>17</v>
      </c>
      <c r="GU9" s="71">
        <v>49</v>
      </c>
      <c r="GV9" s="146">
        <v>44.444444444444443</v>
      </c>
      <c r="GW9" s="147">
        <v>30</v>
      </c>
    </row>
    <row r="10" spans="1:205" ht="15.5" thickBot="1">
      <c r="A10" s="19" t="s">
        <v>39</v>
      </c>
      <c r="B10" s="20">
        <v>10</v>
      </c>
      <c r="C10" s="20">
        <v>43</v>
      </c>
      <c r="D10" s="20">
        <v>24</v>
      </c>
      <c r="E10" s="20">
        <v>77</v>
      </c>
      <c r="F10" s="20">
        <v>177</v>
      </c>
      <c r="G10" s="20">
        <v>25</v>
      </c>
      <c r="H10" s="20">
        <v>202</v>
      </c>
      <c r="I10" s="20">
        <v>254</v>
      </c>
      <c r="J10" s="26"/>
      <c r="K10" s="19" t="s">
        <v>39</v>
      </c>
      <c r="L10" s="20">
        <v>10</v>
      </c>
      <c r="M10" s="20">
        <v>27</v>
      </c>
      <c r="N10" s="20">
        <v>15</v>
      </c>
      <c r="O10" s="20">
        <v>52</v>
      </c>
      <c r="P10" s="20">
        <v>123</v>
      </c>
      <c r="Q10" s="20">
        <v>15</v>
      </c>
      <c r="R10" s="20">
        <v>138</v>
      </c>
      <c r="S10" s="20">
        <v>187</v>
      </c>
      <c r="T10" s="13"/>
      <c r="U10" s="13"/>
      <c r="V10" s="19" t="s">
        <v>39</v>
      </c>
      <c r="W10" s="20">
        <v>7</v>
      </c>
      <c r="X10" s="20">
        <v>59</v>
      </c>
      <c r="Y10" s="20">
        <v>3</v>
      </c>
      <c r="Z10" s="20">
        <v>69</v>
      </c>
      <c r="AA10" s="20">
        <v>170</v>
      </c>
      <c r="AB10" s="20">
        <v>19</v>
      </c>
      <c r="AC10" s="20">
        <v>189</v>
      </c>
      <c r="AD10" s="20">
        <v>236</v>
      </c>
      <c r="AE10" s="45"/>
      <c r="AF10" s="45"/>
      <c r="AG10" s="50" t="s">
        <v>39</v>
      </c>
      <c r="AH10" s="20">
        <v>10</v>
      </c>
      <c r="AI10" s="20">
        <v>37</v>
      </c>
      <c r="AJ10" s="20">
        <v>6</v>
      </c>
      <c r="AK10" s="20">
        <v>53</v>
      </c>
      <c r="AL10" s="20">
        <v>159</v>
      </c>
      <c r="AM10" s="20">
        <v>18</v>
      </c>
      <c r="AN10" s="20">
        <v>177</v>
      </c>
      <c r="AO10" s="20">
        <v>245</v>
      </c>
      <c r="AP10" s="13"/>
      <c r="AQ10" s="13"/>
      <c r="AR10" s="20" t="s">
        <v>39</v>
      </c>
      <c r="AS10" s="20">
        <v>6</v>
      </c>
      <c r="AT10" s="20">
        <v>44</v>
      </c>
      <c r="AU10" s="20">
        <v>3</v>
      </c>
      <c r="AV10" s="20">
        <v>53</v>
      </c>
      <c r="AW10" s="20">
        <v>123</v>
      </c>
      <c r="AX10" s="20">
        <v>9</v>
      </c>
      <c r="AY10" s="20">
        <v>132</v>
      </c>
      <c r="AZ10" s="20">
        <v>165</v>
      </c>
      <c r="BA10" s="13"/>
      <c r="BB10" s="13"/>
      <c r="BC10" s="20" t="s">
        <v>39</v>
      </c>
      <c r="BD10" s="20">
        <v>18</v>
      </c>
      <c r="BE10" s="20">
        <v>52</v>
      </c>
      <c r="BF10" s="20">
        <v>4</v>
      </c>
      <c r="BG10" s="20">
        <v>74</v>
      </c>
      <c r="BH10" s="20">
        <v>221</v>
      </c>
      <c r="BI10" s="20">
        <v>27</v>
      </c>
      <c r="BJ10" s="20">
        <v>248</v>
      </c>
      <c r="BK10" s="20">
        <v>461</v>
      </c>
      <c r="BL10" s="13"/>
      <c r="BM10" s="13"/>
      <c r="BN10" s="20" t="s">
        <v>39</v>
      </c>
      <c r="BO10" s="20">
        <v>26</v>
      </c>
      <c r="BP10" s="20">
        <v>58</v>
      </c>
      <c r="BQ10" s="20">
        <v>0</v>
      </c>
      <c r="BR10" s="20">
        <v>84</v>
      </c>
      <c r="BS10" s="20">
        <v>273</v>
      </c>
      <c r="BT10" s="20">
        <v>51</v>
      </c>
      <c r="BU10" s="20">
        <v>324</v>
      </c>
      <c r="BV10" s="20">
        <v>559</v>
      </c>
      <c r="BW10" s="13"/>
      <c r="BX10" s="13"/>
      <c r="BY10" s="20" t="s">
        <v>39</v>
      </c>
      <c r="BZ10" s="20">
        <v>9</v>
      </c>
      <c r="CA10" s="20">
        <v>57</v>
      </c>
      <c r="CB10" s="20">
        <v>4</v>
      </c>
      <c r="CC10" s="20">
        <v>70</v>
      </c>
      <c r="CD10" s="20">
        <v>227</v>
      </c>
      <c r="CE10" s="20">
        <v>16</v>
      </c>
      <c r="CF10" s="20">
        <v>243</v>
      </c>
      <c r="CG10" s="20">
        <v>404</v>
      </c>
      <c r="CH10" s="13"/>
      <c r="CI10" s="13"/>
      <c r="CJ10" s="20" t="s">
        <v>39</v>
      </c>
      <c r="CK10" s="20">
        <v>20</v>
      </c>
      <c r="CL10" s="20">
        <v>49</v>
      </c>
      <c r="CM10" s="20">
        <v>4</v>
      </c>
      <c r="CN10" s="20">
        <v>73</v>
      </c>
      <c r="CO10" s="20">
        <v>225</v>
      </c>
      <c r="CP10" s="20">
        <v>24</v>
      </c>
      <c r="CQ10" s="20">
        <v>249</v>
      </c>
      <c r="CR10" s="20">
        <v>395</v>
      </c>
      <c r="CS10" s="13"/>
      <c r="CT10" s="13"/>
      <c r="CU10" s="20" t="s">
        <v>39</v>
      </c>
      <c r="CV10" s="20">
        <v>3</v>
      </c>
      <c r="CW10" s="20">
        <v>27</v>
      </c>
      <c r="CX10" s="20">
        <v>7</v>
      </c>
      <c r="CY10" s="20">
        <v>37</v>
      </c>
      <c r="CZ10" s="20">
        <v>84</v>
      </c>
      <c r="DA10" s="20">
        <v>4</v>
      </c>
      <c r="DB10" s="20">
        <v>88</v>
      </c>
      <c r="DC10" s="20">
        <v>226</v>
      </c>
      <c r="DD10" s="13"/>
      <c r="DE10" s="13"/>
      <c r="DF10" s="20" t="s">
        <v>39</v>
      </c>
      <c r="DG10" s="20">
        <v>19</v>
      </c>
      <c r="DH10" s="20">
        <v>38</v>
      </c>
      <c r="DI10" s="20">
        <v>0</v>
      </c>
      <c r="DJ10" s="20">
        <v>57</v>
      </c>
      <c r="DK10" s="20">
        <v>156</v>
      </c>
      <c r="DL10" s="20">
        <v>29</v>
      </c>
      <c r="DM10" s="20">
        <v>185</v>
      </c>
      <c r="DN10" s="20">
        <v>302</v>
      </c>
      <c r="DO10" s="13"/>
      <c r="DP10" s="13"/>
      <c r="DQ10" s="20" t="s">
        <v>39</v>
      </c>
      <c r="DR10" s="20">
        <v>10</v>
      </c>
      <c r="DS10" s="20">
        <v>45</v>
      </c>
      <c r="DT10" s="20">
        <v>0</v>
      </c>
      <c r="DU10" s="20">
        <v>55</v>
      </c>
      <c r="DV10" s="20">
        <v>176</v>
      </c>
      <c r="DW10" s="20">
        <v>13</v>
      </c>
      <c r="DX10" s="20">
        <v>189</v>
      </c>
      <c r="DY10" s="20">
        <v>320</v>
      </c>
      <c r="DZ10" s="13"/>
      <c r="EA10" s="13"/>
      <c r="EB10" s="19" t="s">
        <v>39</v>
      </c>
      <c r="EC10" s="19">
        <v>13</v>
      </c>
      <c r="ED10" s="19">
        <v>25</v>
      </c>
      <c r="EE10" s="19">
        <v>4</v>
      </c>
      <c r="EF10" s="19">
        <v>42</v>
      </c>
      <c r="EG10" s="19">
        <v>114</v>
      </c>
      <c r="EH10" s="19">
        <v>23</v>
      </c>
      <c r="EI10" s="19">
        <v>137</v>
      </c>
      <c r="EJ10" s="19">
        <v>227</v>
      </c>
      <c r="EK10" s="13"/>
      <c r="EL10" s="13"/>
      <c r="EM10" s="19" t="s">
        <v>39</v>
      </c>
      <c r="EN10" s="19">
        <v>25</v>
      </c>
      <c r="EO10" s="19">
        <v>53</v>
      </c>
      <c r="EP10" s="19">
        <v>5</v>
      </c>
      <c r="EQ10" s="19">
        <v>83</v>
      </c>
      <c r="ER10" s="19">
        <v>317</v>
      </c>
      <c r="ES10" s="19">
        <v>49</v>
      </c>
      <c r="ET10" s="19">
        <v>366</v>
      </c>
      <c r="EU10" s="19">
        <v>692</v>
      </c>
      <c r="EV10" s="13"/>
      <c r="EW10" s="13"/>
      <c r="EX10" s="19" t="s">
        <v>39</v>
      </c>
      <c r="EY10" s="19">
        <v>14</v>
      </c>
      <c r="EZ10" s="19">
        <v>50</v>
      </c>
      <c r="FA10" s="19">
        <v>5</v>
      </c>
      <c r="FB10" s="19">
        <v>69</v>
      </c>
      <c r="FC10" s="19">
        <v>267</v>
      </c>
      <c r="FD10" s="19">
        <v>37</v>
      </c>
      <c r="FE10" s="19">
        <v>304</v>
      </c>
      <c r="FF10" s="19">
        <v>501</v>
      </c>
      <c r="FG10" s="13"/>
      <c r="FH10" s="13"/>
      <c r="FI10" s="58" t="s">
        <v>39</v>
      </c>
      <c r="FJ10" s="65">
        <v>13</v>
      </c>
      <c r="FK10" s="65">
        <v>30</v>
      </c>
      <c r="FL10" s="65">
        <v>2</v>
      </c>
      <c r="FM10" s="65">
        <v>45</v>
      </c>
      <c r="FN10" s="65">
        <v>121</v>
      </c>
      <c r="FO10" s="65">
        <v>25</v>
      </c>
      <c r="FP10" s="65">
        <v>146</v>
      </c>
      <c r="FQ10" s="65">
        <v>231</v>
      </c>
      <c r="FR10" s="13"/>
      <c r="FS10" s="70" t="s">
        <v>39</v>
      </c>
      <c r="FT10" s="145">
        <v>13</v>
      </c>
      <c r="FU10" s="145">
        <v>31</v>
      </c>
      <c r="FV10" s="145">
        <v>5</v>
      </c>
      <c r="FW10" s="145">
        <v>49</v>
      </c>
      <c r="FX10" s="145">
        <v>143</v>
      </c>
      <c r="FY10" s="145">
        <v>22</v>
      </c>
      <c r="FZ10" s="145">
        <v>165</v>
      </c>
      <c r="GA10" s="145">
        <v>333</v>
      </c>
      <c r="GB10" s="13"/>
      <c r="GC10" s="70" t="s">
        <v>39</v>
      </c>
      <c r="GD10" s="71">
        <v>14</v>
      </c>
      <c r="GE10" s="71">
        <v>46</v>
      </c>
      <c r="GF10" s="71">
        <v>9</v>
      </c>
      <c r="GG10" s="71">
        <v>69</v>
      </c>
      <c r="GH10" s="71">
        <v>207</v>
      </c>
      <c r="GI10" s="71">
        <v>27</v>
      </c>
      <c r="GJ10" s="71">
        <v>234</v>
      </c>
      <c r="GK10" s="71">
        <v>454</v>
      </c>
      <c r="GL10" s="13"/>
      <c r="GM10" s="70" t="s">
        <v>39</v>
      </c>
      <c r="GN10" s="71">
        <v>4</v>
      </c>
      <c r="GO10" s="71">
        <v>36</v>
      </c>
      <c r="GP10" s="71">
        <v>6</v>
      </c>
      <c r="GQ10" s="71">
        <v>46</v>
      </c>
      <c r="GR10" s="71">
        <v>135</v>
      </c>
      <c r="GS10" s="71">
        <v>9</v>
      </c>
      <c r="GT10" s="71">
        <v>144</v>
      </c>
      <c r="GU10" s="71">
        <v>269</v>
      </c>
      <c r="GV10" s="146">
        <v>-33.333333333333329</v>
      </c>
      <c r="GW10" s="147">
        <v>-33.333333333333329</v>
      </c>
    </row>
    <row r="11" spans="1:205" ht="15.5" thickBot="1">
      <c r="A11" s="19" t="s">
        <v>40</v>
      </c>
      <c r="B11" s="20">
        <v>8</v>
      </c>
      <c r="C11" s="20">
        <v>17</v>
      </c>
      <c r="D11" s="20">
        <v>0</v>
      </c>
      <c r="E11" s="20">
        <v>25</v>
      </c>
      <c r="F11" s="20">
        <v>67</v>
      </c>
      <c r="G11" s="20">
        <v>16</v>
      </c>
      <c r="H11" s="20">
        <v>83</v>
      </c>
      <c r="I11" s="20">
        <v>118</v>
      </c>
      <c r="J11" s="26"/>
      <c r="K11" s="19" t="s">
        <v>40</v>
      </c>
      <c r="L11" s="20">
        <v>8</v>
      </c>
      <c r="M11" s="20">
        <v>23</v>
      </c>
      <c r="N11" s="20">
        <v>0</v>
      </c>
      <c r="O11" s="20">
        <v>31</v>
      </c>
      <c r="P11" s="20">
        <v>78</v>
      </c>
      <c r="Q11" s="20">
        <v>24</v>
      </c>
      <c r="R11" s="20">
        <v>102</v>
      </c>
      <c r="S11" s="20">
        <v>149</v>
      </c>
      <c r="T11" s="13"/>
      <c r="U11" s="13"/>
      <c r="V11" s="19" t="s">
        <v>40</v>
      </c>
      <c r="W11" s="20">
        <v>2</v>
      </c>
      <c r="X11" s="20">
        <v>15</v>
      </c>
      <c r="Y11" s="20">
        <v>0</v>
      </c>
      <c r="Z11" s="20">
        <v>17</v>
      </c>
      <c r="AA11" s="20">
        <v>65</v>
      </c>
      <c r="AB11" s="20">
        <v>4</v>
      </c>
      <c r="AC11" s="20">
        <v>69</v>
      </c>
      <c r="AD11" s="20">
        <v>103</v>
      </c>
      <c r="AE11" s="45"/>
      <c r="AF11" s="45"/>
      <c r="AG11" s="50" t="s">
        <v>40</v>
      </c>
      <c r="AH11" s="20">
        <v>2</v>
      </c>
      <c r="AI11" s="20">
        <v>14</v>
      </c>
      <c r="AJ11" s="20">
        <v>1</v>
      </c>
      <c r="AK11" s="20">
        <v>17</v>
      </c>
      <c r="AL11" s="20">
        <v>110</v>
      </c>
      <c r="AM11" s="20">
        <v>3</v>
      </c>
      <c r="AN11" s="20">
        <v>113</v>
      </c>
      <c r="AO11" s="20">
        <v>188</v>
      </c>
      <c r="AP11" s="13"/>
      <c r="AQ11" s="13"/>
      <c r="AR11" s="20" t="s">
        <v>40</v>
      </c>
      <c r="AS11" s="20">
        <v>4</v>
      </c>
      <c r="AT11" s="20">
        <v>17</v>
      </c>
      <c r="AU11" s="20">
        <v>0</v>
      </c>
      <c r="AV11" s="20">
        <v>21</v>
      </c>
      <c r="AW11" s="20">
        <v>70</v>
      </c>
      <c r="AX11" s="20">
        <v>5</v>
      </c>
      <c r="AY11" s="20">
        <v>75</v>
      </c>
      <c r="AZ11" s="20">
        <v>152</v>
      </c>
      <c r="BA11" s="13"/>
      <c r="BB11" s="13"/>
      <c r="BC11" s="20" t="s">
        <v>40</v>
      </c>
      <c r="BD11" s="20">
        <v>9</v>
      </c>
      <c r="BE11" s="20">
        <v>16</v>
      </c>
      <c r="BF11" s="20">
        <v>0</v>
      </c>
      <c r="BG11" s="20">
        <v>25</v>
      </c>
      <c r="BH11" s="20">
        <v>114</v>
      </c>
      <c r="BI11" s="20">
        <v>25</v>
      </c>
      <c r="BJ11" s="20">
        <v>139</v>
      </c>
      <c r="BK11" s="20">
        <v>187</v>
      </c>
      <c r="BL11" s="13"/>
      <c r="BM11" s="13"/>
      <c r="BN11" s="20" t="s">
        <v>40</v>
      </c>
      <c r="BO11" s="20">
        <v>3</v>
      </c>
      <c r="BP11" s="20">
        <v>10</v>
      </c>
      <c r="BQ11" s="20">
        <v>0</v>
      </c>
      <c r="BR11" s="20">
        <v>13</v>
      </c>
      <c r="BS11" s="20">
        <v>57</v>
      </c>
      <c r="BT11" s="20">
        <v>7</v>
      </c>
      <c r="BU11" s="20">
        <v>64</v>
      </c>
      <c r="BV11" s="20">
        <v>94</v>
      </c>
      <c r="BW11" s="13"/>
      <c r="BX11" s="13"/>
      <c r="BY11" s="20" t="s">
        <v>40</v>
      </c>
      <c r="BZ11" s="20">
        <v>7</v>
      </c>
      <c r="CA11" s="20">
        <v>18</v>
      </c>
      <c r="CB11" s="20">
        <v>0</v>
      </c>
      <c r="CC11" s="20">
        <v>25</v>
      </c>
      <c r="CD11" s="20">
        <v>154</v>
      </c>
      <c r="CE11" s="20">
        <v>22</v>
      </c>
      <c r="CF11" s="20">
        <v>176</v>
      </c>
      <c r="CG11" s="20">
        <v>222</v>
      </c>
      <c r="CH11" s="13"/>
      <c r="CI11" s="13"/>
      <c r="CJ11" s="20" t="s">
        <v>40</v>
      </c>
      <c r="CK11" s="20">
        <v>10</v>
      </c>
      <c r="CL11" s="20">
        <v>28</v>
      </c>
      <c r="CM11" s="20">
        <v>1</v>
      </c>
      <c r="CN11" s="20">
        <v>39</v>
      </c>
      <c r="CO11" s="20">
        <v>207</v>
      </c>
      <c r="CP11" s="20">
        <v>66</v>
      </c>
      <c r="CQ11" s="20">
        <v>273</v>
      </c>
      <c r="CR11" s="20">
        <v>375</v>
      </c>
      <c r="CS11" s="13"/>
      <c r="CT11" s="13"/>
      <c r="CU11" s="20" t="s">
        <v>40</v>
      </c>
      <c r="CV11" s="20">
        <v>6</v>
      </c>
      <c r="CW11" s="20">
        <v>17</v>
      </c>
      <c r="CX11" s="20">
        <v>3</v>
      </c>
      <c r="CY11" s="20">
        <v>26</v>
      </c>
      <c r="CZ11" s="20">
        <v>76</v>
      </c>
      <c r="DA11" s="20">
        <v>9</v>
      </c>
      <c r="DB11" s="20">
        <v>85</v>
      </c>
      <c r="DC11" s="20">
        <v>115</v>
      </c>
      <c r="DD11" s="13"/>
      <c r="DE11" s="13"/>
      <c r="DF11" s="20" t="s">
        <v>40</v>
      </c>
      <c r="DG11" s="20">
        <v>9</v>
      </c>
      <c r="DH11" s="20">
        <v>43</v>
      </c>
      <c r="DI11" s="20">
        <v>2</v>
      </c>
      <c r="DJ11" s="20">
        <v>54</v>
      </c>
      <c r="DK11" s="20">
        <v>164</v>
      </c>
      <c r="DL11" s="20">
        <v>13</v>
      </c>
      <c r="DM11" s="20">
        <v>177</v>
      </c>
      <c r="DN11" s="20">
        <v>315</v>
      </c>
      <c r="DO11" s="13"/>
      <c r="DP11" s="13"/>
      <c r="DQ11" s="20" t="s">
        <v>40</v>
      </c>
      <c r="DR11" s="20">
        <v>9</v>
      </c>
      <c r="DS11" s="20">
        <v>19</v>
      </c>
      <c r="DT11" s="20">
        <v>0</v>
      </c>
      <c r="DU11" s="20">
        <v>28</v>
      </c>
      <c r="DV11" s="20">
        <v>93</v>
      </c>
      <c r="DW11" s="20">
        <v>17</v>
      </c>
      <c r="DX11" s="20">
        <v>110</v>
      </c>
      <c r="DY11" s="20">
        <v>199</v>
      </c>
      <c r="DZ11" s="13"/>
      <c r="EA11" s="13"/>
      <c r="EB11" s="19" t="s">
        <v>40</v>
      </c>
      <c r="EC11" s="19">
        <v>4</v>
      </c>
      <c r="ED11" s="19">
        <v>15</v>
      </c>
      <c r="EE11" s="19">
        <v>0</v>
      </c>
      <c r="EF11" s="19">
        <v>19</v>
      </c>
      <c r="EG11" s="19">
        <v>210</v>
      </c>
      <c r="EH11" s="19">
        <v>5</v>
      </c>
      <c r="EI11" s="19">
        <v>215</v>
      </c>
      <c r="EJ11" s="19">
        <v>313</v>
      </c>
      <c r="EK11" s="13"/>
      <c r="EL11" s="13"/>
      <c r="EM11" s="19" t="s">
        <v>40</v>
      </c>
      <c r="EN11" s="19">
        <v>2</v>
      </c>
      <c r="EO11" s="19">
        <v>22</v>
      </c>
      <c r="EP11" s="19">
        <v>2</v>
      </c>
      <c r="EQ11" s="19">
        <v>26</v>
      </c>
      <c r="ER11" s="19">
        <v>173</v>
      </c>
      <c r="ES11" s="19">
        <v>3</v>
      </c>
      <c r="ET11" s="19">
        <v>176</v>
      </c>
      <c r="EU11" s="19">
        <v>219</v>
      </c>
      <c r="EV11" s="13"/>
      <c r="EW11" s="13"/>
      <c r="EX11" s="19" t="s">
        <v>40</v>
      </c>
      <c r="EY11" s="19">
        <v>3</v>
      </c>
      <c r="EZ11" s="19">
        <v>8</v>
      </c>
      <c r="FA11" s="19">
        <v>1</v>
      </c>
      <c r="FB11" s="19">
        <v>12</v>
      </c>
      <c r="FC11" s="19">
        <v>26</v>
      </c>
      <c r="FD11" s="19">
        <v>3</v>
      </c>
      <c r="FE11" s="19">
        <v>29</v>
      </c>
      <c r="FF11" s="19">
        <v>44</v>
      </c>
      <c r="FG11" s="13"/>
      <c r="FH11" s="13"/>
      <c r="FI11" s="58" t="s">
        <v>40</v>
      </c>
      <c r="FJ11" s="65">
        <v>3</v>
      </c>
      <c r="FK11" s="65">
        <v>9</v>
      </c>
      <c r="FL11" s="65">
        <v>1</v>
      </c>
      <c r="FM11" s="65">
        <v>13</v>
      </c>
      <c r="FN11" s="65">
        <v>42</v>
      </c>
      <c r="FO11" s="65">
        <v>5</v>
      </c>
      <c r="FP11" s="65">
        <v>47</v>
      </c>
      <c r="FQ11" s="65">
        <v>85</v>
      </c>
      <c r="FR11" s="13"/>
      <c r="FS11" s="70" t="s">
        <v>40</v>
      </c>
      <c r="FT11" s="145">
        <v>9</v>
      </c>
      <c r="FU11" s="145">
        <v>28</v>
      </c>
      <c r="FV11" s="145">
        <v>3</v>
      </c>
      <c r="FW11" s="145">
        <v>40</v>
      </c>
      <c r="FX11" s="145">
        <v>150</v>
      </c>
      <c r="FY11" s="145">
        <v>47</v>
      </c>
      <c r="FZ11" s="145">
        <v>197</v>
      </c>
      <c r="GA11" s="145">
        <v>227</v>
      </c>
      <c r="GB11" s="13"/>
      <c r="GC11" s="70" t="s">
        <v>40</v>
      </c>
      <c r="GD11" s="71">
        <v>13</v>
      </c>
      <c r="GE11" s="71">
        <v>25</v>
      </c>
      <c r="GF11" s="71">
        <v>1</v>
      </c>
      <c r="GG11" s="71">
        <v>39</v>
      </c>
      <c r="GH11" s="71">
        <v>183</v>
      </c>
      <c r="GI11" s="71">
        <v>36</v>
      </c>
      <c r="GJ11" s="71">
        <v>219</v>
      </c>
      <c r="GK11" s="71">
        <v>264</v>
      </c>
      <c r="GL11" s="13"/>
      <c r="GM11" s="70" t="s">
        <v>40</v>
      </c>
      <c r="GN11" s="71">
        <v>13</v>
      </c>
      <c r="GO11" s="71">
        <v>37</v>
      </c>
      <c r="GP11" s="71">
        <v>3</v>
      </c>
      <c r="GQ11" s="71">
        <v>53</v>
      </c>
      <c r="GR11" s="71">
        <v>230</v>
      </c>
      <c r="GS11" s="71">
        <v>33</v>
      </c>
      <c r="GT11" s="71">
        <v>263</v>
      </c>
      <c r="GU11" s="71">
        <v>359</v>
      </c>
      <c r="GV11" s="146">
        <v>341.66666666666663</v>
      </c>
      <c r="GW11" s="147">
        <v>35.897435897435898</v>
      </c>
    </row>
    <row r="12" spans="1:205" ht="15.5" thickBot="1">
      <c r="A12" s="19" t="s">
        <v>41</v>
      </c>
      <c r="B12" s="20">
        <v>9</v>
      </c>
      <c r="C12" s="20">
        <v>19</v>
      </c>
      <c r="D12" s="20">
        <v>5</v>
      </c>
      <c r="E12" s="20">
        <v>33</v>
      </c>
      <c r="F12" s="20">
        <v>65</v>
      </c>
      <c r="G12" s="20">
        <v>11</v>
      </c>
      <c r="H12" s="20">
        <v>76</v>
      </c>
      <c r="I12" s="20">
        <v>164</v>
      </c>
      <c r="J12" s="26"/>
      <c r="K12" s="19" t="s">
        <v>41</v>
      </c>
      <c r="L12" s="20">
        <v>12</v>
      </c>
      <c r="M12" s="20">
        <v>13</v>
      </c>
      <c r="N12" s="20">
        <v>0</v>
      </c>
      <c r="O12" s="20">
        <v>25</v>
      </c>
      <c r="P12" s="20">
        <v>50</v>
      </c>
      <c r="Q12" s="20">
        <v>30</v>
      </c>
      <c r="R12" s="20">
        <v>80</v>
      </c>
      <c r="S12" s="20">
        <v>135</v>
      </c>
      <c r="T12" s="13"/>
      <c r="U12" s="13"/>
      <c r="V12" s="19" t="s">
        <v>41</v>
      </c>
      <c r="W12" s="20">
        <v>5</v>
      </c>
      <c r="X12" s="20">
        <v>20</v>
      </c>
      <c r="Y12" s="20">
        <v>4</v>
      </c>
      <c r="Z12" s="20">
        <v>29</v>
      </c>
      <c r="AA12" s="20">
        <v>74</v>
      </c>
      <c r="AB12" s="20">
        <v>5</v>
      </c>
      <c r="AC12" s="20">
        <v>79</v>
      </c>
      <c r="AD12" s="20">
        <v>149</v>
      </c>
      <c r="AE12" s="45"/>
      <c r="AF12" s="45"/>
      <c r="AG12" s="50" t="s">
        <v>41</v>
      </c>
      <c r="AH12" s="20">
        <v>8</v>
      </c>
      <c r="AI12" s="20">
        <v>26</v>
      </c>
      <c r="AJ12" s="20">
        <v>3</v>
      </c>
      <c r="AK12" s="20">
        <v>37</v>
      </c>
      <c r="AL12" s="20">
        <v>144</v>
      </c>
      <c r="AM12" s="20">
        <v>15</v>
      </c>
      <c r="AN12" s="20">
        <v>159</v>
      </c>
      <c r="AO12" s="20">
        <v>229</v>
      </c>
      <c r="AP12" s="13"/>
      <c r="AQ12" s="13"/>
      <c r="AR12" s="20" t="s">
        <v>41</v>
      </c>
      <c r="AS12" s="20">
        <v>15</v>
      </c>
      <c r="AT12" s="20">
        <v>31</v>
      </c>
      <c r="AU12" s="20">
        <v>8</v>
      </c>
      <c r="AV12" s="20">
        <v>54</v>
      </c>
      <c r="AW12" s="20">
        <v>133</v>
      </c>
      <c r="AX12" s="20">
        <v>20</v>
      </c>
      <c r="AY12" s="20">
        <v>153</v>
      </c>
      <c r="AZ12" s="20">
        <v>248</v>
      </c>
      <c r="BA12" s="13"/>
      <c r="BB12" s="13"/>
      <c r="BC12" s="20" t="s">
        <v>41</v>
      </c>
      <c r="BD12" s="20">
        <v>5</v>
      </c>
      <c r="BE12" s="20">
        <v>13</v>
      </c>
      <c r="BF12" s="20">
        <v>3</v>
      </c>
      <c r="BG12" s="20">
        <v>21</v>
      </c>
      <c r="BH12" s="20">
        <v>71</v>
      </c>
      <c r="BI12" s="20">
        <v>8</v>
      </c>
      <c r="BJ12" s="20">
        <v>79</v>
      </c>
      <c r="BK12" s="20">
        <v>135</v>
      </c>
      <c r="BL12" s="13"/>
      <c r="BM12" s="13"/>
      <c r="BN12" s="20" t="s">
        <v>41</v>
      </c>
      <c r="BO12" s="20">
        <v>14</v>
      </c>
      <c r="BP12" s="20">
        <v>14</v>
      </c>
      <c r="BQ12" s="20">
        <v>1</v>
      </c>
      <c r="BR12" s="20">
        <v>29</v>
      </c>
      <c r="BS12" s="20">
        <v>60</v>
      </c>
      <c r="BT12" s="20">
        <v>18</v>
      </c>
      <c r="BU12" s="20">
        <v>78</v>
      </c>
      <c r="BV12" s="20">
        <v>115</v>
      </c>
      <c r="BW12" s="13"/>
      <c r="BX12" s="13"/>
      <c r="BY12" s="20" t="s">
        <v>41</v>
      </c>
      <c r="BZ12" s="20">
        <v>9</v>
      </c>
      <c r="CA12" s="20">
        <v>14</v>
      </c>
      <c r="CB12" s="20">
        <v>5</v>
      </c>
      <c r="CC12" s="20">
        <v>28</v>
      </c>
      <c r="CD12" s="20">
        <v>48</v>
      </c>
      <c r="CE12" s="20">
        <v>17</v>
      </c>
      <c r="CF12" s="20">
        <v>65</v>
      </c>
      <c r="CG12" s="20">
        <v>140</v>
      </c>
      <c r="CH12" s="13"/>
      <c r="CI12" s="13"/>
      <c r="CJ12" s="20" t="s">
        <v>41</v>
      </c>
      <c r="CK12" s="20">
        <v>12</v>
      </c>
      <c r="CL12" s="20">
        <v>21</v>
      </c>
      <c r="CM12" s="20">
        <v>6</v>
      </c>
      <c r="CN12" s="20">
        <v>39</v>
      </c>
      <c r="CO12" s="20">
        <v>81</v>
      </c>
      <c r="CP12" s="20">
        <v>21</v>
      </c>
      <c r="CQ12" s="20">
        <v>102</v>
      </c>
      <c r="CR12" s="20">
        <v>257</v>
      </c>
      <c r="CS12" s="13"/>
      <c r="CT12" s="13"/>
      <c r="CU12" s="20" t="s">
        <v>41</v>
      </c>
      <c r="CV12" s="20">
        <v>5</v>
      </c>
      <c r="CW12" s="20">
        <v>7</v>
      </c>
      <c r="CX12" s="20">
        <v>0</v>
      </c>
      <c r="CY12" s="20">
        <v>12</v>
      </c>
      <c r="CZ12" s="20">
        <v>35</v>
      </c>
      <c r="DA12" s="20">
        <v>7</v>
      </c>
      <c r="DB12" s="20">
        <v>42</v>
      </c>
      <c r="DC12" s="20">
        <v>76</v>
      </c>
      <c r="DD12" s="13"/>
      <c r="DE12" s="13"/>
      <c r="DF12" s="20" t="s">
        <v>41</v>
      </c>
      <c r="DG12" s="20">
        <v>9</v>
      </c>
      <c r="DH12" s="20">
        <v>15</v>
      </c>
      <c r="DI12" s="20">
        <v>3</v>
      </c>
      <c r="DJ12" s="20">
        <v>27</v>
      </c>
      <c r="DK12" s="20">
        <v>85</v>
      </c>
      <c r="DL12" s="20">
        <v>22</v>
      </c>
      <c r="DM12" s="20">
        <v>107</v>
      </c>
      <c r="DN12" s="20">
        <v>206</v>
      </c>
      <c r="DO12" s="13"/>
      <c r="DP12" s="13"/>
      <c r="DQ12" s="20" t="s">
        <v>41</v>
      </c>
      <c r="DR12" s="20">
        <v>3</v>
      </c>
      <c r="DS12" s="20">
        <v>11</v>
      </c>
      <c r="DT12" s="20">
        <v>4</v>
      </c>
      <c r="DU12" s="20">
        <v>18</v>
      </c>
      <c r="DV12" s="20">
        <v>25</v>
      </c>
      <c r="DW12" s="20">
        <v>12</v>
      </c>
      <c r="DX12" s="20">
        <v>37</v>
      </c>
      <c r="DY12" s="20">
        <v>141</v>
      </c>
      <c r="DZ12" s="13"/>
      <c r="EA12" s="13"/>
      <c r="EB12" s="19" t="s">
        <v>41</v>
      </c>
      <c r="EC12" s="19">
        <v>9</v>
      </c>
      <c r="ED12" s="19">
        <v>14</v>
      </c>
      <c r="EE12" s="19">
        <v>3</v>
      </c>
      <c r="EF12" s="19">
        <v>26</v>
      </c>
      <c r="EG12" s="19">
        <v>42</v>
      </c>
      <c r="EH12" s="19">
        <v>16</v>
      </c>
      <c r="EI12" s="19">
        <v>58</v>
      </c>
      <c r="EJ12" s="19">
        <v>130</v>
      </c>
      <c r="EK12" s="13"/>
      <c r="EL12" s="13"/>
      <c r="EM12" s="19" t="s">
        <v>41</v>
      </c>
      <c r="EN12" s="19">
        <v>9</v>
      </c>
      <c r="EO12" s="19">
        <v>20</v>
      </c>
      <c r="EP12" s="19">
        <v>3</v>
      </c>
      <c r="EQ12" s="19">
        <v>32</v>
      </c>
      <c r="ER12" s="19">
        <v>112</v>
      </c>
      <c r="ES12" s="19">
        <v>15</v>
      </c>
      <c r="ET12" s="19">
        <v>127</v>
      </c>
      <c r="EU12" s="19">
        <v>180</v>
      </c>
      <c r="EV12" s="13"/>
      <c r="EW12" s="13"/>
      <c r="EX12" s="19" t="s">
        <v>41</v>
      </c>
      <c r="EY12" s="19">
        <v>7</v>
      </c>
      <c r="EZ12" s="19">
        <v>10</v>
      </c>
      <c r="FA12" s="19">
        <v>3</v>
      </c>
      <c r="FB12" s="19">
        <v>20</v>
      </c>
      <c r="FC12" s="19">
        <v>36</v>
      </c>
      <c r="FD12" s="19">
        <v>8</v>
      </c>
      <c r="FE12" s="19">
        <v>44</v>
      </c>
      <c r="FF12" s="19">
        <v>92</v>
      </c>
      <c r="FG12" s="13"/>
      <c r="FH12" s="13"/>
      <c r="FI12" s="58" t="s">
        <v>41</v>
      </c>
      <c r="FJ12" s="65">
        <v>5</v>
      </c>
      <c r="FK12" s="65">
        <v>10</v>
      </c>
      <c r="FL12" s="65">
        <v>2</v>
      </c>
      <c r="FM12" s="65">
        <v>17</v>
      </c>
      <c r="FN12" s="65">
        <v>34</v>
      </c>
      <c r="FO12" s="65">
        <v>6</v>
      </c>
      <c r="FP12" s="65">
        <v>40</v>
      </c>
      <c r="FQ12" s="65">
        <v>87</v>
      </c>
      <c r="FR12" s="13"/>
      <c r="FS12" s="70" t="s">
        <v>41</v>
      </c>
      <c r="FT12" s="145">
        <v>10</v>
      </c>
      <c r="FU12" s="145">
        <v>18</v>
      </c>
      <c r="FV12" s="145">
        <v>2</v>
      </c>
      <c r="FW12" s="145">
        <v>30</v>
      </c>
      <c r="FX12" s="145">
        <v>81</v>
      </c>
      <c r="FY12" s="145">
        <v>19</v>
      </c>
      <c r="FZ12" s="145">
        <v>100</v>
      </c>
      <c r="GA12" s="145">
        <v>145</v>
      </c>
      <c r="GB12" s="13"/>
      <c r="GC12" s="70" t="s">
        <v>41</v>
      </c>
      <c r="GD12" s="71">
        <v>14</v>
      </c>
      <c r="GE12" s="71">
        <v>16</v>
      </c>
      <c r="GF12" s="71">
        <v>6</v>
      </c>
      <c r="GG12" s="71">
        <v>36</v>
      </c>
      <c r="GH12" s="71">
        <v>69</v>
      </c>
      <c r="GI12" s="71">
        <v>20</v>
      </c>
      <c r="GJ12" s="71">
        <v>89</v>
      </c>
      <c r="GK12" s="71">
        <v>142</v>
      </c>
      <c r="GL12" s="13"/>
      <c r="GM12" s="70" t="s">
        <v>41</v>
      </c>
      <c r="GN12" s="71">
        <v>5</v>
      </c>
      <c r="GO12" s="71">
        <v>19</v>
      </c>
      <c r="GP12" s="71">
        <v>7</v>
      </c>
      <c r="GQ12" s="71">
        <v>31</v>
      </c>
      <c r="GR12" s="71">
        <v>46</v>
      </c>
      <c r="GS12" s="71">
        <v>6</v>
      </c>
      <c r="GT12" s="71">
        <v>52</v>
      </c>
      <c r="GU12" s="71">
        <v>122</v>
      </c>
      <c r="GV12" s="146">
        <v>55.000000000000007</v>
      </c>
      <c r="GW12" s="147">
        <v>-13.888888888888889</v>
      </c>
    </row>
    <row r="13" spans="1:205" ht="15.5" thickBot="1">
      <c r="A13" s="19" t="s">
        <v>42</v>
      </c>
      <c r="B13" s="20">
        <v>25</v>
      </c>
      <c r="C13" s="20">
        <v>36</v>
      </c>
      <c r="D13" s="20">
        <v>6</v>
      </c>
      <c r="E13" s="20">
        <v>67</v>
      </c>
      <c r="F13" s="20">
        <v>182</v>
      </c>
      <c r="G13" s="20">
        <v>36</v>
      </c>
      <c r="H13" s="20">
        <v>218</v>
      </c>
      <c r="I13" s="20">
        <v>407</v>
      </c>
      <c r="J13" s="26"/>
      <c r="K13" s="19" t="s">
        <v>42</v>
      </c>
      <c r="L13" s="20">
        <v>21</v>
      </c>
      <c r="M13" s="20">
        <v>39</v>
      </c>
      <c r="N13" s="20">
        <v>11</v>
      </c>
      <c r="O13" s="20">
        <v>71</v>
      </c>
      <c r="P13" s="20">
        <v>196</v>
      </c>
      <c r="Q13" s="20">
        <v>51</v>
      </c>
      <c r="R13" s="20">
        <v>247</v>
      </c>
      <c r="S13" s="20">
        <v>482</v>
      </c>
      <c r="T13" s="13"/>
      <c r="U13" s="13"/>
      <c r="V13" s="19" t="s">
        <v>42</v>
      </c>
      <c r="W13" s="20">
        <v>9</v>
      </c>
      <c r="X13" s="20">
        <v>28</v>
      </c>
      <c r="Y13" s="20">
        <v>4</v>
      </c>
      <c r="Z13" s="20">
        <v>41</v>
      </c>
      <c r="AA13" s="20">
        <v>136</v>
      </c>
      <c r="AB13" s="20">
        <v>16</v>
      </c>
      <c r="AC13" s="20">
        <v>152</v>
      </c>
      <c r="AD13" s="20">
        <v>311</v>
      </c>
      <c r="AE13" s="45"/>
      <c r="AF13" s="45"/>
      <c r="AG13" s="50" t="s">
        <v>42</v>
      </c>
      <c r="AH13" s="20">
        <v>11</v>
      </c>
      <c r="AI13" s="20">
        <v>28</v>
      </c>
      <c r="AJ13" s="20">
        <v>6</v>
      </c>
      <c r="AK13" s="20">
        <v>45</v>
      </c>
      <c r="AL13" s="20">
        <v>122</v>
      </c>
      <c r="AM13" s="20">
        <v>23</v>
      </c>
      <c r="AN13" s="20">
        <v>145</v>
      </c>
      <c r="AO13" s="20">
        <v>279</v>
      </c>
      <c r="AP13" s="13"/>
      <c r="AQ13" s="13"/>
      <c r="AR13" s="20" t="s">
        <v>42</v>
      </c>
      <c r="AS13" s="20">
        <v>21</v>
      </c>
      <c r="AT13" s="20">
        <v>28</v>
      </c>
      <c r="AU13" s="20">
        <v>9</v>
      </c>
      <c r="AV13" s="20">
        <v>58</v>
      </c>
      <c r="AW13" s="20">
        <v>172</v>
      </c>
      <c r="AX13" s="20">
        <v>30</v>
      </c>
      <c r="AY13" s="20">
        <v>202</v>
      </c>
      <c r="AZ13" s="20">
        <v>452</v>
      </c>
      <c r="BA13" s="13"/>
      <c r="BB13" s="13"/>
      <c r="BC13" s="20" t="s">
        <v>42</v>
      </c>
      <c r="BD13" s="20">
        <v>30</v>
      </c>
      <c r="BE13" s="20">
        <v>44</v>
      </c>
      <c r="BF13" s="20">
        <v>7</v>
      </c>
      <c r="BG13" s="20">
        <v>81</v>
      </c>
      <c r="BH13" s="20">
        <v>227</v>
      </c>
      <c r="BI13" s="20">
        <v>62</v>
      </c>
      <c r="BJ13" s="20">
        <v>289</v>
      </c>
      <c r="BK13" s="20">
        <v>568</v>
      </c>
      <c r="BL13" s="13"/>
      <c r="BM13" s="13"/>
      <c r="BN13" s="20" t="s">
        <v>42</v>
      </c>
      <c r="BO13" s="20">
        <v>23</v>
      </c>
      <c r="BP13" s="20">
        <v>30</v>
      </c>
      <c r="BQ13" s="20">
        <v>13</v>
      </c>
      <c r="BR13" s="20">
        <v>66</v>
      </c>
      <c r="BS13" s="20">
        <v>173</v>
      </c>
      <c r="BT13" s="20">
        <v>32</v>
      </c>
      <c r="BU13" s="20">
        <v>205</v>
      </c>
      <c r="BV13" s="20">
        <v>390</v>
      </c>
      <c r="BW13" s="13"/>
      <c r="BX13" s="13"/>
      <c r="BY13" s="20" t="s">
        <v>42</v>
      </c>
      <c r="BZ13" s="20">
        <v>11</v>
      </c>
      <c r="CA13" s="20">
        <v>28</v>
      </c>
      <c r="CB13" s="20">
        <v>5</v>
      </c>
      <c r="CC13" s="20">
        <v>44</v>
      </c>
      <c r="CD13" s="20">
        <v>137</v>
      </c>
      <c r="CE13" s="20">
        <v>25</v>
      </c>
      <c r="CF13" s="20">
        <v>162</v>
      </c>
      <c r="CG13" s="20">
        <v>255</v>
      </c>
      <c r="CH13" s="13"/>
      <c r="CI13" s="13"/>
      <c r="CJ13" s="20" t="s">
        <v>42</v>
      </c>
      <c r="CK13" s="20">
        <v>17</v>
      </c>
      <c r="CL13" s="20">
        <v>25</v>
      </c>
      <c r="CM13" s="20">
        <v>6</v>
      </c>
      <c r="CN13" s="20">
        <v>48</v>
      </c>
      <c r="CO13" s="20">
        <v>174</v>
      </c>
      <c r="CP13" s="20">
        <v>30</v>
      </c>
      <c r="CQ13" s="20">
        <v>204</v>
      </c>
      <c r="CR13" s="20">
        <v>306</v>
      </c>
      <c r="CS13" s="13"/>
      <c r="CT13" s="13"/>
      <c r="CU13" s="20" t="s">
        <v>42</v>
      </c>
      <c r="CV13" s="20">
        <v>12</v>
      </c>
      <c r="CW13" s="20">
        <v>7</v>
      </c>
      <c r="CX13" s="20">
        <v>3</v>
      </c>
      <c r="CY13" s="20">
        <v>22</v>
      </c>
      <c r="CZ13" s="20">
        <v>87</v>
      </c>
      <c r="DA13" s="20">
        <v>34</v>
      </c>
      <c r="DB13" s="20">
        <v>121</v>
      </c>
      <c r="DC13" s="20">
        <v>174</v>
      </c>
      <c r="DD13" s="13"/>
      <c r="DE13" s="13"/>
      <c r="DF13" s="20" t="s">
        <v>42</v>
      </c>
      <c r="DG13" s="20">
        <v>9</v>
      </c>
      <c r="DH13" s="20">
        <v>13</v>
      </c>
      <c r="DI13" s="20">
        <v>6</v>
      </c>
      <c r="DJ13" s="20">
        <v>28</v>
      </c>
      <c r="DK13" s="20">
        <v>84</v>
      </c>
      <c r="DL13" s="20">
        <v>17</v>
      </c>
      <c r="DM13" s="20">
        <v>101</v>
      </c>
      <c r="DN13" s="20">
        <v>224</v>
      </c>
      <c r="DO13" s="13"/>
      <c r="DP13" s="13"/>
      <c r="DQ13" s="20" t="s">
        <v>42</v>
      </c>
      <c r="DR13" s="20">
        <v>15</v>
      </c>
      <c r="DS13" s="20">
        <v>11</v>
      </c>
      <c r="DT13" s="20">
        <v>4</v>
      </c>
      <c r="DU13" s="20">
        <v>30</v>
      </c>
      <c r="DV13" s="20">
        <v>63</v>
      </c>
      <c r="DW13" s="20">
        <v>15</v>
      </c>
      <c r="DX13" s="20">
        <v>78</v>
      </c>
      <c r="DY13" s="20">
        <v>154</v>
      </c>
      <c r="DZ13" s="13"/>
      <c r="EA13" s="13"/>
      <c r="EB13" s="19" t="s">
        <v>42</v>
      </c>
      <c r="EC13" s="19">
        <v>11</v>
      </c>
      <c r="ED13" s="19">
        <v>26</v>
      </c>
      <c r="EE13" s="19">
        <v>1</v>
      </c>
      <c r="EF13" s="19">
        <v>38</v>
      </c>
      <c r="EG13" s="19">
        <v>123</v>
      </c>
      <c r="EH13" s="19">
        <v>29</v>
      </c>
      <c r="EI13" s="19">
        <v>152</v>
      </c>
      <c r="EJ13" s="19">
        <v>303</v>
      </c>
      <c r="EK13" s="13"/>
      <c r="EL13" s="13"/>
      <c r="EM13" s="19" t="s">
        <v>42</v>
      </c>
      <c r="EN13" s="19">
        <v>10</v>
      </c>
      <c r="EO13" s="19">
        <v>17</v>
      </c>
      <c r="EP13" s="19">
        <v>4</v>
      </c>
      <c r="EQ13" s="19">
        <v>31</v>
      </c>
      <c r="ER13" s="19">
        <v>76</v>
      </c>
      <c r="ES13" s="19">
        <v>18</v>
      </c>
      <c r="ET13" s="19">
        <v>94</v>
      </c>
      <c r="EU13" s="19">
        <v>173</v>
      </c>
      <c r="EV13" s="13"/>
      <c r="EW13" s="13"/>
      <c r="EX13" s="19" t="s">
        <v>42</v>
      </c>
      <c r="EY13" s="19">
        <v>11</v>
      </c>
      <c r="EZ13" s="19">
        <v>24</v>
      </c>
      <c r="FA13" s="19">
        <v>2</v>
      </c>
      <c r="FB13" s="19">
        <v>37</v>
      </c>
      <c r="FC13" s="19">
        <v>144</v>
      </c>
      <c r="FD13" s="19">
        <v>17</v>
      </c>
      <c r="FE13" s="19">
        <v>161</v>
      </c>
      <c r="FF13" s="19">
        <v>264</v>
      </c>
      <c r="FG13" s="13"/>
      <c r="FH13" s="13"/>
      <c r="FI13" s="58" t="s">
        <v>42</v>
      </c>
      <c r="FJ13" s="65">
        <v>7</v>
      </c>
      <c r="FK13" s="65">
        <v>14</v>
      </c>
      <c r="FL13" s="65">
        <v>4</v>
      </c>
      <c r="FM13" s="65">
        <v>25</v>
      </c>
      <c r="FN13" s="65">
        <v>65</v>
      </c>
      <c r="FO13" s="65">
        <v>10</v>
      </c>
      <c r="FP13" s="65">
        <v>75</v>
      </c>
      <c r="FQ13" s="65">
        <v>114</v>
      </c>
      <c r="FR13" s="13"/>
      <c r="FS13" s="70" t="s">
        <v>42</v>
      </c>
      <c r="FT13" s="145">
        <v>7</v>
      </c>
      <c r="FU13" s="145">
        <v>27</v>
      </c>
      <c r="FV13" s="145">
        <v>6</v>
      </c>
      <c r="FW13" s="145">
        <v>40</v>
      </c>
      <c r="FX13" s="145">
        <v>126</v>
      </c>
      <c r="FY13" s="145">
        <v>8</v>
      </c>
      <c r="FZ13" s="145">
        <v>134</v>
      </c>
      <c r="GA13" s="145">
        <v>359</v>
      </c>
      <c r="GB13" s="13"/>
      <c r="GC13" s="70" t="s">
        <v>42</v>
      </c>
      <c r="GD13" s="71">
        <v>7</v>
      </c>
      <c r="GE13" s="71">
        <v>26</v>
      </c>
      <c r="GF13" s="71">
        <v>3</v>
      </c>
      <c r="GG13" s="71">
        <v>36</v>
      </c>
      <c r="GH13" s="71">
        <v>111</v>
      </c>
      <c r="GI13" s="71">
        <v>29</v>
      </c>
      <c r="GJ13" s="71">
        <v>140</v>
      </c>
      <c r="GK13" s="71">
        <v>289</v>
      </c>
      <c r="GL13" s="13"/>
      <c r="GM13" s="70" t="s">
        <v>42</v>
      </c>
      <c r="GN13" s="71">
        <v>11</v>
      </c>
      <c r="GO13" s="71">
        <v>18</v>
      </c>
      <c r="GP13" s="71">
        <v>3</v>
      </c>
      <c r="GQ13" s="71">
        <v>32</v>
      </c>
      <c r="GR13" s="71">
        <v>92</v>
      </c>
      <c r="GS13" s="71">
        <v>22</v>
      </c>
      <c r="GT13" s="71">
        <v>114</v>
      </c>
      <c r="GU13" s="71">
        <v>319</v>
      </c>
      <c r="GV13" s="146">
        <v>-13.513513513513514</v>
      </c>
      <c r="GW13" s="147">
        <v>-11.111111111111111</v>
      </c>
    </row>
    <row r="14" spans="1:205" ht="15.5" thickBot="1">
      <c r="A14" s="19" t="s">
        <v>43</v>
      </c>
      <c r="B14" s="20">
        <v>10</v>
      </c>
      <c r="C14" s="20">
        <v>16</v>
      </c>
      <c r="D14" s="20">
        <v>1</v>
      </c>
      <c r="E14" s="20">
        <v>27</v>
      </c>
      <c r="F14" s="20">
        <v>82</v>
      </c>
      <c r="G14" s="20">
        <v>11</v>
      </c>
      <c r="H14" s="20">
        <v>93</v>
      </c>
      <c r="I14" s="20">
        <v>200</v>
      </c>
      <c r="J14" s="26"/>
      <c r="K14" s="19" t="s">
        <v>43</v>
      </c>
      <c r="L14" s="20">
        <v>10</v>
      </c>
      <c r="M14" s="20">
        <v>19</v>
      </c>
      <c r="N14" s="20">
        <v>2</v>
      </c>
      <c r="O14" s="20">
        <v>31</v>
      </c>
      <c r="P14" s="20">
        <v>121</v>
      </c>
      <c r="Q14" s="20">
        <v>27</v>
      </c>
      <c r="R14" s="20">
        <v>148</v>
      </c>
      <c r="S14" s="20">
        <v>274</v>
      </c>
      <c r="T14" s="13"/>
      <c r="U14" s="13"/>
      <c r="V14" s="19" t="s">
        <v>43</v>
      </c>
      <c r="W14" s="20">
        <v>9</v>
      </c>
      <c r="X14" s="20">
        <v>19</v>
      </c>
      <c r="Y14" s="20">
        <v>1</v>
      </c>
      <c r="Z14" s="20">
        <v>29</v>
      </c>
      <c r="AA14" s="20">
        <v>82</v>
      </c>
      <c r="AB14" s="20">
        <v>15</v>
      </c>
      <c r="AC14" s="20">
        <v>97</v>
      </c>
      <c r="AD14" s="20">
        <v>185</v>
      </c>
      <c r="AE14" s="45"/>
      <c r="AF14" s="45"/>
      <c r="AG14" s="50" t="s">
        <v>43</v>
      </c>
      <c r="AH14" s="20">
        <v>9</v>
      </c>
      <c r="AI14" s="20">
        <v>18</v>
      </c>
      <c r="AJ14" s="20">
        <v>7</v>
      </c>
      <c r="AK14" s="20">
        <v>34</v>
      </c>
      <c r="AL14" s="20">
        <v>100</v>
      </c>
      <c r="AM14" s="20">
        <v>18</v>
      </c>
      <c r="AN14" s="20">
        <v>118</v>
      </c>
      <c r="AO14" s="20">
        <v>272</v>
      </c>
      <c r="AP14" s="13"/>
      <c r="AQ14" s="13"/>
      <c r="AR14" s="20" t="s">
        <v>43</v>
      </c>
      <c r="AS14" s="20">
        <v>14</v>
      </c>
      <c r="AT14" s="20">
        <v>13</v>
      </c>
      <c r="AU14" s="20">
        <v>3</v>
      </c>
      <c r="AV14" s="20">
        <v>30</v>
      </c>
      <c r="AW14" s="20">
        <v>87</v>
      </c>
      <c r="AX14" s="20">
        <v>29</v>
      </c>
      <c r="AY14" s="20">
        <v>116</v>
      </c>
      <c r="AZ14" s="20">
        <v>171</v>
      </c>
      <c r="BA14" s="13"/>
      <c r="BB14" s="13"/>
      <c r="BC14" s="20" t="s">
        <v>43</v>
      </c>
      <c r="BD14" s="20">
        <v>11</v>
      </c>
      <c r="BE14" s="20">
        <v>17</v>
      </c>
      <c r="BF14" s="20">
        <v>5</v>
      </c>
      <c r="BG14" s="20">
        <v>33</v>
      </c>
      <c r="BH14" s="20">
        <v>87</v>
      </c>
      <c r="BI14" s="20">
        <v>22</v>
      </c>
      <c r="BJ14" s="20">
        <v>109</v>
      </c>
      <c r="BK14" s="20">
        <v>217</v>
      </c>
      <c r="BL14" s="13"/>
      <c r="BM14" s="13"/>
      <c r="BN14" s="20" t="s">
        <v>43</v>
      </c>
      <c r="BO14" s="20">
        <v>8</v>
      </c>
      <c r="BP14" s="20">
        <v>15</v>
      </c>
      <c r="BQ14" s="20">
        <v>2</v>
      </c>
      <c r="BR14" s="20">
        <v>25</v>
      </c>
      <c r="BS14" s="20">
        <v>76</v>
      </c>
      <c r="BT14" s="20">
        <v>10</v>
      </c>
      <c r="BU14" s="20">
        <v>86</v>
      </c>
      <c r="BV14" s="20">
        <v>171</v>
      </c>
      <c r="BW14" s="13"/>
      <c r="BX14" s="13"/>
      <c r="BY14" s="20" t="s">
        <v>43</v>
      </c>
      <c r="BZ14" s="20">
        <v>11</v>
      </c>
      <c r="CA14" s="20">
        <v>37</v>
      </c>
      <c r="CB14" s="20">
        <v>6</v>
      </c>
      <c r="CC14" s="20">
        <v>54</v>
      </c>
      <c r="CD14" s="20">
        <v>85</v>
      </c>
      <c r="CE14" s="20">
        <v>17</v>
      </c>
      <c r="CF14" s="20">
        <v>102</v>
      </c>
      <c r="CG14" s="20">
        <v>313</v>
      </c>
      <c r="CH14" s="13"/>
      <c r="CI14" s="13"/>
      <c r="CJ14" s="20" t="s">
        <v>43</v>
      </c>
      <c r="CK14" s="20">
        <v>9</v>
      </c>
      <c r="CL14" s="20">
        <v>39</v>
      </c>
      <c r="CM14" s="20">
        <v>7</v>
      </c>
      <c r="CN14" s="20">
        <v>55</v>
      </c>
      <c r="CO14" s="20">
        <v>118</v>
      </c>
      <c r="CP14" s="20">
        <v>19</v>
      </c>
      <c r="CQ14" s="20">
        <v>137</v>
      </c>
      <c r="CR14" s="20">
        <v>368</v>
      </c>
      <c r="CS14" s="13"/>
      <c r="CT14" s="13"/>
      <c r="CU14" s="20" t="s">
        <v>43</v>
      </c>
      <c r="CV14" s="20">
        <v>9</v>
      </c>
      <c r="CW14" s="20">
        <v>30</v>
      </c>
      <c r="CX14" s="20">
        <v>10</v>
      </c>
      <c r="CY14" s="20">
        <v>49</v>
      </c>
      <c r="CZ14" s="20">
        <v>131</v>
      </c>
      <c r="DA14" s="20">
        <v>14</v>
      </c>
      <c r="DB14" s="20">
        <v>145</v>
      </c>
      <c r="DC14" s="20">
        <v>366</v>
      </c>
      <c r="DD14" s="13"/>
      <c r="DE14" s="13"/>
      <c r="DF14" s="20" t="s">
        <v>43</v>
      </c>
      <c r="DG14" s="20">
        <v>15</v>
      </c>
      <c r="DH14" s="20">
        <v>29</v>
      </c>
      <c r="DI14" s="20">
        <v>4</v>
      </c>
      <c r="DJ14" s="20">
        <v>48</v>
      </c>
      <c r="DK14" s="20">
        <v>97</v>
      </c>
      <c r="DL14" s="20">
        <v>43</v>
      </c>
      <c r="DM14" s="20">
        <v>140</v>
      </c>
      <c r="DN14" s="20">
        <v>294</v>
      </c>
      <c r="DO14" s="13"/>
      <c r="DP14" s="13"/>
      <c r="DQ14" s="20" t="s">
        <v>43</v>
      </c>
      <c r="DR14" s="20">
        <v>7</v>
      </c>
      <c r="DS14" s="20">
        <v>12</v>
      </c>
      <c r="DT14" s="20">
        <v>0</v>
      </c>
      <c r="DU14" s="20">
        <v>19</v>
      </c>
      <c r="DV14" s="20">
        <v>39</v>
      </c>
      <c r="DW14" s="20">
        <v>10</v>
      </c>
      <c r="DX14" s="20">
        <v>49</v>
      </c>
      <c r="DY14" s="20">
        <v>104</v>
      </c>
      <c r="DZ14" s="13"/>
      <c r="EA14" s="13"/>
      <c r="EB14" s="19" t="s">
        <v>43</v>
      </c>
      <c r="EC14" s="19">
        <v>8</v>
      </c>
      <c r="ED14" s="19">
        <v>15</v>
      </c>
      <c r="EE14" s="19">
        <v>2</v>
      </c>
      <c r="EF14" s="19">
        <v>25</v>
      </c>
      <c r="EG14" s="19">
        <v>72</v>
      </c>
      <c r="EH14" s="19">
        <v>11</v>
      </c>
      <c r="EI14" s="19">
        <v>83</v>
      </c>
      <c r="EJ14" s="19">
        <v>129</v>
      </c>
      <c r="EK14" s="13"/>
      <c r="EL14" s="13"/>
      <c r="EM14" s="19" t="s">
        <v>43</v>
      </c>
      <c r="EN14" s="19">
        <v>8</v>
      </c>
      <c r="EO14" s="19">
        <v>18</v>
      </c>
      <c r="EP14" s="19">
        <v>17</v>
      </c>
      <c r="EQ14" s="19">
        <v>43</v>
      </c>
      <c r="ER14" s="19">
        <v>60</v>
      </c>
      <c r="ES14" s="19">
        <v>19</v>
      </c>
      <c r="ET14" s="19">
        <v>79</v>
      </c>
      <c r="EU14" s="19">
        <v>148</v>
      </c>
      <c r="EV14" s="13"/>
      <c r="EW14" s="13"/>
      <c r="EX14" s="19" t="s">
        <v>43</v>
      </c>
      <c r="EY14" s="19">
        <v>9</v>
      </c>
      <c r="EZ14" s="19">
        <v>9</v>
      </c>
      <c r="FA14" s="19">
        <v>0</v>
      </c>
      <c r="FB14" s="19">
        <v>18</v>
      </c>
      <c r="FC14" s="19">
        <v>45</v>
      </c>
      <c r="FD14" s="19">
        <v>12</v>
      </c>
      <c r="FE14" s="19">
        <v>57</v>
      </c>
      <c r="FF14" s="19">
        <v>105</v>
      </c>
      <c r="FG14" s="13"/>
      <c r="FH14" s="13"/>
      <c r="FI14" s="58" t="s">
        <v>43</v>
      </c>
      <c r="FJ14" s="65">
        <v>9</v>
      </c>
      <c r="FK14" s="65">
        <v>9</v>
      </c>
      <c r="FL14" s="65">
        <v>4</v>
      </c>
      <c r="FM14" s="65">
        <v>22</v>
      </c>
      <c r="FN14" s="65">
        <v>29</v>
      </c>
      <c r="FO14" s="65">
        <v>11</v>
      </c>
      <c r="FP14" s="65">
        <v>40</v>
      </c>
      <c r="FQ14" s="65">
        <v>94</v>
      </c>
      <c r="FR14" s="13"/>
      <c r="FS14" s="70" t="s">
        <v>43</v>
      </c>
      <c r="FT14" s="145">
        <v>8</v>
      </c>
      <c r="FU14" s="145">
        <v>21</v>
      </c>
      <c r="FV14" s="145">
        <v>2</v>
      </c>
      <c r="FW14" s="145">
        <v>31</v>
      </c>
      <c r="FX14" s="145">
        <v>90</v>
      </c>
      <c r="FY14" s="145">
        <v>15</v>
      </c>
      <c r="FZ14" s="145">
        <v>105</v>
      </c>
      <c r="GA14" s="145">
        <v>258</v>
      </c>
      <c r="GB14" s="13"/>
      <c r="GC14" s="70" t="s">
        <v>43</v>
      </c>
      <c r="GD14" s="71">
        <v>4</v>
      </c>
      <c r="GE14" s="71">
        <v>13</v>
      </c>
      <c r="GF14" s="71">
        <v>4</v>
      </c>
      <c r="GG14" s="71">
        <v>21</v>
      </c>
      <c r="GH14" s="71">
        <v>34</v>
      </c>
      <c r="GI14" s="71">
        <v>5</v>
      </c>
      <c r="GJ14" s="71">
        <v>39</v>
      </c>
      <c r="GK14" s="71">
        <v>125</v>
      </c>
      <c r="GL14" s="13"/>
      <c r="GM14" s="70" t="s">
        <v>43</v>
      </c>
      <c r="GN14" s="71">
        <v>14</v>
      </c>
      <c r="GO14" s="71">
        <v>24</v>
      </c>
      <c r="GP14" s="71">
        <v>2</v>
      </c>
      <c r="GQ14" s="71">
        <v>40</v>
      </c>
      <c r="GR14" s="71">
        <v>99</v>
      </c>
      <c r="GS14" s="71">
        <v>38</v>
      </c>
      <c r="GT14" s="71">
        <v>137</v>
      </c>
      <c r="GU14" s="71">
        <v>408</v>
      </c>
      <c r="GV14" s="146">
        <v>122.22222222222223</v>
      </c>
      <c r="GW14" s="147">
        <v>90.476190476190482</v>
      </c>
    </row>
    <row r="15" spans="1:205" ht="15.5" thickBot="1">
      <c r="A15" s="19" t="s">
        <v>44</v>
      </c>
      <c r="B15" s="20">
        <v>20</v>
      </c>
      <c r="C15" s="20">
        <v>29</v>
      </c>
      <c r="D15" s="20">
        <v>6</v>
      </c>
      <c r="E15" s="20">
        <v>55</v>
      </c>
      <c r="F15" s="20">
        <v>118</v>
      </c>
      <c r="G15" s="20">
        <v>32</v>
      </c>
      <c r="H15" s="20">
        <v>150</v>
      </c>
      <c r="I15" s="20">
        <v>311</v>
      </c>
      <c r="J15" s="26"/>
      <c r="K15" s="19" t="s">
        <v>44</v>
      </c>
      <c r="L15" s="20">
        <v>20</v>
      </c>
      <c r="M15" s="20">
        <v>30</v>
      </c>
      <c r="N15" s="20">
        <v>6</v>
      </c>
      <c r="O15" s="20">
        <v>56</v>
      </c>
      <c r="P15" s="20">
        <v>140</v>
      </c>
      <c r="Q15" s="20">
        <v>51</v>
      </c>
      <c r="R15" s="20">
        <v>191</v>
      </c>
      <c r="S15" s="20">
        <v>386</v>
      </c>
      <c r="T15" s="13"/>
      <c r="U15" s="13"/>
      <c r="V15" s="19" t="s">
        <v>44</v>
      </c>
      <c r="W15" s="20">
        <v>19</v>
      </c>
      <c r="X15" s="20">
        <v>30</v>
      </c>
      <c r="Y15" s="20">
        <v>9</v>
      </c>
      <c r="Z15" s="20">
        <v>58</v>
      </c>
      <c r="AA15" s="20">
        <v>154</v>
      </c>
      <c r="AB15" s="20">
        <v>34</v>
      </c>
      <c r="AC15" s="20">
        <v>188</v>
      </c>
      <c r="AD15" s="20">
        <v>370</v>
      </c>
      <c r="AE15" s="45"/>
      <c r="AF15" s="45"/>
      <c r="AG15" s="50" t="s">
        <v>44</v>
      </c>
      <c r="AH15" s="20">
        <v>19</v>
      </c>
      <c r="AI15" s="20">
        <v>36</v>
      </c>
      <c r="AJ15" s="20">
        <v>11</v>
      </c>
      <c r="AK15" s="20">
        <v>66</v>
      </c>
      <c r="AL15" s="20">
        <v>158</v>
      </c>
      <c r="AM15" s="20">
        <v>33</v>
      </c>
      <c r="AN15" s="20">
        <v>191</v>
      </c>
      <c r="AO15" s="20">
        <v>419</v>
      </c>
      <c r="AP15" s="13"/>
      <c r="AQ15" s="13"/>
      <c r="AR15" s="20" t="s">
        <v>44</v>
      </c>
      <c r="AS15" s="20">
        <v>24</v>
      </c>
      <c r="AT15" s="20">
        <v>31</v>
      </c>
      <c r="AU15" s="20">
        <v>8</v>
      </c>
      <c r="AV15" s="20">
        <v>63</v>
      </c>
      <c r="AW15" s="20">
        <v>125</v>
      </c>
      <c r="AX15" s="20">
        <v>40</v>
      </c>
      <c r="AY15" s="20">
        <v>165</v>
      </c>
      <c r="AZ15" s="20">
        <v>397</v>
      </c>
      <c r="BA15" s="13"/>
      <c r="BB15" s="13"/>
      <c r="BC15" s="20" t="s">
        <v>44</v>
      </c>
      <c r="BD15" s="20">
        <v>21</v>
      </c>
      <c r="BE15" s="20">
        <v>42</v>
      </c>
      <c r="BF15" s="20">
        <v>14</v>
      </c>
      <c r="BG15" s="20">
        <v>77</v>
      </c>
      <c r="BH15" s="20">
        <v>176</v>
      </c>
      <c r="BI15" s="20">
        <v>54</v>
      </c>
      <c r="BJ15" s="20">
        <v>230</v>
      </c>
      <c r="BK15" s="20">
        <v>569</v>
      </c>
      <c r="BL15" s="13"/>
      <c r="BM15" s="13"/>
      <c r="BN15" s="20" t="s">
        <v>44</v>
      </c>
      <c r="BO15" s="20">
        <v>21</v>
      </c>
      <c r="BP15" s="20">
        <v>31</v>
      </c>
      <c r="BQ15" s="20">
        <v>6</v>
      </c>
      <c r="BR15" s="20">
        <v>58</v>
      </c>
      <c r="BS15" s="20">
        <v>207</v>
      </c>
      <c r="BT15" s="20">
        <v>36</v>
      </c>
      <c r="BU15" s="20">
        <v>243</v>
      </c>
      <c r="BV15" s="20">
        <v>447</v>
      </c>
      <c r="BW15" s="13"/>
      <c r="BX15" s="13"/>
      <c r="BY15" s="20" t="s">
        <v>44</v>
      </c>
      <c r="BZ15" s="20">
        <v>20</v>
      </c>
      <c r="CA15" s="20">
        <v>31</v>
      </c>
      <c r="CB15" s="20">
        <v>9</v>
      </c>
      <c r="CC15" s="20">
        <v>60</v>
      </c>
      <c r="CD15" s="20">
        <v>133</v>
      </c>
      <c r="CE15" s="20">
        <v>28</v>
      </c>
      <c r="CF15" s="20">
        <v>161</v>
      </c>
      <c r="CG15" s="20">
        <v>487</v>
      </c>
      <c r="CH15" s="13"/>
      <c r="CI15" s="13"/>
      <c r="CJ15" s="20" t="s">
        <v>44</v>
      </c>
      <c r="CK15" s="20">
        <v>15</v>
      </c>
      <c r="CL15" s="20">
        <v>34</v>
      </c>
      <c r="CM15" s="20">
        <v>14</v>
      </c>
      <c r="CN15" s="20">
        <v>63</v>
      </c>
      <c r="CO15" s="20">
        <v>142</v>
      </c>
      <c r="CP15" s="20">
        <v>23</v>
      </c>
      <c r="CQ15" s="20">
        <v>165</v>
      </c>
      <c r="CR15" s="20">
        <v>487</v>
      </c>
      <c r="CS15" s="13"/>
      <c r="CT15" s="13"/>
      <c r="CU15" s="20" t="s">
        <v>44</v>
      </c>
      <c r="CV15" s="20">
        <v>14</v>
      </c>
      <c r="CW15" s="20">
        <v>37</v>
      </c>
      <c r="CX15" s="20">
        <v>4</v>
      </c>
      <c r="CY15" s="20">
        <v>55</v>
      </c>
      <c r="CZ15" s="20">
        <v>183</v>
      </c>
      <c r="DA15" s="20">
        <v>41</v>
      </c>
      <c r="DB15" s="20">
        <v>224</v>
      </c>
      <c r="DC15" s="20">
        <v>426</v>
      </c>
      <c r="DD15" s="13"/>
      <c r="DE15" s="13"/>
      <c r="DF15" s="20" t="s">
        <v>44</v>
      </c>
      <c r="DG15" s="20">
        <v>27</v>
      </c>
      <c r="DH15" s="20">
        <v>28</v>
      </c>
      <c r="DI15" s="20">
        <v>16</v>
      </c>
      <c r="DJ15" s="20">
        <v>71</v>
      </c>
      <c r="DK15" s="20">
        <v>222</v>
      </c>
      <c r="DL15" s="20">
        <v>50</v>
      </c>
      <c r="DM15" s="20">
        <v>272</v>
      </c>
      <c r="DN15" s="20">
        <v>724</v>
      </c>
      <c r="DO15" s="13"/>
      <c r="DP15" s="13"/>
      <c r="DQ15" s="20" t="s">
        <v>44</v>
      </c>
      <c r="DR15" s="20">
        <v>10</v>
      </c>
      <c r="DS15" s="20">
        <v>20</v>
      </c>
      <c r="DT15" s="20">
        <v>3</v>
      </c>
      <c r="DU15" s="20">
        <v>33</v>
      </c>
      <c r="DV15" s="20">
        <v>79</v>
      </c>
      <c r="DW15" s="20">
        <v>16</v>
      </c>
      <c r="DX15" s="20">
        <v>95</v>
      </c>
      <c r="DY15" s="20">
        <v>266</v>
      </c>
      <c r="DZ15" s="13"/>
      <c r="EA15" s="13"/>
      <c r="EB15" s="19" t="s">
        <v>44</v>
      </c>
      <c r="EC15" s="19">
        <v>12</v>
      </c>
      <c r="ED15" s="19">
        <v>29</v>
      </c>
      <c r="EE15" s="19">
        <v>5</v>
      </c>
      <c r="EF15" s="19">
        <v>46</v>
      </c>
      <c r="EG15" s="19">
        <v>102</v>
      </c>
      <c r="EH15" s="19">
        <v>16</v>
      </c>
      <c r="EI15" s="19">
        <v>118</v>
      </c>
      <c r="EJ15" s="19">
        <v>247</v>
      </c>
      <c r="EK15" s="13"/>
      <c r="EL15" s="13"/>
      <c r="EM15" s="19" t="s">
        <v>44</v>
      </c>
      <c r="EN15" s="19">
        <v>21</v>
      </c>
      <c r="EO15" s="19">
        <v>28</v>
      </c>
      <c r="EP15" s="19">
        <v>12</v>
      </c>
      <c r="EQ15" s="19">
        <v>61</v>
      </c>
      <c r="ER15" s="19">
        <v>159</v>
      </c>
      <c r="ES15" s="19">
        <v>39</v>
      </c>
      <c r="ET15" s="19">
        <v>198</v>
      </c>
      <c r="EU15" s="19">
        <v>401</v>
      </c>
      <c r="EV15" s="13"/>
      <c r="EW15" s="13"/>
      <c r="EX15" s="19" t="s">
        <v>44</v>
      </c>
      <c r="EY15" s="19">
        <v>13</v>
      </c>
      <c r="EZ15" s="19">
        <v>29</v>
      </c>
      <c r="FA15" s="19">
        <v>8</v>
      </c>
      <c r="FB15" s="19">
        <v>50</v>
      </c>
      <c r="FC15" s="19">
        <v>117</v>
      </c>
      <c r="FD15" s="19">
        <v>16</v>
      </c>
      <c r="FE15" s="19">
        <v>133</v>
      </c>
      <c r="FF15" s="19">
        <v>317</v>
      </c>
      <c r="FG15" s="13"/>
      <c r="FH15" s="13"/>
      <c r="FI15" s="58" t="s">
        <v>44</v>
      </c>
      <c r="FJ15" s="65">
        <v>9</v>
      </c>
      <c r="FK15" s="65">
        <v>23</v>
      </c>
      <c r="FL15" s="65">
        <v>3</v>
      </c>
      <c r="FM15" s="65">
        <v>35</v>
      </c>
      <c r="FN15" s="65">
        <v>99</v>
      </c>
      <c r="FO15" s="65">
        <v>12</v>
      </c>
      <c r="FP15" s="65">
        <v>111</v>
      </c>
      <c r="FQ15" s="65">
        <v>245</v>
      </c>
      <c r="FR15" s="13"/>
      <c r="FS15" s="70" t="s">
        <v>44</v>
      </c>
      <c r="FT15" s="145">
        <v>21</v>
      </c>
      <c r="FU15" s="145">
        <v>21</v>
      </c>
      <c r="FV15" s="145">
        <v>7</v>
      </c>
      <c r="FW15" s="145">
        <v>49</v>
      </c>
      <c r="FX15" s="145">
        <v>129</v>
      </c>
      <c r="FY15" s="145">
        <v>28</v>
      </c>
      <c r="FZ15" s="145">
        <v>157</v>
      </c>
      <c r="GA15" s="145">
        <v>357</v>
      </c>
      <c r="GB15" s="13"/>
      <c r="GC15" s="70" t="s">
        <v>44</v>
      </c>
      <c r="GD15" s="71">
        <v>12</v>
      </c>
      <c r="GE15" s="71">
        <v>31</v>
      </c>
      <c r="GF15" s="71">
        <v>10</v>
      </c>
      <c r="GG15" s="71">
        <v>53</v>
      </c>
      <c r="GH15" s="71">
        <v>159</v>
      </c>
      <c r="GI15" s="71">
        <v>47</v>
      </c>
      <c r="GJ15" s="71">
        <v>206</v>
      </c>
      <c r="GK15" s="71">
        <v>396</v>
      </c>
      <c r="GL15" s="13"/>
      <c r="GM15" s="70" t="s">
        <v>44</v>
      </c>
      <c r="GN15" s="71">
        <v>16</v>
      </c>
      <c r="GO15" s="71">
        <v>31</v>
      </c>
      <c r="GP15" s="71">
        <v>6</v>
      </c>
      <c r="GQ15" s="71">
        <v>53</v>
      </c>
      <c r="GR15" s="71">
        <v>164</v>
      </c>
      <c r="GS15" s="71">
        <v>28</v>
      </c>
      <c r="GT15" s="71">
        <v>192</v>
      </c>
      <c r="GU15" s="71">
        <v>561</v>
      </c>
      <c r="GV15" s="146">
        <v>6</v>
      </c>
      <c r="GW15" s="147">
        <v>0</v>
      </c>
    </row>
    <row r="16" spans="1:205" ht="15.5" thickBot="1">
      <c r="A16" s="19" t="s">
        <v>45</v>
      </c>
      <c r="B16" s="20">
        <v>8</v>
      </c>
      <c r="C16" s="20">
        <v>20</v>
      </c>
      <c r="D16" s="20">
        <v>2</v>
      </c>
      <c r="E16" s="20">
        <v>30</v>
      </c>
      <c r="F16" s="20">
        <v>71</v>
      </c>
      <c r="G16" s="20">
        <v>9</v>
      </c>
      <c r="H16" s="20">
        <v>80</v>
      </c>
      <c r="I16" s="20">
        <v>185</v>
      </c>
      <c r="J16" s="26"/>
      <c r="K16" s="19" t="s">
        <v>45</v>
      </c>
      <c r="L16" s="20">
        <v>10</v>
      </c>
      <c r="M16" s="20">
        <v>19</v>
      </c>
      <c r="N16" s="20">
        <v>2</v>
      </c>
      <c r="O16" s="20">
        <v>31</v>
      </c>
      <c r="P16" s="20">
        <v>101</v>
      </c>
      <c r="Q16" s="20">
        <v>13</v>
      </c>
      <c r="R16" s="20">
        <v>114</v>
      </c>
      <c r="S16" s="20">
        <v>175</v>
      </c>
      <c r="T16" s="13"/>
      <c r="U16" s="13"/>
      <c r="V16" s="19" t="s">
        <v>45</v>
      </c>
      <c r="W16" s="20">
        <v>13</v>
      </c>
      <c r="X16" s="20">
        <v>23</v>
      </c>
      <c r="Y16" s="20">
        <v>5</v>
      </c>
      <c r="Z16" s="20">
        <v>41</v>
      </c>
      <c r="AA16" s="20">
        <v>98</v>
      </c>
      <c r="AB16" s="20">
        <v>20</v>
      </c>
      <c r="AC16" s="20">
        <v>118</v>
      </c>
      <c r="AD16" s="20">
        <v>252</v>
      </c>
      <c r="AE16" s="45"/>
      <c r="AF16" s="45"/>
      <c r="AG16" s="50" t="s">
        <v>45</v>
      </c>
      <c r="AH16" s="20">
        <v>7</v>
      </c>
      <c r="AI16" s="20">
        <v>31</v>
      </c>
      <c r="AJ16" s="20">
        <v>6</v>
      </c>
      <c r="AK16" s="20">
        <v>44</v>
      </c>
      <c r="AL16" s="20">
        <v>127</v>
      </c>
      <c r="AM16" s="20">
        <v>10</v>
      </c>
      <c r="AN16" s="20">
        <v>137</v>
      </c>
      <c r="AO16" s="20">
        <v>287</v>
      </c>
      <c r="AP16" s="13"/>
      <c r="AQ16" s="13"/>
      <c r="AR16" s="20" t="s">
        <v>45</v>
      </c>
      <c r="AS16" s="20">
        <v>3</v>
      </c>
      <c r="AT16" s="20">
        <v>17</v>
      </c>
      <c r="AU16" s="20">
        <v>7</v>
      </c>
      <c r="AV16" s="20">
        <v>27</v>
      </c>
      <c r="AW16" s="20">
        <v>62</v>
      </c>
      <c r="AX16" s="20">
        <v>5</v>
      </c>
      <c r="AY16" s="20">
        <v>67</v>
      </c>
      <c r="AZ16" s="20">
        <v>178</v>
      </c>
      <c r="BA16" s="13"/>
      <c r="BB16" s="13"/>
      <c r="BC16" s="20" t="s">
        <v>45</v>
      </c>
      <c r="BD16" s="20">
        <v>3</v>
      </c>
      <c r="BE16" s="20">
        <v>14</v>
      </c>
      <c r="BF16" s="20">
        <v>2</v>
      </c>
      <c r="BG16" s="20">
        <v>19</v>
      </c>
      <c r="BH16" s="20">
        <v>35</v>
      </c>
      <c r="BI16" s="20">
        <v>3</v>
      </c>
      <c r="BJ16" s="20">
        <v>38</v>
      </c>
      <c r="BK16" s="20">
        <v>74</v>
      </c>
      <c r="BL16" s="13"/>
      <c r="BM16" s="13"/>
      <c r="BN16" s="20" t="s">
        <v>45</v>
      </c>
      <c r="BO16" s="20">
        <v>7</v>
      </c>
      <c r="BP16" s="20">
        <v>17</v>
      </c>
      <c r="BQ16" s="20">
        <v>7</v>
      </c>
      <c r="BR16" s="20">
        <v>31</v>
      </c>
      <c r="BS16" s="20">
        <v>58</v>
      </c>
      <c r="BT16" s="20">
        <v>13</v>
      </c>
      <c r="BU16" s="20">
        <v>71</v>
      </c>
      <c r="BV16" s="20">
        <v>174</v>
      </c>
      <c r="BW16" s="13"/>
      <c r="BX16" s="13"/>
      <c r="BY16" s="20" t="s">
        <v>45</v>
      </c>
      <c r="BZ16" s="20">
        <v>7</v>
      </c>
      <c r="CA16" s="20">
        <v>12</v>
      </c>
      <c r="CB16" s="20">
        <v>1</v>
      </c>
      <c r="CC16" s="20">
        <v>20</v>
      </c>
      <c r="CD16" s="20">
        <v>46</v>
      </c>
      <c r="CE16" s="20">
        <v>16</v>
      </c>
      <c r="CF16" s="20">
        <v>62</v>
      </c>
      <c r="CG16" s="20">
        <v>100</v>
      </c>
      <c r="CH16" s="13"/>
      <c r="CI16" s="13"/>
      <c r="CJ16" s="20" t="s">
        <v>45</v>
      </c>
      <c r="CK16" s="20">
        <v>8</v>
      </c>
      <c r="CL16" s="20">
        <v>10</v>
      </c>
      <c r="CM16" s="20">
        <v>1</v>
      </c>
      <c r="CN16" s="20">
        <v>19</v>
      </c>
      <c r="CO16" s="20">
        <v>40</v>
      </c>
      <c r="CP16" s="20">
        <v>9</v>
      </c>
      <c r="CQ16" s="20">
        <v>49</v>
      </c>
      <c r="CR16" s="20">
        <v>101</v>
      </c>
      <c r="CS16" s="13"/>
      <c r="CT16" s="13"/>
      <c r="CU16" s="20" t="s">
        <v>45</v>
      </c>
      <c r="CV16" s="20">
        <v>1</v>
      </c>
      <c r="CW16" s="20">
        <v>14</v>
      </c>
      <c r="CX16" s="20">
        <v>7</v>
      </c>
      <c r="CY16" s="20">
        <v>22</v>
      </c>
      <c r="CZ16" s="20">
        <v>48</v>
      </c>
      <c r="DA16" s="20">
        <v>2</v>
      </c>
      <c r="DB16" s="20">
        <v>50</v>
      </c>
      <c r="DC16" s="20">
        <v>120</v>
      </c>
      <c r="DD16" s="13"/>
      <c r="DE16" s="13"/>
      <c r="DF16" s="20" t="s">
        <v>45</v>
      </c>
      <c r="DG16" s="20">
        <v>6</v>
      </c>
      <c r="DH16" s="20">
        <v>17</v>
      </c>
      <c r="DI16" s="20">
        <v>5</v>
      </c>
      <c r="DJ16" s="20">
        <v>28</v>
      </c>
      <c r="DK16" s="20">
        <v>51</v>
      </c>
      <c r="DL16" s="20">
        <v>9</v>
      </c>
      <c r="DM16" s="20">
        <v>60</v>
      </c>
      <c r="DN16" s="20">
        <v>117</v>
      </c>
      <c r="DO16" s="13"/>
      <c r="DP16" s="13"/>
      <c r="DQ16" s="20" t="s">
        <v>45</v>
      </c>
      <c r="DR16" s="20">
        <v>10</v>
      </c>
      <c r="DS16" s="20">
        <v>15</v>
      </c>
      <c r="DT16" s="20">
        <v>4</v>
      </c>
      <c r="DU16" s="20">
        <v>29</v>
      </c>
      <c r="DV16" s="20">
        <v>53</v>
      </c>
      <c r="DW16" s="20">
        <v>23</v>
      </c>
      <c r="DX16" s="20">
        <v>76</v>
      </c>
      <c r="DY16" s="20">
        <v>146</v>
      </c>
      <c r="DZ16" s="13"/>
      <c r="EA16" s="13"/>
      <c r="EB16" s="19" t="s">
        <v>45</v>
      </c>
      <c r="EC16" s="19">
        <v>2</v>
      </c>
      <c r="ED16" s="19">
        <v>18</v>
      </c>
      <c r="EE16" s="19">
        <v>4</v>
      </c>
      <c r="EF16" s="19">
        <v>24</v>
      </c>
      <c r="EG16" s="19">
        <v>37</v>
      </c>
      <c r="EH16" s="19">
        <v>2</v>
      </c>
      <c r="EI16" s="19">
        <v>39</v>
      </c>
      <c r="EJ16" s="19">
        <v>80</v>
      </c>
      <c r="EK16" s="13"/>
      <c r="EL16" s="13"/>
      <c r="EM16" s="19" t="s">
        <v>45</v>
      </c>
      <c r="EN16" s="19">
        <v>7</v>
      </c>
      <c r="EO16" s="19">
        <v>16</v>
      </c>
      <c r="EP16" s="19">
        <v>1</v>
      </c>
      <c r="EQ16" s="19">
        <v>24</v>
      </c>
      <c r="ER16" s="19">
        <v>55</v>
      </c>
      <c r="ES16" s="19">
        <v>9</v>
      </c>
      <c r="ET16" s="19">
        <v>64</v>
      </c>
      <c r="EU16" s="19">
        <v>114</v>
      </c>
      <c r="EV16" s="13"/>
      <c r="EW16" s="13"/>
      <c r="EX16" s="19" t="s">
        <v>45</v>
      </c>
      <c r="EY16" s="19">
        <v>3</v>
      </c>
      <c r="EZ16" s="19">
        <v>16</v>
      </c>
      <c r="FA16" s="19">
        <v>2</v>
      </c>
      <c r="FB16" s="19">
        <v>21</v>
      </c>
      <c r="FC16" s="19">
        <v>60</v>
      </c>
      <c r="FD16" s="19">
        <v>3</v>
      </c>
      <c r="FE16" s="19">
        <v>63</v>
      </c>
      <c r="FF16" s="19">
        <v>120</v>
      </c>
      <c r="FG16" s="13"/>
      <c r="FH16" s="13"/>
      <c r="FI16" s="58" t="s">
        <v>45</v>
      </c>
      <c r="FJ16" s="65">
        <v>5</v>
      </c>
      <c r="FK16" s="65">
        <v>15</v>
      </c>
      <c r="FL16" s="65">
        <v>1</v>
      </c>
      <c r="FM16" s="65">
        <v>21</v>
      </c>
      <c r="FN16" s="65">
        <v>53</v>
      </c>
      <c r="FO16" s="65">
        <v>7</v>
      </c>
      <c r="FP16" s="65">
        <v>60</v>
      </c>
      <c r="FQ16" s="65">
        <v>125</v>
      </c>
      <c r="FR16" s="13"/>
      <c r="FS16" s="70" t="s">
        <v>45</v>
      </c>
      <c r="FT16" s="145">
        <v>4</v>
      </c>
      <c r="FU16" s="145">
        <v>14</v>
      </c>
      <c r="FV16" s="145">
        <v>2</v>
      </c>
      <c r="FW16" s="145">
        <v>20</v>
      </c>
      <c r="FX16" s="145">
        <v>118</v>
      </c>
      <c r="FY16" s="145">
        <v>6</v>
      </c>
      <c r="FZ16" s="145">
        <v>124</v>
      </c>
      <c r="GA16" s="145">
        <v>205</v>
      </c>
      <c r="GB16" s="13"/>
      <c r="GC16" s="70" t="s">
        <v>45</v>
      </c>
      <c r="GD16" s="71">
        <v>4</v>
      </c>
      <c r="GE16" s="71">
        <v>9</v>
      </c>
      <c r="GF16" s="71">
        <v>4</v>
      </c>
      <c r="GG16" s="71">
        <v>17</v>
      </c>
      <c r="GH16" s="71">
        <v>47</v>
      </c>
      <c r="GI16" s="71">
        <v>4</v>
      </c>
      <c r="GJ16" s="71">
        <v>51</v>
      </c>
      <c r="GK16" s="71">
        <v>87</v>
      </c>
      <c r="GL16" s="13"/>
      <c r="GM16" s="70" t="s">
        <v>45</v>
      </c>
      <c r="GN16" s="71">
        <v>3</v>
      </c>
      <c r="GO16" s="71">
        <v>23</v>
      </c>
      <c r="GP16" s="71">
        <v>2</v>
      </c>
      <c r="GQ16" s="71">
        <v>28</v>
      </c>
      <c r="GR16" s="71">
        <v>39</v>
      </c>
      <c r="GS16" s="71">
        <v>3</v>
      </c>
      <c r="GT16" s="71">
        <v>42</v>
      </c>
      <c r="GU16" s="71">
        <v>76</v>
      </c>
      <c r="GV16" s="146">
        <v>33.333333333333329</v>
      </c>
      <c r="GW16" s="147">
        <v>64.705882352941174</v>
      </c>
    </row>
    <row r="17" spans="1:205" ht="15.5" thickBot="1">
      <c r="A17" s="19" t="s">
        <v>46</v>
      </c>
      <c r="B17" s="20">
        <v>9</v>
      </c>
      <c r="C17" s="20">
        <v>24</v>
      </c>
      <c r="D17" s="20">
        <v>11</v>
      </c>
      <c r="E17" s="20">
        <v>44</v>
      </c>
      <c r="F17" s="20">
        <v>116</v>
      </c>
      <c r="G17" s="20">
        <v>30</v>
      </c>
      <c r="H17" s="20">
        <v>146</v>
      </c>
      <c r="I17" s="20">
        <v>387</v>
      </c>
      <c r="J17" s="26"/>
      <c r="K17" s="19" t="s">
        <v>46</v>
      </c>
      <c r="L17" s="20">
        <v>24</v>
      </c>
      <c r="M17" s="20">
        <v>36</v>
      </c>
      <c r="N17" s="20">
        <v>6</v>
      </c>
      <c r="O17" s="20">
        <v>66</v>
      </c>
      <c r="P17" s="20">
        <v>222</v>
      </c>
      <c r="Q17" s="20">
        <v>37</v>
      </c>
      <c r="R17" s="20">
        <v>259</v>
      </c>
      <c r="S17" s="20">
        <v>505</v>
      </c>
      <c r="T17" s="13"/>
      <c r="U17" s="13"/>
      <c r="V17" s="19" t="s">
        <v>46</v>
      </c>
      <c r="W17" s="20">
        <v>13</v>
      </c>
      <c r="X17" s="20">
        <v>34</v>
      </c>
      <c r="Y17" s="20">
        <v>19</v>
      </c>
      <c r="Z17" s="20">
        <v>66</v>
      </c>
      <c r="AA17" s="20">
        <v>157</v>
      </c>
      <c r="AB17" s="20">
        <v>22</v>
      </c>
      <c r="AC17" s="20">
        <v>179</v>
      </c>
      <c r="AD17" s="20">
        <v>453</v>
      </c>
      <c r="AE17" s="45"/>
      <c r="AF17" s="45"/>
      <c r="AG17" s="50" t="s">
        <v>46</v>
      </c>
      <c r="AH17" s="20">
        <v>21</v>
      </c>
      <c r="AI17" s="20">
        <v>52</v>
      </c>
      <c r="AJ17" s="20">
        <v>24</v>
      </c>
      <c r="AK17" s="20">
        <v>97</v>
      </c>
      <c r="AL17" s="20">
        <v>270</v>
      </c>
      <c r="AM17" s="20">
        <v>28</v>
      </c>
      <c r="AN17" s="20">
        <v>298</v>
      </c>
      <c r="AO17" s="20">
        <v>748</v>
      </c>
      <c r="AP17" s="13"/>
      <c r="AQ17" s="13"/>
      <c r="AR17" s="20" t="s">
        <v>46</v>
      </c>
      <c r="AS17" s="20">
        <v>16</v>
      </c>
      <c r="AT17" s="20">
        <v>29</v>
      </c>
      <c r="AU17" s="20">
        <v>11</v>
      </c>
      <c r="AV17" s="20">
        <v>56</v>
      </c>
      <c r="AW17" s="20">
        <v>134</v>
      </c>
      <c r="AX17" s="20">
        <v>21</v>
      </c>
      <c r="AY17" s="20">
        <v>155</v>
      </c>
      <c r="AZ17" s="20">
        <v>348</v>
      </c>
      <c r="BA17" s="13"/>
      <c r="BB17" s="13"/>
      <c r="BC17" s="20" t="s">
        <v>46</v>
      </c>
      <c r="BD17" s="20">
        <v>21</v>
      </c>
      <c r="BE17" s="20">
        <v>28</v>
      </c>
      <c r="BF17" s="20">
        <v>8</v>
      </c>
      <c r="BG17" s="20">
        <v>57</v>
      </c>
      <c r="BH17" s="20">
        <v>211</v>
      </c>
      <c r="BI17" s="20">
        <v>38</v>
      </c>
      <c r="BJ17" s="20">
        <v>249</v>
      </c>
      <c r="BK17" s="20">
        <v>600</v>
      </c>
      <c r="BL17" s="13"/>
      <c r="BM17" s="13"/>
      <c r="BN17" s="20" t="s">
        <v>46</v>
      </c>
      <c r="BO17" s="20">
        <v>16</v>
      </c>
      <c r="BP17" s="20">
        <v>43</v>
      </c>
      <c r="BQ17" s="20">
        <v>11</v>
      </c>
      <c r="BR17" s="20">
        <v>70</v>
      </c>
      <c r="BS17" s="20">
        <v>215</v>
      </c>
      <c r="BT17" s="20">
        <v>24</v>
      </c>
      <c r="BU17" s="20">
        <v>239</v>
      </c>
      <c r="BV17" s="20">
        <v>491</v>
      </c>
      <c r="BW17" s="13"/>
      <c r="BX17" s="13"/>
      <c r="BY17" s="20" t="s">
        <v>46</v>
      </c>
      <c r="BZ17" s="20">
        <v>12</v>
      </c>
      <c r="CA17" s="20">
        <v>32</v>
      </c>
      <c r="CB17" s="20">
        <v>4</v>
      </c>
      <c r="CC17" s="20">
        <v>48</v>
      </c>
      <c r="CD17" s="20">
        <v>177</v>
      </c>
      <c r="CE17" s="20">
        <v>18</v>
      </c>
      <c r="CF17" s="20">
        <v>195</v>
      </c>
      <c r="CG17" s="20">
        <v>400</v>
      </c>
      <c r="CH17" s="13"/>
      <c r="CI17" s="13"/>
      <c r="CJ17" s="20" t="s">
        <v>46</v>
      </c>
      <c r="CK17" s="20">
        <v>12</v>
      </c>
      <c r="CL17" s="20">
        <v>41</v>
      </c>
      <c r="CM17" s="20">
        <v>3</v>
      </c>
      <c r="CN17" s="20">
        <v>56</v>
      </c>
      <c r="CO17" s="20">
        <v>157</v>
      </c>
      <c r="CP17" s="20">
        <v>19</v>
      </c>
      <c r="CQ17" s="20">
        <v>176</v>
      </c>
      <c r="CR17" s="20">
        <v>481</v>
      </c>
      <c r="CS17" s="13"/>
      <c r="CT17" s="13"/>
      <c r="CU17" s="20" t="s">
        <v>46</v>
      </c>
      <c r="CV17" s="20">
        <v>10</v>
      </c>
      <c r="CW17" s="20">
        <v>23</v>
      </c>
      <c r="CX17" s="20">
        <v>4</v>
      </c>
      <c r="CY17" s="20">
        <v>37</v>
      </c>
      <c r="CZ17" s="20">
        <v>99</v>
      </c>
      <c r="DA17" s="20">
        <v>21</v>
      </c>
      <c r="DB17" s="20">
        <v>120</v>
      </c>
      <c r="DC17" s="20">
        <v>237</v>
      </c>
      <c r="DD17" s="13"/>
      <c r="DE17" s="13"/>
      <c r="DF17" s="20" t="s">
        <v>46</v>
      </c>
      <c r="DG17" s="20">
        <v>13</v>
      </c>
      <c r="DH17" s="20">
        <v>25</v>
      </c>
      <c r="DI17" s="20">
        <v>6</v>
      </c>
      <c r="DJ17" s="20">
        <v>44</v>
      </c>
      <c r="DK17" s="20">
        <v>129</v>
      </c>
      <c r="DL17" s="20">
        <v>40</v>
      </c>
      <c r="DM17" s="20">
        <v>169</v>
      </c>
      <c r="DN17" s="20">
        <v>284</v>
      </c>
      <c r="DO17" s="13"/>
      <c r="DP17" s="13"/>
      <c r="DQ17" s="20" t="s">
        <v>46</v>
      </c>
      <c r="DR17" s="20">
        <v>13</v>
      </c>
      <c r="DS17" s="20">
        <v>16</v>
      </c>
      <c r="DT17" s="20">
        <v>3</v>
      </c>
      <c r="DU17" s="20">
        <v>32</v>
      </c>
      <c r="DV17" s="20">
        <v>96</v>
      </c>
      <c r="DW17" s="20">
        <v>31</v>
      </c>
      <c r="DX17" s="20">
        <v>127</v>
      </c>
      <c r="DY17" s="20">
        <v>248</v>
      </c>
      <c r="DZ17" s="13"/>
      <c r="EA17" s="13"/>
      <c r="EB17" s="19" t="s">
        <v>46</v>
      </c>
      <c r="EC17" s="19">
        <v>9</v>
      </c>
      <c r="ED17" s="19">
        <v>29</v>
      </c>
      <c r="EE17" s="19">
        <v>4</v>
      </c>
      <c r="EF17" s="19">
        <v>42</v>
      </c>
      <c r="EG17" s="19">
        <v>193</v>
      </c>
      <c r="EH17" s="19">
        <v>16</v>
      </c>
      <c r="EI17" s="19">
        <v>209</v>
      </c>
      <c r="EJ17" s="19">
        <v>332</v>
      </c>
      <c r="EK17" s="13"/>
      <c r="EL17" s="13"/>
      <c r="EM17" s="19" t="s">
        <v>46</v>
      </c>
      <c r="EN17" s="19">
        <v>12</v>
      </c>
      <c r="EO17" s="19">
        <v>28</v>
      </c>
      <c r="EP17" s="19">
        <v>4</v>
      </c>
      <c r="EQ17" s="19">
        <v>44</v>
      </c>
      <c r="ER17" s="19">
        <v>164</v>
      </c>
      <c r="ES17" s="19">
        <v>24</v>
      </c>
      <c r="ET17" s="19">
        <v>188</v>
      </c>
      <c r="EU17" s="19">
        <v>363</v>
      </c>
      <c r="EV17" s="13"/>
      <c r="EW17" s="13"/>
      <c r="EX17" s="19" t="s">
        <v>46</v>
      </c>
      <c r="EY17" s="19">
        <v>11</v>
      </c>
      <c r="EZ17" s="19">
        <v>30</v>
      </c>
      <c r="FA17" s="19">
        <v>5</v>
      </c>
      <c r="FB17" s="19">
        <v>46</v>
      </c>
      <c r="FC17" s="19">
        <v>175</v>
      </c>
      <c r="FD17" s="19">
        <v>35</v>
      </c>
      <c r="FE17" s="19">
        <v>210</v>
      </c>
      <c r="FF17" s="19">
        <v>445</v>
      </c>
      <c r="FG17" s="13"/>
      <c r="FH17" s="13"/>
      <c r="FI17" s="58" t="s">
        <v>46</v>
      </c>
      <c r="FJ17" s="65">
        <v>8</v>
      </c>
      <c r="FK17" s="65">
        <v>17</v>
      </c>
      <c r="FL17" s="65">
        <v>3</v>
      </c>
      <c r="FM17" s="65">
        <v>28</v>
      </c>
      <c r="FN17" s="65">
        <v>66</v>
      </c>
      <c r="FO17" s="65">
        <v>14</v>
      </c>
      <c r="FP17" s="65">
        <v>80</v>
      </c>
      <c r="FQ17" s="65">
        <v>272</v>
      </c>
      <c r="FR17" s="13"/>
      <c r="FS17" s="70" t="s">
        <v>46</v>
      </c>
      <c r="FT17" s="145">
        <v>16</v>
      </c>
      <c r="FU17" s="145">
        <v>40</v>
      </c>
      <c r="FV17" s="145">
        <v>9</v>
      </c>
      <c r="FW17" s="145">
        <v>65</v>
      </c>
      <c r="FX17" s="145">
        <v>190</v>
      </c>
      <c r="FY17" s="145">
        <v>36</v>
      </c>
      <c r="FZ17" s="145">
        <v>226</v>
      </c>
      <c r="GA17" s="145">
        <v>582</v>
      </c>
      <c r="GB17" s="13"/>
      <c r="GC17" s="70" t="s">
        <v>46</v>
      </c>
      <c r="GD17" s="71">
        <v>22</v>
      </c>
      <c r="GE17" s="71">
        <v>37</v>
      </c>
      <c r="GF17" s="71">
        <v>13</v>
      </c>
      <c r="GG17" s="71">
        <v>72</v>
      </c>
      <c r="GH17" s="71">
        <v>209</v>
      </c>
      <c r="GI17" s="71">
        <v>49</v>
      </c>
      <c r="GJ17" s="71">
        <v>258</v>
      </c>
      <c r="GK17" s="71">
        <v>587</v>
      </c>
      <c r="GL17" s="13"/>
      <c r="GM17" s="70" t="s">
        <v>46</v>
      </c>
      <c r="GN17" s="71">
        <v>23</v>
      </c>
      <c r="GO17" s="71">
        <v>40</v>
      </c>
      <c r="GP17" s="71">
        <v>1</v>
      </c>
      <c r="GQ17" s="71">
        <v>64</v>
      </c>
      <c r="GR17" s="71">
        <v>162</v>
      </c>
      <c r="GS17" s="71">
        <v>46</v>
      </c>
      <c r="GT17" s="71">
        <v>208</v>
      </c>
      <c r="GU17" s="71">
        <v>509</v>
      </c>
      <c r="GV17" s="146">
        <v>39.130434782608695</v>
      </c>
      <c r="GW17" s="147">
        <v>-11.111111111111111</v>
      </c>
    </row>
    <row r="18" spans="1:205" ht="15.5" thickBot="1">
      <c r="A18" s="19" t="s">
        <v>47</v>
      </c>
      <c r="B18" s="20">
        <v>71</v>
      </c>
      <c r="C18" s="20">
        <v>182</v>
      </c>
      <c r="D18" s="20">
        <v>59</v>
      </c>
      <c r="E18" s="20">
        <v>312</v>
      </c>
      <c r="F18" s="20">
        <v>572</v>
      </c>
      <c r="G18" s="20">
        <v>90</v>
      </c>
      <c r="H18" s="20">
        <v>662</v>
      </c>
      <c r="I18" s="20">
        <v>1543</v>
      </c>
      <c r="J18" s="26"/>
      <c r="K18" s="19" t="s">
        <v>47</v>
      </c>
      <c r="L18" s="20">
        <v>41</v>
      </c>
      <c r="M18" s="20">
        <v>177</v>
      </c>
      <c r="N18" s="20">
        <v>60</v>
      </c>
      <c r="O18" s="20">
        <v>278</v>
      </c>
      <c r="P18" s="20">
        <v>518</v>
      </c>
      <c r="Q18" s="20">
        <v>56</v>
      </c>
      <c r="R18" s="20">
        <v>574</v>
      </c>
      <c r="S18" s="20">
        <v>1289</v>
      </c>
      <c r="T18" s="13"/>
      <c r="U18" s="13"/>
      <c r="V18" s="19" t="s">
        <v>47</v>
      </c>
      <c r="W18" s="20">
        <v>31</v>
      </c>
      <c r="X18" s="20">
        <v>168</v>
      </c>
      <c r="Y18" s="20">
        <v>53</v>
      </c>
      <c r="Z18" s="20">
        <v>252</v>
      </c>
      <c r="AA18" s="20">
        <v>483</v>
      </c>
      <c r="AB18" s="20">
        <v>37</v>
      </c>
      <c r="AC18" s="20">
        <v>520</v>
      </c>
      <c r="AD18" s="20">
        <v>1273</v>
      </c>
      <c r="AE18" s="45"/>
      <c r="AF18" s="45"/>
      <c r="AG18" s="50" t="s">
        <v>47</v>
      </c>
      <c r="AH18" s="20">
        <v>44</v>
      </c>
      <c r="AI18" s="20">
        <v>199</v>
      </c>
      <c r="AJ18" s="20">
        <v>64</v>
      </c>
      <c r="AK18" s="20">
        <v>307</v>
      </c>
      <c r="AL18" s="20">
        <v>562</v>
      </c>
      <c r="AM18" s="20">
        <v>57</v>
      </c>
      <c r="AN18" s="20">
        <v>619</v>
      </c>
      <c r="AO18" s="20">
        <v>1629</v>
      </c>
      <c r="AP18" s="13"/>
      <c r="AQ18" s="13"/>
      <c r="AR18" s="20" t="s">
        <v>47</v>
      </c>
      <c r="AS18" s="20">
        <v>50</v>
      </c>
      <c r="AT18" s="20">
        <v>190</v>
      </c>
      <c r="AU18" s="20">
        <v>40</v>
      </c>
      <c r="AV18" s="20">
        <v>280</v>
      </c>
      <c r="AW18" s="20">
        <v>621</v>
      </c>
      <c r="AX18" s="20">
        <v>66</v>
      </c>
      <c r="AY18" s="20">
        <v>687</v>
      </c>
      <c r="AZ18" s="20">
        <v>1424</v>
      </c>
      <c r="BA18" s="13"/>
      <c r="BB18" s="13"/>
      <c r="BC18" s="20" t="s">
        <v>47</v>
      </c>
      <c r="BD18" s="20">
        <v>43</v>
      </c>
      <c r="BE18" s="20">
        <v>186</v>
      </c>
      <c r="BF18" s="20">
        <v>90</v>
      </c>
      <c r="BG18" s="20">
        <v>319</v>
      </c>
      <c r="BH18" s="20">
        <v>467</v>
      </c>
      <c r="BI18" s="20">
        <v>56</v>
      </c>
      <c r="BJ18" s="20">
        <v>523</v>
      </c>
      <c r="BK18" s="20">
        <v>1609</v>
      </c>
      <c r="BL18" s="13"/>
      <c r="BM18" s="13"/>
      <c r="BN18" s="20" t="s">
        <v>47</v>
      </c>
      <c r="BO18" s="20">
        <v>80</v>
      </c>
      <c r="BP18" s="20">
        <v>353</v>
      </c>
      <c r="BQ18" s="20">
        <v>105</v>
      </c>
      <c r="BR18" s="20">
        <v>538</v>
      </c>
      <c r="BS18" s="20">
        <v>1028</v>
      </c>
      <c r="BT18" s="20">
        <v>111</v>
      </c>
      <c r="BU18" s="20">
        <v>1139</v>
      </c>
      <c r="BV18" s="20">
        <v>2664</v>
      </c>
      <c r="BW18" s="13"/>
      <c r="BX18" s="13"/>
      <c r="BY18" s="20" t="s">
        <v>47</v>
      </c>
      <c r="BZ18" s="20">
        <v>56</v>
      </c>
      <c r="CA18" s="20">
        <v>314</v>
      </c>
      <c r="CB18" s="20">
        <v>94</v>
      </c>
      <c r="CC18" s="20">
        <v>464</v>
      </c>
      <c r="CD18" s="20">
        <v>784</v>
      </c>
      <c r="CE18" s="20">
        <v>109</v>
      </c>
      <c r="CF18" s="20">
        <v>893</v>
      </c>
      <c r="CG18" s="20">
        <v>2399</v>
      </c>
      <c r="CH18" s="13"/>
      <c r="CI18" s="13"/>
      <c r="CJ18" s="20" t="s">
        <v>47</v>
      </c>
      <c r="CK18" s="20">
        <v>79</v>
      </c>
      <c r="CL18" s="20">
        <v>345</v>
      </c>
      <c r="CM18" s="20">
        <v>58</v>
      </c>
      <c r="CN18" s="20">
        <v>482</v>
      </c>
      <c r="CO18" s="20">
        <v>791</v>
      </c>
      <c r="CP18" s="20">
        <v>127</v>
      </c>
      <c r="CQ18" s="20">
        <v>918</v>
      </c>
      <c r="CR18" s="20">
        <v>2103</v>
      </c>
      <c r="CS18" s="13"/>
      <c r="CT18" s="13"/>
      <c r="CU18" s="20" t="s">
        <v>47</v>
      </c>
      <c r="CV18" s="20">
        <v>71</v>
      </c>
      <c r="CW18" s="20">
        <v>245</v>
      </c>
      <c r="CX18" s="20">
        <v>66</v>
      </c>
      <c r="CY18" s="20">
        <v>382</v>
      </c>
      <c r="CZ18" s="20">
        <v>667</v>
      </c>
      <c r="DA18" s="20">
        <v>100</v>
      </c>
      <c r="DB18" s="20">
        <v>767</v>
      </c>
      <c r="DC18" s="20">
        <v>1663</v>
      </c>
      <c r="DD18" s="13"/>
      <c r="DE18" s="13"/>
      <c r="DF18" s="20" t="s">
        <v>47</v>
      </c>
      <c r="DG18" s="20">
        <v>52</v>
      </c>
      <c r="DH18" s="20">
        <v>214</v>
      </c>
      <c r="DI18" s="20">
        <v>54</v>
      </c>
      <c r="DJ18" s="20">
        <v>320</v>
      </c>
      <c r="DK18" s="20">
        <v>653</v>
      </c>
      <c r="DL18" s="20">
        <v>65</v>
      </c>
      <c r="DM18" s="20">
        <v>718</v>
      </c>
      <c r="DN18" s="20">
        <v>1713</v>
      </c>
      <c r="DO18" s="13"/>
      <c r="DP18" s="13"/>
      <c r="DQ18" s="20" t="s">
        <v>47</v>
      </c>
      <c r="DR18" s="20">
        <v>63</v>
      </c>
      <c r="DS18" s="20">
        <v>216</v>
      </c>
      <c r="DT18" s="20">
        <v>70</v>
      </c>
      <c r="DU18" s="20">
        <v>349</v>
      </c>
      <c r="DV18" s="20">
        <v>607</v>
      </c>
      <c r="DW18" s="20">
        <v>82</v>
      </c>
      <c r="DX18" s="20">
        <v>689</v>
      </c>
      <c r="DY18" s="20">
        <v>1824</v>
      </c>
      <c r="DZ18" s="13"/>
      <c r="EA18" s="13"/>
      <c r="EB18" s="19" t="s">
        <v>47</v>
      </c>
      <c r="EC18" s="19">
        <v>47</v>
      </c>
      <c r="ED18" s="19">
        <v>199</v>
      </c>
      <c r="EE18" s="19">
        <v>50</v>
      </c>
      <c r="EF18" s="19">
        <v>296</v>
      </c>
      <c r="EG18" s="19">
        <v>548</v>
      </c>
      <c r="EH18" s="19">
        <v>69</v>
      </c>
      <c r="EI18" s="19">
        <v>617</v>
      </c>
      <c r="EJ18" s="19">
        <v>1635</v>
      </c>
      <c r="EK18" s="13"/>
      <c r="EL18" s="13"/>
      <c r="EM18" s="19" t="s">
        <v>47</v>
      </c>
      <c r="EN18" s="19">
        <v>43</v>
      </c>
      <c r="EO18" s="19">
        <v>178</v>
      </c>
      <c r="EP18" s="19">
        <v>52</v>
      </c>
      <c r="EQ18" s="19">
        <v>273</v>
      </c>
      <c r="ER18" s="19">
        <v>504</v>
      </c>
      <c r="ES18" s="19">
        <v>62</v>
      </c>
      <c r="ET18" s="19">
        <v>566</v>
      </c>
      <c r="EU18" s="19">
        <v>1531</v>
      </c>
      <c r="EV18" s="13"/>
      <c r="EW18" s="13"/>
      <c r="EX18" s="19" t="s">
        <v>47</v>
      </c>
      <c r="EY18" s="19">
        <v>47</v>
      </c>
      <c r="EZ18" s="19">
        <v>191</v>
      </c>
      <c r="FA18" s="19">
        <v>54</v>
      </c>
      <c r="FB18" s="19">
        <v>292</v>
      </c>
      <c r="FC18" s="19">
        <v>695</v>
      </c>
      <c r="FD18" s="19">
        <v>71</v>
      </c>
      <c r="FE18" s="19">
        <v>766</v>
      </c>
      <c r="FF18" s="19">
        <v>1837</v>
      </c>
      <c r="FG18" s="13"/>
      <c r="FH18" s="13"/>
      <c r="FI18" s="58" t="s">
        <v>47</v>
      </c>
      <c r="FJ18" s="65">
        <v>37</v>
      </c>
      <c r="FK18" s="65">
        <v>95</v>
      </c>
      <c r="FL18" s="65">
        <v>27</v>
      </c>
      <c r="FM18" s="65">
        <v>159</v>
      </c>
      <c r="FN18" s="65">
        <v>323</v>
      </c>
      <c r="FO18" s="65">
        <v>56</v>
      </c>
      <c r="FP18" s="65">
        <v>379</v>
      </c>
      <c r="FQ18" s="65">
        <v>881</v>
      </c>
      <c r="FR18" s="13"/>
      <c r="FS18" s="70" t="s">
        <v>47</v>
      </c>
      <c r="FT18" s="145">
        <v>31</v>
      </c>
      <c r="FU18" s="145">
        <v>121</v>
      </c>
      <c r="FV18" s="145">
        <v>29</v>
      </c>
      <c r="FW18" s="145">
        <v>181</v>
      </c>
      <c r="FX18" s="145">
        <v>397</v>
      </c>
      <c r="FY18" s="145">
        <v>55</v>
      </c>
      <c r="FZ18" s="145">
        <v>452</v>
      </c>
      <c r="GA18" s="145">
        <v>973</v>
      </c>
      <c r="GB18" s="13"/>
      <c r="GC18" s="70" t="s">
        <v>47</v>
      </c>
      <c r="GD18" s="71">
        <v>22</v>
      </c>
      <c r="GE18" s="71">
        <v>106</v>
      </c>
      <c r="GF18" s="71">
        <v>19</v>
      </c>
      <c r="GG18" s="71">
        <v>147</v>
      </c>
      <c r="GH18" s="71">
        <v>308</v>
      </c>
      <c r="GI18" s="71">
        <v>35</v>
      </c>
      <c r="GJ18" s="71">
        <v>343</v>
      </c>
      <c r="GK18" s="71">
        <v>797</v>
      </c>
      <c r="GL18" s="13"/>
      <c r="GM18" s="70" t="s">
        <v>47</v>
      </c>
      <c r="GN18" s="71">
        <v>28</v>
      </c>
      <c r="GO18" s="71">
        <v>134</v>
      </c>
      <c r="GP18" s="71">
        <v>43</v>
      </c>
      <c r="GQ18" s="71">
        <v>205</v>
      </c>
      <c r="GR18" s="71">
        <v>422</v>
      </c>
      <c r="GS18" s="71">
        <v>39</v>
      </c>
      <c r="GT18" s="71">
        <v>461</v>
      </c>
      <c r="GU18" s="71">
        <v>1225</v>
      </c>
      <c r="GV18" s="146">
        <v>-29.794520547945208</v>
      </c>
      <c r="GW18" s="147">
        <v>39.455782312925166</v>
      </c>
    </row>
    <row r="19" spans="1:205" ht="15.5" thickBot="1">
      <c r="A19" s="19" t="s">
        <v>48</v>
      </c>
      <c r="B19" s="20">
        <v>18</v>
      </c>
      <c r="C19" s="20">
        <v>50</v>
      </c>
      <c r="D19" s="20">
        <v>2</v>
      </c>
      <c r="E19" s="20">
        <v>70</v>
      </c>
      <c r="F19" s="20">
        <v>231</v>
      </c>
      <c r="G19" s="20">
        <v>26</v>
      </c>
      <c r="H19" s="20">
        <v>257</v>
      </c>
      <c r="I19" s="20">
        <v>459</v>
      </c>
      <c r="J19" s="26"/>
      <c r="K19" s="19" t="s">
        <v>48</v>
      </c>
      <c r="L19" s="20">
        <v>11</v>
      </c>
      <c r="M19" s="20">
        <v>59</v>
      </c>
      <c r="N19" s="20">
        <v>2</v>
      </c>
      <c r="O19" s="20">
        <v>72</v>
      </c>
      <c r="P19" s="20">
        <v>232</v>
      </c>
      <c r="Q19" s="20">
        <v>31</v>
      </c>
      <c r="R19" s="20">
        <v>263</v>
      </c>
      <c r="S19" s="20">
        <v>388</v>
      </c>
      <c r="T19" s="13"/>
      <c r="U19" s="13"/>
      <c r="V19" s="19" t="s">
        <v>48</v>
      </c>
      <c r="W19" s="20">
        <v>15</v>
      </c>
      <c r="X19" s="20">
        <v>76</v>
      </c>
      <c r="Y19" s="20">
        <v>2</v>
      </c>
      <c r="Z19" s="20">
        <v>93</v>
      </c>
      <c r="AA19" s="20">
        <v>239</v>
      </c>
      <c r="AB19" s="20">
        <v>28</v>
      </c>
      <c r="AC19" s="20">
        <v>267</v>
      </c>
      <c r="AD19" s="20">
        <v>427</v>
      </c>
      <c r="AE19" s="45"/>
      <c r="AF19" s="45"/>
      <c r="AG19" s="50" t="s">
        <v>48</v>
      </c>
      <c r="AH19" s="20">
        <v>10</v>
      </c>
      <c r="AI19" s="20">
        <v>60</v>
      </c>
      <c r="AJ19" s="20">
        <v>3</v>
      </c>
      <c r="AK19" s="20">
        <v>73</v>
      </c>
      <c r="AL19" s="20">
        <v>218</v>
      </c>
      <c r="AM19" s="20">
        <v>13</v>
      </c>
      <c r="AN19" s="20">
        <v>231</v>
      </c>
      <c r="AO19" s="20">
        <v>334</v>
      </c>
      <c r="AP19" s="13"/>
      <c r="AQ19" s="13"/>
      <c r="AR19" s="20" t="s">
        <v>48</v>
      </c>
      <c r="AS19" s="20">
        <v>17</v>
      </c>
      <c r="AT19" s="20">
        <v>71</v>
      </c>
      <c r="AU19" s="20">
        <v>2</v>
      </c>
      <c r="AV19" s="20">
        <v>90</v>
      </c>
      <c r="AW19" s="20">
        <v>256</v>
      </c>
      <c r="AX19" s="20">
        <v>30</v>
      </c>
      <c r="AY19" s="20">
        <v>286</v>
      </c>
      <c r="AZ19" s="20">
        <v>472</v>
      </c>
      <c r="BA19" s="13"/>
      <c r="BB19" s="13"/>
      <c r="BC19" s="20" t="s">
        <v>48</v>
      </c>
      <c r="BD19" s="20">
        <v>10</v>
      </c>
      <c r="BE19" s="20">
        <v>63</v>
      </c>
      <c r="BF19" s="20">
        <v>0</v>
      </c>
      <c r="BG19" s="20">
        <v>73</v>
      </c>
      <c r="BH19" s="20">
        <v>274</v>
      </c>
      <c r="BI19" s="20">
        <v>16</v>
      </c>
      <c r="BJ19" s="20">
        <v>290</v>
      </c>
      <c r="BK19" s="20">
        <v>415</v>
      </c>
      <c r="BL19" s="13"/>
      <c r="BM19" s="13"/>
      <c r="BN19" s="20" t="s">
        <v>48</v>
      </c>
      <c r="BO19" s="20">
        <v>13</v>
      </c>
      <c r="BP19" s="20">
        <v>67</v>
      </c>
      <c r="BQ19" s="20">
        <v>1</v>
      </c>
      <c r="BR19" s="20">
        <v>81</v>
      </c>
      <c r="BS19" s="20">
        <v>199</v>
      </c>
      <c r="BT19" s="20">
        <v>35</v>
      </c>
      <c r="BU19" s="20">
        <v>234</v>
      </c>
      <c r="BV19" s="20">
        <v>357</v>
      </c>
      <c r="BW19" s="13"/>
      <c r="BX19" s="13"/>
      <c r="BY19" s="20" t="s">
        <v>48</v>
      </c>
      <c r="BZ19" s="20">
        <v>6</v>
      </c>
      <c r="CA19" s="20">
        <v>49</v>
      </c>
      <c r="CB19" s="20">
        <v>3</v>
      </c>
      <c r="CC19" s="20">
        <v>58</v>
      </c>
      <c r="CD19" s="20">
        <v>165</v>
      </c>
      <c r="CE19" s="20">
        <v>9</v>
      </c>
      <c r="CF19" s="20">
        <v>174</v>
      </c>
      <c r="CG19" s="20">
        <v>298</v>
      </c>
      <c r="CH19" s="13"/>
      <c r="CI19" s="13"/>
      <c r="CJ19" s="20" t="s">
        <v>48</v>
      </c>
      <c r="CK19" s="20">
        <v>27</v>
      </c>
      <c r="CL19" s="20">
        <v>84</v>
      </c>
      <c r="CM19" s="20">
        <v>4</v>
      </c>
      <c r="CN19" s="20">
        <v>115</v>
      </c>
      <c r="CO19" s="20">
        <v>363</v>
      </c>
      <c r="CP19" s="20">
        <v>47</v>
      </c>
      <c r="CQ19" s="20">
        <v>410</v>
      </c>
      <c r="CR19" s="20">
        <v>656</v>
      </c>
      <c r="CS19" s="13"/>
      <c r="CT19" s="13"/>
      <c r="CU19" s="20" t="s">
        <v>48</v>
      </c>
      <c r="CV19" s="20">
        <v>12</v>
      </c>
      <c r="CW19" s="20">
        <v>48</v>
      </c>
      <c r="CX19" s="20">
        <v>1</v>
      </c>
      <c r="CY19" s="20">
        <v>61</v>
      </c>
      <c r="CZ19" s="20">
        <v>240</v>
      </c>
      <c r="DA19" s="20">
        <v>26</v>
      </c>
      <c r="DB19" s="20">
        <v>266</v>
      </c>
      <c r="DC19" s="20">
        <v>394</v>
      </c>
      <c r="DD19" s="13"/>
      <c r="DE19" s="13"/>
      <c r="DF19" s="20" t="s">
        <v>48</v>
      </c>
      <c r="DG19" s="20">
        <v>17</v>
      </c>
      <c r="DH19" s="20">
        <v>42</v>
      </c>
      <c r="DI19" s="20">
        <v>1</v>
      </c>
      <c r="DJ19" s="20">
        <v>60</v>
      </c>
      <c r="DK19" s="20">
        <v>220</v>
      </c>
      <c r="DL19" s="20">
        <v>30</v>
      </c>
      <c r="DM19" s="20">
        <v>250</v>
      </c>
      <c r="DN19" s="20">
        <v>388</v>
      </c>
      <c r="DO19" s="13"/>
      <c r="DP19" s="13"/>
      <c r="DQ19" s="20" t="s">
        <v>48</v>
      </c>
      <c r="DR19" s="20">
        <v>7</v>
      </c>
      <c r="DS19" s="20">
        <v>29</v>
      </c>
      <c r="DT19" s="20">
        <v>4</v>
      </c>
      <c r="DU19" s="20">
        <v>40</v>
      </c>
      <c r="DV19" s="20">
        <v>140</v>
      </c>
      <c r="DW19" s="20">
        <v>11</v>
      </c>
      <c r="DX19" s="20">
        <v>151</v>
      </c>
      <c r="DY19" s="20">
        <v>302</v>
      </c>
      <c r="DZ19" s="13"/>
      <c r="EA19" s="13"/>
      <c r="EB19" s="19" t="s">
        <v>48</v>
      </c>
      <c r="EC19" s="19">
        <v>18</v>
      </c>
      <c r="ED19" s="19">
        <v>96</v>
      </c>
      <c r="EE19" s="19">
        <v>4</v>
      </c>
      <c r="EF19" s="19">
        <v>118</v>
      </c>
      <c r="EG19" s="19">
        <v>464</v>
      </c>
      <c r="EH19" s="19">
        <v>29</v>
      </c>
      <c r="EI19" s="19">
        <v>493</v>
      </c>
      <c r="EJ19" s="19">
        <v>827</v>
      </c>
      <c r="EK19" s="13"/>
      <c r="EL19" s="13"/>
      <c r="EM19" s="19" t="s">
        <v>48</v>
      </c>
      <c r="EN19" s="19">
        <v>20</v>
      </c>
      <c r="EO19" s="19">
        <v>64</v>
      </c>
      <c r="EP19" s="19">
        <v>4</v>
      </c>
      <c r="EQ19" s="19">
        <v>88</v>
      </c>
      <c r="ER19" s="19">
        <v>349</v>
      </c>
      <c r="ES19" s="19">
        <v>44</v>
      </c>
      <c r="ET19" s="19">
        <v>393</v>
      </c>
      <c r="EU19" s="19">
        <v>865</v>
      </c>
      <c r="EV19" s="13"/>
      <c r="EW19" s="13"/>
      <c r="EX19" s="19" t="s">
        <v>48</v>
      </c>
      <c r="EY19" s="19">
        <v>19</v>
      </c>
      <c r="EZ19" s="19">
        <v>47</v>
      </c>
      <c r="FA19" s="19">
        <v>5</v>
      </c>
      <c r="FB19" s="19">
        <v>71</v>
      </c>
      <c r="FC19" s="19">
        <v>243</v>
      </c>
      <c r="FD19" s="19">
        <v>33</v>
      </c>
      <c r="FE19" s="19">
        <v>276</v>
      </c>
      <c r="FF19" s="19">
        <v>489</v>
      </c>
      <c r="FG19" s="13"/>
      <c r="FH19" s="13"/>
      <c r="FI19" s="58" t="s">
        <v>48</v>
      </c>
      <c r="FJ19" s="65">
        <v>8</v>
      </c>
      <c r="FK19" s="65">
        <v>49</v>
      </c>
      <c r="FL19" s="65">
        <v>3</v>
      </c>
      <c r="FM19" s="65">
        <v>60</v>
      </c>
      <c r="FN19" s="65">
        <v>226</v>
      </c>
      <c r="FO19" s="65">
        <v>13</v>
      </c>
      <c r="FP19" s="65">
        <v>239</v>
      </c>
      <c r="FQ19" s="65">
        <v>395</v>
      </c>
      <c r="FR19" s="13"/>
      <c r="FS19" s="70" t="s">
        <v>48</v>
      </c>
      <c r="FT19" s="145">
        <v>19</v>
      </c>
      <c r="FU19" s="145">
        <v>72</v>
      </c>
      <c r="FV19" s="145">
        <v>1</v>
      </c>
      <c r="FW19" s="145">
        <v>92</v>
      </c>
      <c r="FX19" s="145">
        <v>284</v>
      </c>
      <c r="FY19" s="145">
        <v>31</v>
      </c>
      <c r="FZ19" s="145">
        <v>315</v>
      </c>
      <c r="GA19" s="145">
        <v>725</v>
      </c>
      <c r="GB19" s="13"/>
      <c r="GC19" s="70" t="s">
        <v>48</v>
      </c>
      <c r="GD19" s="71">
        <v>15</v>
      </c>
      <c r="GE19" s="71">
        <v>61</v>
      </c>
      <c r="GF19" s="71">
        <v>21</v>
      </c>
      <c r="GG19" s="71">
        <v>97</v>
      </c>
      <c r="GH19" s="71">
        <v>421</v>
      </c>
      <c r="GI19" s="71">
        <v>32</v>
      </c>
      <c r="GJ19" s="71">
        <v>453</v>
      </c>
      <c r="GK19" s="71">
        <v>763</v>
      </c>
      <c r="GL19" s="13"/>
      <c r="GM19" s="70" t="s">
        <v>48</v>
      </c>
      <c r="GN19" s="71">
        <v>16</v>
      </c>
      <c r="GO19" s="71">
        <v>45</v>
      </c>
      <c r="GP19" s="71">
        <v>3</v>
      </c>
      <c r="GQ19" s="71">
        <v>64</v>
      </c>
      <c r="GR19" s="71">
        <v>206</v>
      </c>
      <c r="GS19" s="71">
        <v>37</v>
      </c>
      <c r="GT19" s="71">
        <v>243</v>
      </c>
      <c r="GU19" s="71">
        <v>348</v>
      </c>
      <c r="GV19" s="146">
        <v>-9.8591549295774641</v>
      </c>
      <c r="GW19" s="147">
        <v>-34.020618556701031</v>
      </c>
    </row>
    <row r="20" spans="1:205" ht="15.5" thickBot="1">
      <c r="A20" s="19" t="s">
        <v>49</v>
      </c>
      <c r="B20" s="20">
        <v>9</v>
      </c>
      <c r="C20" s="20">
        <v>20</v>
      </c>
      <c r="D20" s="20">
        <v>2</v>
      </c>
      <c r="E20" s="20">
        <v>31</v>
      </c>
      <c r="F20" s="20">
        <v>91</v>
      </c>
      <c r="G20" s="20">
        <v>15</v>
      </c>
      <c r="H20" s="20">
        <v>106</v>
      </c>
      <c r="I20" s="20">
        <v>230</v>
      </c>
      <c r="J20" s="26"/>
      <c r="K20" s="19" t="s">
        <v>49</v>
      </c>
      <c r="L20" s="20">
        <v>7</v>
      </c>
      <c r="M20" s="20">
        <v>7</v>
      </c>
      <c r="N20" s="20">
        <v>2</v>
      </c>
      <c r="O20" s="20">
        <v>16</v>
      </c>
      <c r="P20" s="20">
        <v>71</v>
      </c>
      <c r="Q20" s="20">
        <v>17</v>
      </c>
      <c r="R20" s="20">
        <v>88</v>
      </c>
      <c r="S20" s="20">
        <v>116</v>
      </c>
      <c r="T20" s="13"/>
      <c r="U20" s="13"/>
      <c r="V20" s="19" t="s">
        <v>49</v>
      </c>
      <c r="W20" s="20">
        <v>6</v>
      </c>
      <c r="X20" s="20">
        <v>13</v>
      </c>
      <c r="Y20" s="20">
        <v>4</v>
      </c>
      <c r="Z20" s="20">
        <v>23</v>
      </c>
      <c r="AA20" s="20">
        <v>64</v>
      </c>
      <c r="AB20" s="20">
        <v>14</v>
      </c>
      <c r="AC20" s="20">
        <v>78</v>
      </c>
      <c r="AD20" s="20">
        <v>145</v>
      </c>
      <c r="AE20" s="45"/>
      <c r="AF20" s="45"/>
      <c r="AG20" s="50" t="s">
        <v>49</v>
      </c>
      <c r="AH20" s="20">
        <v>9</v>
      </c>
      <c r="AI20" s="20">
        <v>15</v>
      </c>
      <c r="AJ20" s="20">
        <v>3</v>
      </c>
      <c r="AK20" s="20">
        <v>27</v>
      </c>
      <c r="AL20" s="20">
        <v>85</v>
      </c>
      <c r="AM20" s="20">
        <v>16</v>
      </c>
      <c r="AN20" s="20">
        <v>101</v>
      </c>
      <c r="AO20" s="20">
        <v>251</v>
      </c>
      <c r="AP20" s="13"/>
      <c r="AQ20" s="13"/>
      <c r="AR20" s="20" t="s">
        <v>49</v>
      </c>
      <c r="AS20" s="20">
        <v>11</v>
      </c>
      <c r="AT20" s="20">
        <v>25</v>
      </c>
      <c r="AU20" s="20">
        <v>1</v>
      </c>
      <c r="AV20" s="20">
        <v>37</v>
      </c>
      <c r="AW20" s="20">
        <v>130</v>
      </c>
      <c r="AX20" s="20">
        <v>22</v>
      </c>
      <c r="AY20" s="20">
        <v>152</v>
      </c>
      <c r="AZ20" s="20">
        <v>328</v>
      </c>
      <c r="BA20" s="13"/>
      <c r="BB20" s="13"/>
      <c r="BC20" s="20" t="s">
        <v>49</v>
      </c>
      <c r="BD20" s="20">
        <v>7</v>
      </c>
      <c r="BE20" s="20">
        <v>16</v>
      </c>
      <c r="BF20" s="20">
        <v>3</v>
      </c>
      <c r="BG20" s="20">
        <v>26</v>
      </c>
      <c r="BH20" s="20">
        <v>54</v>
      </c>
      <c r="BI20" s="20">
        <v>17</v>
      </c>
      <c r="BJ20" s="20">
        <v>71</v>
      </c>
      <c r="BK20" s="20">
        <v>134</v>
      </c>
      <c r="BL20" s="13"/>
      <c r="BM20" s="13"/>
      <c r="BN20" s="20" t="s">
        <v>49</v>
      </c>
      <c r="BO20" s="20">
        <v>5</v>
      </c>
      <c r="BP20" s="20">
        <v>13</v>
      </c>
      <c r="BQ20" s="20">
        <v>2</v>
      </c>
      <c r="BR20" s="20">
        <v>20</v>
      </c>
      <c r="BS20" s="20">
        <v>46</v>
      </c>
      <c r="BT20" s="20">
        <v>9</v>
      </c>
      <c r="BU20" s="20">
        <v>55</v>
      </c>
      <c r="BV20" s="20">
        <v>94</v>
      </c>
      <c r="BW20" s="13"/>
      <c r="BX20" s="13"/>
      <c r="BY20" s="20" t="s">
        <v>49</v>
      </c>
      <c r="BZ20" s="20">
        <v>3</v>
      </c>
      <c r="CA20" s="20">
        <v>12</v>
      </c>
      <c r="CB20" s="20">
        <v>2</v>
      </c>
      <c r="CC20" s="20">
        <v>17</v>
      </c>
      <c r="CD20" s="20">
        <v>45</v>
      </c>
      <c r="CE20" s="20">
        <v>4</v>
      </c>
      <c r="CF20" s="20">
        <v>49</v>
      </c>
      <c r="CG20" s="20">
        <v>145</v>
      </c>
      <c r="CH20" s="13"/>
      <c r="CI20" s="13"/>
      <c r="CJ20" s="20" t="s">
        <v>49</v>
      </c>
      <c r="CK20" s="20">
        <v>9</v>
      </c>
      <c r="CL20" s="20">
        <v>21</v>
      </c>
      <c r="CM20" s="20">
        <v>1</v>
      </c>
      <c r="CN20" s="20">
        <v>31</v>
      </c>
      <c r="CO20" s="20">
        <v>97</v>
      </c>
      <c r="CP20" s="20">
        <v>21</v>
      </c>
      <c r="CQ20" s="20">
        <v>118</v>
      </c>
      <c r="CR20" s="20">
        <v>235</v>
      </c>
      <c r="CS20" s="13"/>
      <c r="CT20" s="13"/>
      <c r="CU20" s="20" t="s">
        <v>49</v>
      </c>
      <c r="CV20" s="20">
        <v>9</v>
      </c>
      <c r="CW20" s="20">
        <v>8</v>
      </c>
      <c r="CX20" s="20">
        <v>1</v>
      </c>
      <c r="CY20" s="20">
        <v>18</v>
      </c>
      <c r="CZ20" s="20">
        <v>58</v>
      </c>
      <c r="DA20" s="20">
        <v>11</v>
      </c>
      <c r="DB20" s="20">
        <v>69</v>
      </c>
      <c r="DC20" s="20">
        <v>123</v>
      </c>
      <c r="DD20" s="13"/>
      <c r="DE20" s="13"/>
      <c r="DF20" s="20" t="s">
        <v>49</v>
      </c>
      <c r="DG20" s="20">
        <v>6</v>
      </c>
      <c r="DH20" s="20">
        <v>11</v>
      </c>
      <c r="DI20" s="20">
        <v>3</v>
      </c>
      <c r="DJ20" s="20">
        <v>20</v>
      </c>
      <c r="DK20" s="20">
        <v>37</v>
      </c>
      <c r="DL20" s="20">
        <v>8</v>
      </c>
      <c r="DM20" s="20">
        <v>45</v>
      </c>
      <c r="DN20" s="20">
        <v>120</v>
      </c>
      <c r="DO20" s="13"/>
      <c r="DP20" s="13"/>
      <c r="DQ20" s="20" t="s">
        <v>49</v>
      </c>
      <c r="DR20" s="20">
        <v>7</v>
      </c>
      <c r="DS20" s="20">
        <v>10</v>
      </c>
      <c r="DT20" s="20">
        <v>3</v>
      </c>
      <c r="DU20" s="20">
        <v>20</v>
      </c>
      <c r="DV20" s="20">
        <v>107</v>
      </c>
      <c r="DW20" s="20">
        <v>10</v>
      </c>
      <c r="DX20" s="20">
        <v>117</v>
      </c>
      <c r="DY20" s="20">
        <v>211</v>
      </c>
      <c r="DZ20" s="13"/>
      <c r="EA20" s="13"/>
      <c r="EB20" s="19" t="s">
        <v>49</v>
      </c>
      <c r="EC20" s="19">
        <v>12</v>
      </c>
      <c r="ED20" s="19">
        <v>13</v>
      </c>
      <c r="EE20" s="19">
        <v>4</v>
      </c>
      <c r="EF20" s="19">
        <v>29</v>
      </c>
      <c r="EG20" s="19">
        <v>72</v>
      </c>
      <c r="EH20" s="19">
        <v>24</v>
      </c>
      <c r="EI20" s="19">
        <v>96</v>
      </c>
      <c r="EJ20" s="19">
        <v>197</v>
      </c>
      <c r="EK20" s="13"/>
      <c r="EL20" s="13"/>
      <c r="EM20" s="19" t="s">
        <v>49</v>
      </c>
      <c r="EN20" s="19">
        <v>18</v>
      </c>
      <c r="EO20" s="19">
        <v>13</v>
      </c>
      <c r="EP20" s="19">
        <v>3</v>
      </c>
      <c r="EQ20" s="19">
        <v>34</v>
      </c>
      <c r="ER20" s="19">
        <v>134</v>
      </c>
      <c r="ES20" s="19">
        <v>36</v>
      </c>
      <c r="ET20" s="19">
        <v>170</v>
      </c>
      <c r="EU20" s="19">
        <v>279</v>
      </c>
      <c r="EV20" s="13"/>
      <c r="EW20" s="13"/>
      <c r="EX20" s="19" t="s">
        <v>49</v>
      </c>
      <c r="EY20" s="19">
        <v>6</v>
      </c>
      <c r="EZ20" s="19">
        <v>6</v>
      </c>
      <c r="FA20" s="19">
        <v>0</v>
      </c>
      <c r="FB20" s="19">
        <v>12</v>
      </c>
      <c r="FC20" s="19">
        <v>74</v>
      </c>
      <c r="FD20" s="19">
        <v>21</v>
      </c>
      <c r="FE20" s="19">
        <v>95</v>
      </c>
      <c r="FF20" s="19">
        <v>127</v>
      </c>
      <c r="FG20" s="13"/>
      <c r="FH20" s="13"/>
      <c r="FI20" s="58" t="s">
        <v>49</v>
      </c>
      <c r="FJ20" s="65">
        <v>4</v>
      </c>
      <c r="FK20" s="65">
        <v>9</v>
      </c>
      <c r="FL20" s="65">
        <v>1</v>
      </c>
      <c r="FM20" s="65">
        <v>14</v>
      </c>
      <c r="FN20" s="65">
        <v>39</v>
      </c>
      <c r="FO20" s="65">
        <v>1</v>
      </c>
      <c r="FP20" s="65">
        <v>40</v>
      </c>
      <c r="FQ20" s="65">
        <v>93</v>
      </c>
      <c r="FR20" s="13"/>
      <c r="FS20" s="70" t="s">
        <v>49</v>
      </c>
      <c r="FT20" s="145">
        <v>6</v>
      </c>
      <c r="FU20" s="145">
        <v>14</v>
      </c>
      <c r="FV20" s="145">
        <v>1</v>
      </c>
      <c r="FW20" s="145">
        <v>21</v>
      </c>
      <c r="FX20" s="145">
        <v>55</v>
      </c>
      <c r="FY20" s="145">
        <v>12</v>
      </c>
      <c r="FZ20" s="145">
        <v>67</v>
      </c>
      <c r="GA20" s="145">
        <v>148</v>
      </c>
      <c r="GB20" s="13"/>
      <c r="GC20" s="70" t="s">
        <v>49</v>
      </c>
      <c r="GD20" s="71">
        <v>8</v>
      </c>
      <c r="GE20" s="71">
        <v>18</v>
      </c>
      <c r="GF20" s="71">
        <v>3</v>
      </c>
      <c r="GG20" s="71">
        <v>29</v>
      </c>
      <c r="GH20" s="71">
        <v>124</v>
      </c>
      <c r="GI20" s="71">
        <v>21</v>
      </c>
      <c r="GJ20" s="71">
        <v>145</v>
      </c>
      <c r="GK20" s="71">
        <v>264</v>
      </c>
      <c r="GL20" s="13"/>
      <c r="GM20" s="70" t="s">
        <v>49</v>
      </c>
      <c r="GN20" s="71">
        <v>6</v>
      </c>
      <c r="GO20" s="71">
        <v>23</v>
      </c>
      <c r="GP20" s="71">
        <v>2</v>
      </c>
      <c r="GQ20" s="71">
        <v>31</v>
      </c>
      <c r="GR20" s="71">
        <v>101</v>
      </c>
      <c r="GS20" s="71">
        <v>16</v>
      </c>
      <c r="GT20" s="71">
        <v>117</v>
      </c>
      <c r="GU20" s="71">
        <v>254</v>
      </c>
      <c r="GV20" s="146">
        <v>158.33333333333331</v>
      </c>
      <c r="GW20" s="147">
        <v>6.8965517241379306</v>
      </c>
    </row>
    <row r="21" spans="1:205" ht="15.5" thickBot="1">
      <c r="A21" s="19" t="s">
        <v>50</v>
      </c>
      <c r="B21" s="20">
        <v>27</v>
      </c>
      <c r="C21" s="20">
        <v>61</v>
      </c>
      <c r="D21" s="20">
        <v>4</v>
      </c>
      <c r="E21" s="20">
        <v>92</v>
      </c>
      <c r="F21" s="20">
        <v>318</v>
      </c>
      <c r="G21" s="20">
        <v>64</v>
      </c>
      <c r="H21" s="20">
        <v>382</v>
      </c>
      <c r="I21" s="20">
        <v>628</v>
      </c>
      <c r="J21" s="26"/>
      <c r="K21" s="19" t="s">
        <v>50</v>
      </c>
      <c r="L21" s="20">
        <v>15</v>
      </c>
      <c r="M21" s="20">
        <v>50</v>
      </c>
      <c r="N21" s="20">
        <v>2</v>
      </c>
      <c r="O21" s="20">
        <v>67</v>
      </c>
      <c r="P21" s="20">
        <v>264</v>
      </c>
      <c r="Q21" s="20">
        <v>35</v>
      </c>
      <c r="R21" s="20">
        <v>299</v>
      </c>
      <c r="S21" s="20">
        <v>443</v>
      </c>
      <c r="T21" s="13"/>
      <c r="U21" s="13"/>
      <c r="V21" s="19" t="s">
        <v>50</v>
      </c>
      <c r="W21" s="20">
        <v>22</v>
      </c>
      <c r="X21" s="20">
        <v>41</v>
      </c>
      <c r="Y21" s="20">
        <v>0</v>
      </c>
      <c r="Z21" s="20">
        <v>63</v>
      </c>
      <c r="AA21" s="20">
        <v>370</v>
      </c>
      <c r="AB21" s="20">
        <v>46</v>
      </c>
      <c r="AC21" s="20">
        <v>416</v>
      </c>
      <c r="AD21" s="20">
        <v>499</v>
      </c>
      <c r="AE21" s="45"/>
      <c r="AF21" s="45"/>
      <c r="AG21" s="50" t="s">
        <v>50</v>
      </c>
      <c r="AH21" s="20">
        <v>23</v>
      </c>
      <c r="AI21" s="20">
        <v>70</v>
      </c>
      <c r="AJ21" s="20">
        <v>1</v>
      </c>
      <c r="AK21" s="20">
        <v>94</v>
      </c>
      <c r="AL21" s="20">
        <v>312</v>
      </c>
      <c r="AM21" s="20">
        <v>65</v>
      </c>
      <c r="AN21" s="20">
        <v>377</v>
      </c>
      <c r="AO21" s="20">
        <v>560</v>
      </c>
      <c r="AP21" s="13"/>
      <c r="AQ21" s="13"/>
      <c r="AR21" s="20" t="s">
        <v>50</v>
      </c>
      <c r="AS21" s="20">
        <v>34</v>
      </c>
      <c r="AT21" s="20">
        <v>94</v>
      </c>
      <c r="AU21" s="20">
        <v>1</v>
      </c>
      <c r="AV21" s="20">
        <v>129</v>
      </c>
      <c r="AW21" s="20">
        <v>510</v>
      </c>
      <c r="AX21" s="20">
        <v>62</v>
      </c>
      <c r="AY21" s="20">
        <v>572</v>
      </c>
      <c r="AZ21" s="20">
        <v>858</v>
      </c>
      <c r="BA21" s="13"/>
      <c r="BB21" s="13"/>
      <c r="BC21" s="20" t="s">
        <v>50</v>
      </c>
      <c r="BD21" s="20">
        <v>18</v>
      </c>
      <c r="BE21" s="20">
        <v>83</v>
      </c>
      <c r="BF21" s="20">
        <v>1</v>
      </c>
      <c r="BG21" s="20">
        <v>102</v>
      </c>
      <c r="BH21" s="20">
        <v>417</v>
      </c>
      <c r="BI21" s="20">
        <v>37</v>
      </c>
      <c r="BJ21" s="20">
        <v>454</v>
      </c>
      <c r="BK21" s="20">
        <v>724</v>
      </c>
      <c r="BL21" s="13"/>
      <c r="BM21" s="13"/>
      <c r="BN21" s="20" t="s">
        <v>50</v>
      </c>
      <c r="BO21" s="20">
        <v>13</v>
      </c>
      <c r="BP21" s="20">
        <v>74</v>
      </c>
      <c r="BQ21" s="20">
        <v>1</v>
      </c>
      <c r="BR21" s="20">
        <v>88</v>
      </c>
      <c r="BS21" s="20">
        <v>333</v>
      </c>
      <c r="BT21" s="20">
        <v>46</v>
      </c>
      <c r="BU21" s="20">
        <v>379</v>
      </c>
      <c r="BV21" s="20">
        <v>594</v>
      </c>
      <c r="BW21" s="13"/>
      <c r="BX21" s="13"/>
      <c r="BY21" s="20" t="s">
        <v>50</v>
      </c>
      <c r="BZ21" s="20">
        <v>22</v>
      </c>
      <c r="CA21" s="20">
        <v>124</v>
      </c>
      <c r="CB21" s="20">
        <v>1</v>
      </c>
      <c r="CC21" s="20">
        <v>147</v>
      </c>
      <c r="CD21" s="20">
        <v>503</v>
      </c>
      <c r="CE21" s="20">
        <v>46</v>
      </c>
      <c r="CF21" s="20">
        <v>549</v>
      </c>
      <c r="CG21" s="20">
        <v>842</v>
      </c>
      <c r="CH21" s="13"/>
      <c r="CI21" s="13"/>
      <c r="CJ21" s="20" t="s">
        <v>50</v>
      </c>
      <c r="CK21" s="20">
        <v>44</v>
      </c>
      <c r="CL21" s="20">
        <v>134</v>
      </c>
      <c r="CM21" s="20">
        <v>1</v>
      </c>
      <c r="CN21" s="20">
        <v>179</v>
      </c>
      <c r="CO21" s="20">
        <v>624</v>
      </c>
      <c r="CP21" s="20">
        <v>44</v>
      </c>
      <c r="CQ21" s="20">
        <v>668</v>
      </c>
      <c r="CR21" s="20">
        <v>1043</v>
      </c>
      <c r="CS21" s="13"/>
      <c r="CT21" s="13"/>
      <c r="CU21" s="20" t="s">
        <v>50</v>
      </c>
      <c r="CV21" s="20">
        <v>23</v>
      </c>
      <c r="CW21" s="20">
        <v>105</v>
      </c>
      <c r="CX21" s="20">
        <v>1</v>
      </c>
      <c r="CY21" s="20">
        <v>129</v>
      </c>
      <c r="CZ21" s="20">
        <v>400</v>
      </c>
      <c r="DA21" s="20">
        <v>26</v>
      </c>
      <c r="DB21" s="20">
        <v>426</v>
      </c>
      <c r="DC21" s="20">
        <v>717</v>
      </c>
      <c r="DD21" s="13"/>
      <c r="DE21" s="13"/>
      <c r="DF21" s="20" t="s">
        <v>50</v>
      </c>
      <c r="DG21" s="20">
        <v>29</v>
      </c>
      <c r="DH21" s="20">
        <v>77</v>
      </c>
      <c r="DI21" s="20">
        <v>1</v>
      </c>
      <c r="DJ21" s="20">
        <v>107</v>
      </c>
      <c r="DK21" s="20">
        <v>291</v>
      </c>
      <c r="DL21" s="20">
        <v>53</v>
      </c>
      <c r="DM21" s="20">
        <v>344</v>
      </c>
      <c r="DN21" s="20">
        <v>591</v>
      </c>
      <c r="DO21" s="13"/>
      <c r="DP21" s="13"/>
      <c r="DQ21" s="20" t="s">
        <v>50</v>
      </c>
      <c r="DR21" s="20">
        <v>12</v>
      </c>
      <c r="DS21" s="20">
        <v>52</v>
      </c>
      <c r="DT21" s="20">
        <v>0</v>
      </c>
      <c r="DU21" s="20">
        <v>64</v>
      </c>
      <c r="DV21" s="20">
        <v>217</v>
      </c>
      <c r="DW21" s="20">
        <v>21</v>
      </c>
      <c r="DX21" s="20">
        <v>238</v>
      </c>
      <c r="DY21" s="20">
        <v>386</v>
      </c>
      <c r="DZ21" s="13"/>
      <c r="EA21" s="13"/>
      <c r="EB21" s="19" t="s">
        <v>50</v>
      </c>
      <c r="EC21" s="19">
        <v>18</v>
      </c>
      <c r="ED21" s="19">
        <v>93</v>
      </c>
      <c r="EE21" s="19">
        <v>3</v>
      </c>
      <c r="EF21" s="19">
        <v>114</v>
      </c>
      <c r="EG21" s="19">
        <v>460</v>
      </c>
      <c r="EH21" s="19">
        <v>36</v>
      </c>
      <c r="EI21" s="19">
        <v>496</v>
      </c>
      <c r="EJ21" s="19">
        <v>769</v>
      </c>
      <c r="EK21" s="13"/>
      <c r="EL21" s="13"/>
      <c r="EM21" s="19" t="s">
        <v>50</v>
      </c>
      <c r="EN21" s="19">
        <v>17</v>
      </c>
      <c r="EO21" s="19">
        <v>75</v>
      </c>
      <c r="EP21" s="19">
        <v>3</v>
      </c>
      <c r="EQ21" s="19">
        <v>95</v>
      </c>
      <c r="ER21" s="19">
        <v>308</v>
      </c>
      <c r="ES21" s="19">
        <v>41</v>
      </c>
      <c r="ET21" s="19">
        <v>349</v>
      </c>
      <c r="EU21" s="19">
        <v>526</v>
      </c>
      <c r="EV21" s="13"/>
      <c r="EW21" s="13"/>
      <c r="EX21" s="19" t="s">
        <v>50</v>
      </c>
      <c r="EY21" s="19">
        <v>17</v>
      </c>
      <c r="EZ21" s="19">
        <v>43</v>
      </c>
      <c r="FA21" s="19">
        <v>0</v>
      </c>
      <c r="FB21" s="19">
        <v>60</v>
      </c>
      <c r="FC21" s="19">
        <v>185</v>
      </c>
      <c r="FD21" s="19">
        <v>26</v>
      </c>
      <c r="FE21" s="19">
        <v>211</v>
      </c>
      <c r="FF21" s="19">
        <v>366</v>
      </c>
      <c r="FG21" s="13"/>
      <c r="FH21" s="13"/>
      <c r="FI21" s="58" t="s">
        <v>50</v>
      </c>
      <c r="FJ21" s="65">
        <v>28</v>
      </c>
      <c r="FK21" s="65">
        <v>89</v>
      </c>
      <c r="FL21" s="65">
        <v>0</v>
      </c>
      <c r="FM21" s="65">
        <v>117</v>
      </c>
      <c r="FN21" s="65">
        <v>539</v>
      </c>
      <c r="FO21" s="65">
        <v>73</v>
      </c>
      <c r="FP21" s="65">
        <v>612</v>
      </c>
      <c r="FQ21" s="65">
        <v>961</v>
      </c>
      <c r="FR21" s="13"/>
      <c r="FS21" s="70" t="s">
        <v>50</v>
      </c>
      <c r="FT21" s="145">
        <v>38</v>
      </c>
      <c r="FU21" s="145">
        <v>73</v>
      </c>
      <c r="FV21" s="145">
        <v>2</v>
      </c>
      <c r="FW21" s="145">
        <v>113</v>
      </c>
      <c r="FX21" s="145">
        <v>559</v>
      </c>
      <c r="FY21" s="145">
        <v>269</v>
      </c>
      <c r="FZ21" s="145">
        <v>828</v>
      </c>
      <c r="GA21" s="145">
        <v>1319</v>
      </c>
      <c r="GB21" s="13"/>
      <c r="GC21" s="70" t="s">
        <v>50</v>
      </c>
      <c r="GD21" s="71">
        <v>22</v>
      </c>
      <c r="GE21" s="71">
        <v>64</v>
      </c>
      <c r="GF21" s="71">
        <v>2</v>
      </c>
      <c r="GG21" s="71">
        <v>88</v>
      </c>
      <c r="GH21" s="71">
        <v>359</v>
      </c>
      <c r="GI21" s="71">
        <v>39</v>
      </c>
      <c r="GJ21" s="71">
        <v>398</v>
      </c>
      <c r="GK21" s="71">
        <v>921</v>
      </c>
      <c r="GL21" s="13"/>
      <c r="GM21" s="70" t="s">
        <v>50</v>
      </c>
      <c r="GN21" s="71">
        <v>17</v>
      </c>
      <c r="GO21" s="71">
        <v>75</v>
      </c>
      <c r="GP21" s="71">
        <v>10</v>
      </c>
      <c r="GQ21" s="71">
        <v>102</v>
      </c>
      <c r="GR21" s="71">
        <v>424</v>
      </c>
      <c r="GS21" s="71">
        <v>24</v>
      </c>
      <c r="GT21" s="71">
        <v>448</v>
      </c>
      <c r="GU21" s="71">
        <v>674</v>
      </c>
      <c r="GV21" s="146">
        <v>70</v>
      </c>
      <c r="GW21" s="147">
        <v>15.909090909090908</v>
      </c>
    </row>
    <row r="22" spans="1:205" ht="15.5" thickBot="1">
      <c r="A22" s="19" t="s">
        <v>51</v>
      </c>
      <c r="B22" s="20">
        <v>93</v>
      </c>
      <c r="C22" s="20">
        <v>175</v>
      </c>
      <c r="D22" s="20">
        <v>13</v>
      </c>
      <c r="E22" s="20">
        <v>281</v>
      </c>
      <c r="F22" s="20">
        <v>1010</v>
      </c>
      <c r="G22" s="20">
        <v>224</v>
      </c>
      <c r="H22" s="20">
        <v>1234</v>
      </c>
      <c r="I22" s="20">
        <v>2234</v>
      </c>
      <c r="J22" s="26"/>
      <c r="K22" s="19" t="s">
        <v>51</v>
      </c>
      <c r="L22" s="20">
        <v>104</v>
      </c>
      <c r="M22" s="20">
        <v>147</v>
      </c>
      <c r="N22" s="20">
        <v>5</v>
      </c>
      <c r="O22" s="20">
        <v>256</v>
      </c>
      <c r="P22" s="20">
        <v>1149</v>
      </c>
      <c r="Q22" s="20">
        <v>196</v>
      </c>
      <c r="R22" s="20">
        <v>1345</v>
      </c>
      <c r="S22" s="20">
        <v>2151</v>
      </c>
      <c r="T22" s="13"/>
      <c r="U22" s="13"/>
      <c r="V22" s="19" t="s">
        <v>51</v>
      </c>
      <c r="W22" s="20">
        <v>94</v>
      </c>
      <c r="X22" s="20">
        <v>126</v>
      </c>
      <c r="Y22" s="20">
        <v>2</v>
      </c>
      <c r="Z22" s="20">
        <v>222</v>
      </c>
      <c r="AA22" s="20">
        <v>837</v>
      </c>
      <c r="AB22" s="20">
        <v>217</v>
      </c>
      <c r="AC22" s="20">
        <v>1054</v>
      </c>
      <c r="AD22" s="20">
        <v>1790</v>
      </c>
      <c r="AE22" s="45"/>
      <c r="AF22" s="45"/>
      <c r="AG22" s="50" t="s">
        <v>51</v>
      </c>
      <c r="AH22" s="20">
        <v>58</v>
      </c>
      <c r="AI22" s="20">
        <v>111</v>
      </c>
      <c r="AJ22" s="20">
        <v>5</v>
      </c>
      <c r="AK22" s="20">
        <v>174</v>
      </c>
      <c r="AL22" s="20">
        <v>684</v>
      </c>
      <c r="AM22" s="20">
        <v>144</v>
      </c>
      <c r="AN22" s="20">
        <v>828</v>
      </c>
      <c r="AO22" s="20">
        <v>1471</v>
      </c>
      <c r="AP22" s="13"/>
      <c r="AQ22" s="13"/>
      <c r="AR22" s="20" t="s">
        <v>51</v>
      </c>
      <c r="AS22" s="20">
        <v>60</v>
      </c>
      <c r="AT22" s="20">
        <v>112</v>
      </c>
      <c r="AU22" s="20">
        <v>5</v>
      </c>
      <c r="AV22" s="20">
        <v>177</v>
      </c>
      <c r="AW22" s="20">
        <v>691</v>
      </c>
      <c r="AX22" s="20">
        <v>120</v>
      </c>
      <c r="AY22" s="20">
        <v>811</v>
      </c>
      <c r="AZ22" s="20">
        <v>1436</v>
      </c>
      <c r="BA22" s="13"/>
      <c r="BB22" s="13"/>
      <c r="BC22" s="20" t="s">
        <v>51</v>
      </c>
      <c r="BD22" s="20">
        <v>82</v>
      </c>
      <c r="BE22" s="20">
        <v>106</v>
      </c>
      <c r="BF22" s="20">
        <v>9</v>
      </c>
      <c r="BG22" s="20">
        <v>197</v>
      </c>
      <c r="BH22" s="20">
        <v>887</v>
      </c>
      <c r="BI22" s="20">
        <v>197</v>
      </c>
      <c r="BJ22" s="20">
        <v>1084</v>
      </c>
      <c r="BK22" s="20">
        <v>1818</v>
      </c>
      <c r="BL22" s="13"/>
      <c r="BM22" s="13"/>
      <c r="BN22" s="20" t="s">
        <v>51</v>
      </c>
      <c r="BO22" s="20">
        <v>73</v>
      </c>
      <c r="BP22" s="20">
        <v>106</v>
      </c>
      <c r="BQ22" s="20">
        <v>2</v>
      </c>
      <c r="BR22" s="20">
        <v>181</v>
      </c>
      <c r="BS22" s="20">
        <v>717</v>
      </c>
      <c r="BT22" s="20">
        <v>177</v>
      </c>
      <c r="BU22" s="20">
        <v>894</v>
      </c>
      <c r="BV22" s="20">
        <v>1586</v>
      </c>
      <c r="BW22" s="13"/>
      <c r="BX22" s="13"/>
      <c r="BY22" s="20" t="s">
        <v>51</v>
      </c>
      <c r="BZ22" s="20">
        <v>64</v>
      </c>
      <c r="CA22" s="20">
        <v>120</v>
      </c>
      <c r="CB22" s="20">
        <v>8</v>
      </c>
      <c r="CC22" s="20">
        <v>192</v>
      </c>
      <c r="CD22" s="20">
        <v>744</v>
      </c>
      <c r="CE22" s="20">
        <v>164</v>
      </c>
      <c r="CF22" s="20">
        <v>908</v>
      </c>
      <c r="CG22" s="20">
        <v>1462</v>
      </c>
      <c r="CH22" s="13"/>
      <c r="CI22" s="13"/>
      <c r="CJ22" s="20" t="s">
        <v>51</v>
      </c>
      <c r="CK22" s="20">
        <v>69</v>
      </c>
      <c r="CL22" s="20">
        <v>132</v>
      </c>
      <c r="CM22" s="20">
        <v>4</v>
      </c>
      <c r="CN22" s="20">
        <v>205</v>
      </c>
      <c r="CO22" s="20">
        <v>810</v>
      </c>
      <c r="CP22" s="20">
        <v>142</v>
      </c>
      <c r="CQ22" s="20">
        <v>952</v>
      </c>
      <c r="CR22" s="20">
        <v>1728</v>
      </c>
      <c r="CS22" s="13"/>
      <c r="CT22" s="13"/>
      <c r="CU22" s="20" t="s">
        <v>51</v>
      </c>
      <c r="CV22" s="20">
        <v>65</v>
      </c>
      <c r="CW22" s="20">
        <v>129</v>
      </c>
      <c r="CX22" s="20">
        <v>9</v>
      </c>
      <c r="CY22" s="20">
        <v>203</v>
      </c>
      <c r="CZ22" s="20">
        <v>782</v>
      </c>
      <c r="DA22" s="20">
        <v>139</v>
      </c>
      <c r="DB22" s="20">
        <v>921</v>
      </c>
      <c r="DC22" s="20">
        <v>1730</v>
      </c>
      <c r="DD22" s="13"/>
      <c r="DE22" s="13"/>
      <c r="DF22" s="20" t="s">
        <v>51</v>
      </c>
      <c r="DG22" s="20">
        <v>61</v>
      </c>
      <c r="DH22" s="20">
        <v>117</v>
      </c>
      <c r="DI22" s="20">
        <v>12</v>
      </c>
      <c r="DJ22" s="20">
        <v>190</v>
      </c>
      <c r="DK22" s="20">
        <v>755</v>
      </c>
      <c r="DL22" s="20">
        <v>119</v>
      </c>
      <c r="DM22" s="20">
        <v>874</v>
      </c>
      <c r="DN22" s="20">
        <v>1489</v>
      </c>
      <c r="DO22" s="13"/>
      <c r="DP22" s="13"/>
      <c r="DQ22" s="20" t="s">
        <v>51</v>
      </c>
      <c r="DR22" s="20">
        <v>42</v>
      </c>
      <c r="DS22" s="20">
        <v>71</v>
      </c>
      <c r="DT22" s="20">
        <v>4</v>
      </c>
      <c r="DU22" s="20">
        <v>117</v>
      </c>
      <c r="DV22" s="20">
        <v>481</v>
      </c>
      <c r="DW22" s="20">
        <v>82</v>
      </c>
      <c r="DX22" s="20">
        <v>563</v>
      </c>
      <c r="DY22" s="20">
        <v>1038</v>
      </c>
      <c r="DZ22" s="13"/>
      <c r="EA22" s="13"/>
      <c r="EB22" s="19" t="s">
        <v>51</v>
      </c>
      <c r="EC22" s="19">
        <v>71</v>
      </c>
      <c r="ED22" s="19">
        <v>131</v>
      </c>
      <c r="EE22" s="19">
        <v>7</v>
      </c>
      <c r="EF22" s="19">
        <v>209</v>
      </c>
      <c r="EG22" s="19">
        <v>889</v>
      </c>
      <c r="EH22" s="19">
        <v>150</v>
      </c>
      <c r="EI22" s="19">
        <v>1039</v>
      </c>
      <c r="EJ22" s="19">
        <v>1838</v>
      </c>
      <c r="EK22" s="13"/>
      <c r="EL22" s="13"/>
      <c r="EM22" s="19" t="s">
        <v>51</v>
      </c>
      <c r="EN22" s="19">
        <v>68</v>
      </c>
      <c r="EO22" s="19">
        <v>107</v>
      </c>
      <c r="EP22" s="19">
        <v>5</v>
      </c>
      <c r="EQ22" s="19">
        <v>180</v>
      </c>
      <c r="ER22" s="19">
        <v>828</v>
      </c>
      <c r="ES22" s="19">
        <v>171</v>
      </c>
      <c r="ET22" s="19">
        <v>999</v>
      </c>
      <c r="EU22" s="19">
        <v>1706</v>
      </c>
      <c r="EV22" s="13"/>
      <c r="EW22" s="13"/>
      <c r="EX22" s="19" t="s">
        <v>51</v>
      </c>
      <c r="EY22" s="19">
        <v>49</v>
      </c>
      <c r="EZ22" s="19">
        <v>106</v>
      </c>
      <c r="FA22" s="19">
        <v>2</v>
      </c>
      <c r="FB22" s="19">
        <v>157</v>
      </c>
      <c r="FC22" s="19">
        <v>765</v>
      </c>
      <c r="FD22" s="19">
        <v>124</v>
      </c>
      <c r="FE22" s="19">
        <v>889</v>
      </c>
      <c r="FF22" s="19">
        <v>1559</v>
      </c>
      <c r="FG22" s="13"/>
      <c r="FH22" s="13"/>
      <c r="FI22" s="58" t="s">
        <v>51</v>
      </c>
      <c r="FJ22" s="65">
        <v>36</v>
      </c>
      <c r="FK22" s="65">
        <v>82</v>
      </c>
      <c r="FL22" s="65">
        <v>6</v>
      </c>
      <c r="FM22" s="65">
        <v>124</v>
      </c>
      <c r="FN22" s="65">
        <v>504</v>
      </c>
      <c r="FO22" s="65">
        <v>106</v>
      </c>
      <c r="FP22" s="65">
        <v>610</v>
      </c>
      <c r="FQ22" s="65">
        <v>1200</v>
      </c>
      <c r="FR22" s="13"/>
      <c r="FS22" s="70" t="s">
        <v>51</v>
      </c>
      <c r="FT22" s="145">
        <v>68</v>
      </c>
      <c r="FU22" s="145">
        <v>116</v>
      </c>
      <c r="FV22" s="145">
        <v>7</v>
      </c>
      <c r="FW22" s="145">
        <v>191</v>
      </c>
      <c r="FX22" s="145">
        <v>909</v>
      </c>
      <c r="FY22" s="145">
        <v>174</v>
      </c>
      <c r="FZ22" s="145">
        <v>1083</v>
      </c>
      <c r="GA22" s="145">
        <v>1871</v>
      </c>
      <c r="GB22" s="13"/>
      <c r="GC22" s="70" t="s">
        <v>51</v>
      </c>
      <c r="GD22" s="71">
        <v>70</v>
      </c>
      <c r="GE22" s="71">
        <v>141</v>
      </c>
      <c r="GF22" s="71">
        <v>5</v>
      </c>
      <c r="GG22" s="71">
        <v>216</v>
      </c>
      <c r="GH22" s="71">
        <v>925</v>
      </c>
      <c r="GI22" s="71">
        <v>127</v>
      </c>
      <c r="GJ22" s="71">
        <v>1052</v>
      </c>
      <c r="GK22" s="71">
        <v>2113</v>
      </c>
      <c r="GL22" s="13"/>
      <c r="GM22" s="70" t="s">
        <v>51</v>
      </c>
      <c r="GN22" s="71">
        <v>65</v>
      </c>
      <c r="GO22" s="71">
        <v>128</v>
      </c>
      <c r="GP22" s="71">
        <v>5</v>
      </c>
      <c r="GQ22" s="71">
        <v>198</v>
      </c>
      <c r="GR22" s="71">
        <v>948</v>
      </c>
      <c r="GS22" s="71">
        <v>140</v>
      </c>
      <c r="GT22" s="71">
        <v>1088</v>
      </c>
      <c r="GU22" s="71">
        <v>2078</v>
      </c>
      <c r="GV22" s="146">
        <v>26.114649681528661</v>
      </c>
      <c r="GW22" s="147">
        <v>-8.3333333333333321</v>
      </c>
    </row>
    <row r="23" spans="1:205" ht="15.5" thickBot="1">
      <c r="A23" s="19" t="s">
        <v>52</v>
      </c>
      <c r="B23" s="20">
        <v>54</v>
      </c>
      <c r="C23" s="20">
        <v>46</v>
      </c>
      <c r="D23" s="20">
        <v>2</v>
      </c>
      <c r="E23" s="20">
        <v>102</v>
      </c>
      <c r="F23" s="20">
        <v>499</v>
      </c>
      <c r="G23" s="20">
        <v>194</v>
      </c>
      <c r="H23" s="20">
        <v>693</v>
      </c>
      <c r="I23" s="20">
        <v>1013</v>
      </c>
      <c r="J23" s="26"/>
      <c r="K23" s="19" t="s">
        <v>52</v>
      </c>
      <c r="L23" s="20">
        <v>33</v>
      </c>
      <c r="M23" s="20">
        <v>100</v>
      </c>
      <c r="N23" s="20">
        <v>4</v>
      </c>
      <c r="O23" s="20">
        <v>137</v>
      </c>
      <c r="P23" s="20">
        <v>604</v>
      </c>
      <c r="Q23" s="20">
        <v>100</v>
      </c>
      <c r="R23" s="20">
        <v>704</v>
      </c>
      <c r="S23" s="20">
        <v>1013</v>
      </c>
      <c r="T23" s="13"/>
      <c r="U23" s="13"/>
      <c r="V23" s="19" t="s">
        <v>52</v>
      </c>
      <c r="W23" s="20">
        <v>22</v>
      </c>
      <c r="X23" s="20">
        <v>47</v>
      </c>
      <c r="Y23" s="20">
        <v>1</v>
      </c>
      <c r="Z23" s="20">
        <v>70</v>
      </c>
      <c r="AA23" s="20">
        <v>286</v>
      </c>
      <c r="AB23" s="20">
        <v>57</v>
      </c>
      <c r="AC23" s="20">
        <v>343</v>
      </c>
      <c r="AD23" s="20">
        <v>480</v>
      </c>
      <c r="AE23" s="45"/>
      <c r="AF23" s="45"/>
      <c r="AG23" s="50" t="s">
        <v>52</v>
      </c>
      <c r="AH23" s="20">
        <v>15</v>
      </c>
      <c r="AI23" s="20">
        <v>17</v>
      </c>
      <c r="AJ23" s="20">
        <v>0</v>
      </c>
      <c r="AK23" s="20">
        <v>32</v>
      </c>
      <c r="AL23" s="20">
        <v>131</v>
      </c>
      <c r="AM23" s="20">
        <v>53</v>
      </c>
      <c r="AN23" s="20">
        <v>184</v>
      </c>
      <c r="AO23" s="20">
        <v>283</v>
      </c>
      <c r="AP23" s="13"/>
      <c r="AQ23" s="13"/>
      <c r="AR23" s="20" t="s">
        <v>52</v>
      </c>
      <c r="AS23" s="20">
        <v>21</v>
      </c>
      <c r="AT23" s="20">
        <v>19</v>
      </c>
      <c r="AU23" s="20">
        <v>0</v>
      </c>
      <c r="AV23" s="20">
        <v>40</v>
      </c>
      <c r="AW23" s="20">
        <v>190</v>
      </c>
      <c r="AX23" s="20">
        <v>40</v>
      </c>
      <c r="AY23" s="20">
        <v>230</v>
      </c>
      <c r="AZ23" s="20">
        <v>385</v>
      </c>
      <c r="BA23" s="13"/>
      <c r="BB23" s="13"/>
      <c r="BC23" s="20" t="s">
        <v>52</v>
      </c>
      <c r="BD23" s="20">
        <v>42</v>
      </c>
      <c r="BE23" s="20">
        <v>48</v>
      </c>
      <c r="BF23" s="20">
        <v>2</v>
      </c>
      <c r="BG23" s="20">
        <v>92</v>
      </c>
      <c r="BH23" s="20">
        <v>417</v>
      </c>
      <c r="BI23" s="20">
        <v>138</v>
      </c>
      <c r="BJ23" s="20">
        <v>555</v>
      </c>
      <c r="BK23" s="20">
        <v>782</v>
      </c>
      <c r="BL23" s="13"/>
      <c r="BM23" s="13"/>
      <c r="BN23" s="20" t="s">
        <v>52</v>
      </c>
      <c r="BO23" s="20">
        <v>37</v>
      </c>
      <c r="BP23" s="20">
        <v>53</v>
      </c>
      <c r="BQ23" s="20">
        <v>1</v>
      </c>
      <c r="BR23" s="20">
        <v>91</v>
      </c>
      <c r="BS23" s="20">
        <v>406</v>
      </c>
      <c r="BT23" s="20">
        <v>74</v>
      </c>
      <c r="BU23" s="20">
        <v>480</v>
      </c>
      <c r="BV23" s="20">
        <v>683</v>
      </c>
      <c r="BW23" s="13"/>
      <c r="BX23" s="13"/>
      <c r="BY23" s="20" t="s">
        <v>52</v>
      </c>
      <c r="BZ23" s="20">
        <v>34</v>
      </c>
      <c r="CA23" s="20">
        <v>65</v>
      </c>
      <c r="CB23" s="20">
        <v>5</v>
      </c>
      <c r="CC23" s="20">
        <v>104</v>
      </c>
      <c r="CD23" s="20">
        <v>330</v>
      </c>
      <c r="CE23" s="20">
        <v>57</v>
      </c>
      <c r="CF23" s="20">
        <v>387</v>
      </c>
      <c r="CG23" s="20">
        <v>631</v>
      </c>
      <c r="CH23" s="13"/>
      <c r="CI23" s="13"/>
      <c r="CJ23" s="20" t="s">
        <v>52</v>
      </c>
      <c r="CK23" s="20">
        <v>51</v>
      </c>
      <c r="CL23" s="20">
        <v>69</v>
      </c>
      <c r="CM23" s="20">
        <v>0</v>
      </c>
      <c r="CN23" s="20">
        <v>120</v>
      </c>
      <c r="CO23" s="20">
        <v>411</v>
      </c>
      <c r="CP23" s="20">
        <v>94</v>
      </c>
      <c r="CQ23" s="20">
        <v>505</v>
      </c>
      <c r="CR23" s="20">
        <v>781</v>
      </c>
      <c r="CS23" s="13"/>
      <c r="CT23" s="13"/>
      <c r="CU23" s="20" t="s">
        <v>52</v>
      </c>
      <c r="CV23" s="20">
        <v>23</v>
      </c>
      <c r="CW23" s="20">
        <v>39</v>
      </c>
      <c r="CX23" s="20">
        <v>4</v>
      </c>
      <c r="CY23" s="20">
        <v>66</v>
      </c>
      <c r="CZ23" s="20">
        <v>309</v>
      </c>
      <c r="DA23" s="20">
        <v>69</v>
      </c>
      <c r="DB23" s="20">
        <v>378</v>
      </c>
      <c r="DC23" s="20">
        <v>587</v>
      </c>
      <c r="DD23" s="13"/>
      <c r="DE23" s="13"/>
      <c r="DF23" s="20" t="s">
        <v>52</v>
      </c>
      <c r="DG23" s="20">
        <v>22</v>
      </c>
      <c r="DH23" s="20">
        <v>60</v>
      </c>
      <c r="DI23" s="20">
        <v>5</v>
      </c>
      <c r="DJ23" s="20">
        <v>87</v>
      </c>
      <c r="DK23" s="20">
        <v>272</v>
      </c>
      <c r="DL23" s="20">
        <v>46</v>
      </c>
      <c r="DM23" s="20">
        <v>318</v>
      </c>
      <c r="DN23" s="20">
        <v>556</v>
      </c>
      <c r="DO23" s="13"/>
      <c r="DP23" s="13"/>
      <c r="DQ23" s="20" t="s">
        <v>52</v>
      </c>
      <c r="DR23" s="20">
        <v>15</v>
      </c>
      <c r="DS23" s="20">
        <v>27</v>
      </c>
      <c r="DT23" s="20">
        <v>1</v>
      </c>
      <c r="DU23" s="20">
        <v>43</v>
      </c>
      <c r="DV23" s="20">
        <v>132</v>
      </c>
      <c r="DW23" s="20">
        <v>24</v>
      </c>
      <c r="DX23" s="20">
        <v>156</v>
      </c>
      <c r="DY23" s="20">
        <v>240</v>
      </c>
      <c r="DZ23" s="13"/>
      <c r="EA23" s="13"/>
      <c r="EB23" s="19" t="s">
        <v>52</v>
      </c>
      <c r="EC23" s="19">
        <v>23</v>
      </c>
      <c r="ED23" s="19">
        <v>35</v>
      </c>
      <c r="EE23" s="19">
        <v>1</v>
      </c>
      <c r="EF23" s="19">
        <v>59</v>
      </c>
      <c r="EG23" s="19">
        <v>265</v>
      </c>
      <c r="EH23" s="19">
        <v>62</v>
      </c>
      <c r="EI23" s="19">
        <v>327</v>
      </c>
      <c r="EJ23" s="19">
        <v>461</v>
      </c>
      <c r="EK23" s="13"/>
      <c r="EL23" s="13"/>
      <c r="EM23" s="19" t="s">
        <v>52</v>
      </c>
      <c r="EN23" s="19">
        <v>14</v>
      </c>
      <c r="EO23" s="19">
        <v>39</v>
      </c>
      <c r="EP23" s="19">
        <v>1</v>
      </c>
      <c r="EQ23" s="19">
        <v>54</v>
      </c>
      <c r="ER23" s="19">
        <v>236</v>
      </c>
      <c r="ES23" s="19">
        <v>30</v>
      </c>
      <c r="ET23" s="19">
        <v>266</v>
      </c>
      <c r="EU23" s="19">
        <v>495</v>
      </c>
      <c r="EV23" s="13"/>
      <c r="EW23" s="13"/>
      <c r="EX23" s="19" t="s">
        <v>52</v>
      </c>
      <c r="EY23" s="19">
        <v>24</v>
      </c>
      <c r="EZ23" s="19">
        <v>23</v>
      </c>
      <c r="FA23" s="19">
        <v>1</v>
      </c>
      <c r="FB23" s="19">
        <v>48</v>
      </c>
      <c r="FC23" s="19">
        <v>233</v>
      </c>
      <c r="FD23" s="19">
        <v>74</v>
      </c>
      <c r="FE23" s="19">
        <v>307</v>
      </c>
      <c r="FF23" s="19">
        <v>426</v>
      </c>
      <c r="FG23" s="13"/>
      <c r="FH23" s="13"/>
      <c r="FI23" s="58" t="s">
        <v>52</v>
      </c>
      <c r="FJ23" s="65">
        <v>14</v>
      </c>
      <c r="FK23" s="65">
        <v>20</v>
      </c>
      <c r="FL23" s="65">
        <v>1</v>
      </c>
      <c r="FM23" s="65">
        <v>35</v>
      </c>
      <c r="FN23" s="65">
        <v>177</v>
      </c>
      <c r="FO23" s="65">
        <v>59</v>
      </c>
      <c r="FP23" s="65">
        <v>236</v>
      </c>
      <c r="FQ23" s="65">
        <v>322</v>
      </c>
      <c r="FR23" s="13"/>
      <c r="FS23" s="70" t="s">
        <v>52</v>
      </c>
      <c r="FT23" s="145">
        <v>14</v>
      </c>
      <c r="FU23" s="145">
        <v>36</v>
      </c>
      <c r="FV23" s="145">
        <v>2</v>
      </c>
      <c r="FW23" s="145">
        <v>52</v>
      </c>
      <c r="FX23" s="145">
        <v>162</v>
      </c>
      <c r="FY23" s="145">
        <v>26</v>
      </c>
      <c r="FZ23" s="145">
        <v>188</v>
      </c>
      <c r="GA23" s="145">
        <v>312</v>
      </c>
      <c r="GB23" s="13"/>
      <c r="GC23" s="70" t="s">
        <v>52</v>
      </c>
      <c r="GD23" s="71">
        <v>29</v>
      </c>
      <c r="GE23" s="71">
        <v>39</v>
      </c>
      <c r="GF23" s="71">
        <v>2</v>
      </c>
      <c r="GG23" s="71">
        <v>70</v>
      </c>
      <c r="GH23" s="71">
        <v>371</v>
      </c>
      <c r="GI23" s="71">
        <v>82</v>
      </c>
      <c r="GJ23" s="71">
        <v>453</v>
      </c>
      <c r="GK23" s="71">
        <v>600</v>
      </c>
      <c r="GL23" s="13"/>
      <c r="GM23" s="70" t="s">
        <v>52</v>
      </c>
      <c r="GN23" s="71">
        <v>29</v>
      </c>
      <c r="GO23" s="71">
        <v>66</v>
      </c>
      <c r="GP23" s="71">
        <v>0</v>
      </c>
      <c r="GQ23" s="71">
        <v>95</v>
      </c>
      <c r="GR23" s="71">
        <v>382</v>
      </c>
      <c r="GS23" s="71">
        <v>83</v>
      </c>
      <c r="GT23" s="71">
        <v>465</v>
      </c>
      <c r="GU23" s="71">
        <v>622</v>
      </c>
      <c r="GV23" s="146">
        <v>97.916666666666657</v>
      </c>
      <c r="GW23" s="147">
        <v>35.714285714285715</v>
      </c>
    </row>
    <row r="24" spans="1:205" ht="15.5" thickBot="1">
      <c r="A24" s="19" t="s">
        <v>53</v>
      </c>
      <c r="B24" s="20">
        <v>19</v>
      </c>
      <c r="C24" s="20">
        <v>54</v>
      </c>
      <c r="D24" s="20">
        <v>4</v>
      </c>
      <c r="E24" s="20">
        <v>77</v>
      </c>
      <c r="F24" s="20">
        <v>277</v>
      </c>
      <c r="G24" s="20">
        <v>39</v>
      </c>
      <c r="H24" s="20">
        <v>316</v>
      </c>
      <c r="I24" s="20">
        <v>421</v>
      </c>
      <c r="J24" s="26"/>
      <c r="K24" s="19" t="s">
        <v>53</v>
      </c>
      <c r="L24" s="20">
        <v>19</v>
      </c>
      <c r="M24" s="20">
        <v>52</v>
      </c>
      <c r="N24" s="20">
        <v>0</v>
      </c>
      <c r="O24" s="20">
        <v>71</v>
      </c>
      <c r="P24" s="20">
        <v>287</v>
      </c>
      <c r="Q24" s="20">
        <v>29</v>
      </c>
      <c r="R24" s="20">
        <v>316</v>
      </c>
      <c r="S24" s="20">
        <v>469</v>
      </c>
      <c r="T24" s="13"/>
      <c r="U24" s="13"/>
      <c r="V24" s="19" t="s">
        <v>53</v>
      </c>
      <c r="W24" s="20">
        <v>20</v>
      </c>
      <c r="X24" s="20">
        <v>19</v>
      </c>
      <c r="Y24" s="20">
        <v>0</v>
      </c>
      <c r="Z24" s="20">
        <v>39</v>
      </c>
      <c r="AA24" s="20">
        <v>148</v>
      </c>
      <c r="AB24" s="20">
        <v>40</v>
      </c>
      <c r="AC24" s="20">
        <v>188</v>
      </c>
      <c r="AD24" s="20">
        <v>229</v>
      </c>
      <c r="AE24" s="45"/>
      <c r="AF24" s="45"/>
      <c r="AG24" s="50" t="s">
        <v>53</v>
      </c>
      <c r="AH24" s="20">
        <v>15</v>
      </c>
      <c r="AI24" s="20">
        <v>3</v>
      </c>
      <c r="AJ24" s="20">
        <v>0</v>
      </c>
      <c r="AK24" s="20">
        <v>18</v>
      </c>
      <c r="AL24" s="20">
        <v>98</v>
      </c>
      <c r="AM24" s="20">
        <v>33</v>
      </c>
      <c r="AN24" s="20">
        <v>131</v>
      </c>
      <c r="AO24" s="20">
        <v>138</v>
      </c>
      <c r="AP24" s="13"/>
      <c r="AQ24" s="13"/>
      <c r="AR24" s="20" t="s">
        <v>53</v>
      </c>
      <c r="AS24" s="20">
        <v>6</v>
      </c>
      <c r="AT24" s="20">
        <v>4</v>
      </c>
      <c r="AU24" s="20">
        <v>0</v>
      </c>
      <c r="AV24" s="20">
        <v>10</v>
      </c>
      <c r="AW24" s="20">
        <v>38</v>
      </c>
      <c r="AX24" s="20">
        <v>13</v>
      </c>
      <c r="AY24" s="20">
        <v>51</v>
      </c>
      <c r="AZ24" s="20">
        <v>73</v>
      </c>
      <c r="BA24" s="13"/>
      <c r="BB24" s="13"/>
      <c r="BC24" s="20" t="s">
        <v>53</v>
      </c>
      <c r="BD24" s="20">
        <v>12</v>
      </c>
      <c r="BE24" s="20">
        <v>1</v>
      </c>
      <c r="BF24" s="20">
        <v>0</v>
      </c>
      <c r="BG24" s="20">
        <v>13</v>
      </c>
      <c r="BH24" s="20">
        <v>76</v>
      </c>
      <c r="BI24" s="20">
        <v>37</v>
      </c>
      <c r="BJ24" s="20">
        <v>113</v>
      </c>
      <c r="BK24" s="20">
        <v>143</v>
      </c>
      <c r="BL24" s="13"/>
      <c r="BM24" s="13"/>
      <c r="BN24" s="20" t="s">
        <v>53</v>
      </c>
      <c r="BO24" s="20">
        <v>14</v>
      </c>
      <c r="BP24" s="20">
        <v>12</v>
      </c>
      <c r="BQ24" s="20">
        <v>0</v>
      </c>
      <c r="BR24" s="20">
        <v>26</v>
      </c>
      <c r="BS24" s="20">
        <v>131</v>
      </c>
      <c r="BT24" s="20">
        <v>22</v>
      </c>
      <c r="BU24" s="20">
        <v>153</v>
      </c>
      <c r="BV24" s="20">
        <v>197</v>
      </c>
      <c r="BW24" s="13"/>
      <c r="BX24" s="13"/>
      <c r="BY24" s="20" t="s">
        <v>53</v>
      </c>
      <c r="BZ24" s="20">
        <v>26</v>
      </c>
      <c r="CA24" s="20">
        <v>28</v>
      </c>
      <c r="CB24" s="20">
        <v>0</v>
      </c>
      <c r="CC24" s="20">
        <v>54</v>
      </c>
      <c r="CD24" s="20">
        <v>221</v>
      </c>
      <c r="CE24" s="20">
        <v>77</v>
      </c>
      <c r="CF24" s="20">
        <v>298</v>
      </c>
      <c r="CG24" s="20">
        <v>417</v>
      </c>
      <c r="CH24" s="13"/>
      <c r="CI24" s="13"/>
      <c r="CJ24" s="20" t="s">
        <v>53</v>
      </c>
      <c r="CK24" s="20">
        <v>14</v>
      </c>
      <c r="CL24" s="20">
        <v>22</v>
      </c>
      <c r="CM24" s="20">
        <v>0</v>
      </c>
      <c r="CN24" s="20">
        <v>36</v>
      </c>
      <c r="CO24" s="20">
        <v>169</v>
      </c>
      <c r="CP24" s="20">
        <v>32</v>
      </c>
      <c r="CQ24" s="20">
        <v>201</v>
      </c>
      <c r="CR24" s="20">
        <v>278</v>
      </c>
      <c r="CS24" s="13"/>
      <c r="CT24" s="13"/>
      <c r="CU24" s="20" t="s">
        <v>53</v>
      </c>
      <c r="CV24" s="20">
        <v>13</v>
      </c>
      <c r="CW24" s="20">
        <v>10</v>
      </c>
      <c r="CX24" s="20">
        <v>0</v>
      </c>
      <c r="CY24" s="20">
        <v>23</v>
      </c>
      <c r="CZ24" s="20">
        <v>143</v>
      </c>
      <c r="DA24" s="20">
        <v>29</v>
      </c>
      <c r="DB24" s="20">
        <v>172</v>
      </c>
      <c r="DC24" s="20">
        <v>206</v>
      </c>
      <c r="DD24" s="13"/>
      <c r="DE24" s="13"/>
      <c r="DF24" s="20" t="s">
        <v>53</v>
      </c>
      <c r="DG24" s="20">
        <v>17</v>
      </c>
      <c r="DH24" s="20">
        <v>20</v>
      </c>
      <c r="DI24" s="20">
        <v>0</v>
      </c>
      <c r="DJ24" s="20">
        <v>37</v>
      </c>
      <c r="DK24" s="20">
        <v>131</v>
      </c>
      <c r="DL24" s="20">
        <v>34</v>
      </c>
      <c r="DM24" s="20">
        <v>165</v>
      </c>
      <c r="DN24" s="20">
        <v>242</v>
      </c>
      <c r="DO24" s="13"/>
      <c r="DP24" s="13"/>
      <c r="DQ24" s="20" t="s">
        <v>53</v>
      </c>
      <c r="DR24" s="20">
        <v>6</v>
      </c>
      <c r="DS24" s="20">
        <v>12</v>
      </c>
      <c r="DT24" s="20">
        <v>0</v>
      </c>
      <c r="DU24" s="20">
        <v>18</v>
      </c>
      <c r="DV24" s="20">
        <v>78</v>
      </c>
      <c r="DW24" s="20">
        <v>13</v>
      </c>
      <c r="DX24" s="20">
        <v>91</v>
      </c>
      <c r="DY24" s="20">
        <v>132</v>
      </c>
      <c r="DZ24" s="13"/>
      <c r="EA24" s="13"/>
      <c r="EB24" s="19" t="s">
        <v>53</v>
      </c>
      <c r="EC24" s="19">
        <v>13</v>
      </c>
      <c r="ED24" s="19">
        <v>27</v>
      </c>
      <c r="EE24" s="19">
        <v>0</v>
      </c>
      <c r="EF24" s="19">
        <v>40</v>
      </c>
      <c r="EG24" s="19">
        <v>207</v>
      </c>
      <c r="EH24" s="19">
        <v>45</v>
      </c>
      <c r="EI24" s="19">
        <v>252</v>
      </c>
      <c r="EJ24" s="19">
        <v>356</v>
      </c>
      <c r="EK24" s="13"/>
      <c r="EL24" s="13"/>
      <c r="EM24" s="19" t="s">
        <v>53</v>
      </c>
      <c r="EN24" s="19">
        <v>16</v>
      </c>
      <c r="EO24" s="19">
        <v>19</v>
      </c>
      <c r="EP24" s="19">
        <v>0</v>
      </c>
      <c r="EQ24" s="19">
        <v>35</v>
      </c>
      <c r="ER24" s="19">
        <v>133</v>
      </c>
      <c r="ES24" s="19">
        <v>38</v>
      </c>
      <c r="ET24" s="19">
        <v>171</v>
      </c>
      <c r="EU24" s="19">
        <v>242</v>
      </c>
      <c r="EV24" s="13"/>
      <c r="EW24" s="13"/>
      <c r="EX24" s="19" t="s">
        <v>53</v>
      </c>
      <c r="EY24" s="19">
        <v>10</v>
      </c>
      <c r="EZ24" s="19">
        <v>16</v>
      </c>
      <c r="FA24" s="19">
        <v>0</v>
      </c>
      <c r="FB24" s="19">
        <v>26</v>
      </c>
      <c r="FC24" s="19">
        <v>107</v>
      </c>
      <c r="FD24" s="19">
        <v>18</v>
      </c>
      <c r="FE24" s="19">
        <v>125</v>
      </c>
      <c r="FF24" s="19">
        <v>226</v>
      </c>
      <c r="FG24" s="13"/>
      <c r="FH24" s="13"/>
      <c r="FI24" s="58" t="s">
        <v>53</v>
      </c>
      <c r="FJ24" s="65">
        <v>8</v>
      </c>
      <c r="FK24" s="65">
        <v>9</v>
      </c>
      <c r="FL24" s="65">
        <v>0</v>
      </c>
      <c r="FM24" s="65">
        <v>17</v>
      </c>
      <c r="FN24" s="65">
        <v>90</v>
      </c>
      <c r="FO24" s="65">
        <v>26</v>
      </c>
      <c r="FP24" s="65">
        <v>116</v>
      </c>
      <c r="FQ24" s="65">
        <v>123</v>
      </c>
      <c r="FR24" s="13"/>
      <c r="FS24" s="70" t="s">
        <v>53</v>
      </c>
      <c r="FT24" s="145">
        <v>10</v>
      </c>
      <c r="FU24" s="145">
        <v>17</v>
      </c>
      <c r="FV24" s="145">
        <v>1</v>
      </c>
      <c r="FW24" s="145">
        <v>28</v>
      </c>
      <c r="FX24" s="145">
        <v>148</v>
      </c>
      <c r="FY24" s="145">
        <v>42</v>
      </c>
      <c r="FZ24" s="145">
        <v>190</v>
      </c>
      <c r="GA24" s="145">
        <v>264</v>
      </c>
      <c r="GB24" s="13"/>
      <c r="GC24" s="70" t="s">
        <v>53</v>
      </c>
      <c r="GD24" s="71">
        <v>14</v>
      </c>
      <c r="GE24" s="71">
        <v>23</v>
      </c>
      <c r="GF24" s="71">
        <v>0</v>
      </c>
      <c r="GG24" s="71">
        <v>37</v>
      </c>
      <c r="GH24" s="71">
        <v>339</v>
      </c>
      <c r="GI24" s="71">
        <v>56</v>
      </c>
      <c r="GJ24" s="71">
        <v>395</v>
      </c>
      <c r="GK24" s="71">
        <v>558</v>
      </c>
      <c r="GL24" s="13"/>
      <c r="GM24" s="70" t="s">
        <v>53</v>
      </c>
      <c r="GN24" s="71">
        <v>8</v>
      </c>
      <c r="GO24" s="71">
        <v>10</v>
      </c>
      <c r="GP24" s="71">
        <v>0</v>
      </c>
      <c r="GQ24" s="71">
        <v>18</v>
      </c>
      <c r="GR24" s="71">
        <v>104</v>
      </c>
      <c r="GS24" s="71">
        <v>22</v>
      </c>
      <c r="GT24" s="71">
        <v>126</v>
      </c>
      <c r="GU24" s="71">
        <v>169</v>
      </c>
      <c r="GV24" s="146">
        <v>-30.76923076923077</v>
      </c>
      <c r="GW24" s="147">
        <v>-51.351351351351347</v>
      </c>
    </row>
    <row r="25" spans="1:205" ht="15.5" thickBot="1">
      <c r="A25" s="19" t="s">
        <v>54</v>
      </c>
      <c r="B25" s="20">
        <v>21</v>
      </c>
      <c r="C25" s="20">
        <v>33</v>
      </c>
      <c r="D25" s="20">
        <v>4</v>
      </c>
      <c r="E25" s="20">
        <v>58</v>
      </c>
      <c r="F25" s="20">
        <v>222</v>
      </c>
      <c r="G25" s="20">
        <v>56</v>
      </c>
      <c r="H25" s="20">
        <v>278</v>
      </c>
      <c r="I25" s="20">
        <v>387</v>
      </c>
      <c r="J25" s="26"/>
      <c r="K25" s="19" t="s">
        <v>54</v>
      </c>
      <c r="L25" s="20">
        <v>13</v>
      </c>
      <c r="M25" s="20">
        <v>31</v>
      </c>
      <c r="N25" s="20">
        <v>0</v>
      </c>
      <c r="O25" s="20">
        <v>44</v>
      </c>
      <c r="P25" s="20">
        <v>139</v>
      </c>
      <c r="Q25" s="20">
        <v>21</v>
      </c>
      <c r="R25" s="20">
        <v>160</v>
      </c>
      <c r="S25" s="20">
        <v>263</v>
      </c>
      <c r="T25" s="13"/>
      <c r="U25" s="13"/>
      <c r="V25" s="19" t="s">
        <v>54</v>
      </c>
      <c r="W25" s="20">
        <v>4</v>
      </c>
      <c r="X25" s="20">
        <v>47</v>
      </c>
      <c r="Y25" s="20">
        <v>2</v>
      </c>
      <c r="Z25" s="20">
        <v>53</v>
      </c>
      <c r="AA25" s="20">
        <v>130</v>
      </c>
      <c r="AB25" s="20">
        <v>4</v>
      </c>
      <c r="AC25" s="20">
        <v>134</v>
      </c>
      <c r="AD25" s="20">
        <v>220</v>
      </c>
      <c r="AE25" s="45"/>
      <c r="AF25" s="45"/>
      <c r="AG25" s="50" t="s">
        <v>54</v>
      </c>
      <c r="AH25" s="20">
        <v>15</v>
      </c>
      <c r="AI25" s="20">
        <v>39</v>
      </c>
      <c r="AJ25" s="20">
        <v>0</v>
      </c>
      <c r="AK25" s="20">
        <v>54</v>
      </c>
      <c r="AL25" s="20">
        <v>159</v>
      </c>
      <c r="AM25" s="20">
        <v>59</v>
      </c>
      <c r="AN25" s="20">
        <v>218</v>
      </c>
      <c r="AO25" s="20">
        <v>312</v>
      </c>
      <c r="AP25" s="13"/>
      <c r="AQ25" s="13"/>
      <c r="AR25" s="20" t="s">
        <v>54</v>
      </c>
      <c r="AS25" s="20">
        <v>16</v>
      </c>
      <c r="AT25" s="20">
        <v>44</v>
      </c>
      <c r="AU25" s="20">
        <v>2</v>
      </c>
      <c r="AV25" s="20">
        <v>62</v>
      </c>
      <c r="AW25" s="20">
        <v>248</v>
      </c>
      <c r="AX25" s="20">
        <v>28</v>
      </c>
      <c r="AY25" s="20">
        <v>276</v>
      </c>
      <c r="AZ25" s="20">
        <v>378</v>
      </c>
      <c r="BA25" s="13"/>
      <c r="BB25" s="13"/>
      <c r="BC25" s="20" t="s">
        <v>54</v>
      </c>
      <c r="BD25" s="20">
        <v>7</v>
      </c>
      <c r="BE25" s="20">
        <v>46</v>
      </c>
      <c r="BF25" s="20">
        <v>4</v>
      </c>
      <c r="BG25" s="20">
        <v>57</v>
      </c>
      <c r="BH25" s="20">
        <v>229</v>
      </c>
      <c r="BI25" s="20">
        <v>22</v>
      </c>
      <c r="BJ25" s="20">
        <v>251</v>
      </c>
      <c r="BK25" s="20">
        <v>350</v>
      </c>
      <c r="BL25" s="13"/>
      <c r="BM25" s="13"/>
      <c r="BN25" s="20" t="s">
        <v>54</v>
      </c>
      <c r="BO25" s="20">
        <v>10</v>
      </c>
      <c r="BP25" s="20">
        <v>29</v>
      </c>
      <c r="BQ25" s="20">
        <v>0</v>
      </c>
      <c r="BR25" s="20">
        <v>39</v>
      </c>
      <c r="BS25" s="20">
        <v>138</v>
      </c>
      <c r="BT25" s="20">
        <v>13</v>
      </c>
      <c r="BU25" s="20">
        <v>151</v>
      </c>
      <c r="BV25" s="20">
        <v>180</v>
      </c>
      <c r="BW25" s="13"/>
      <c r="BX25" s="13"/>
      <c r="BY25" s="20" t="s">
        <v>54</v>
      </c>
      <c r="BZ25" s="20">
        <v>16</v>
      </c>
      <c r="CA25" s="20">
        <v>36</v>
      </c>
      <c r="CB25" s="20">
        <v>0</v>
      </c>
      <c r="CC25" s="20">
        <v>52</v>
      </c>
      <c r="CD25" s="20">
        <v>154</v>
      </c>
      <c r="CE25" s="20">
        <v>39</v>
      </c>
      <c r="CF25" s="20">
        <v>193</v>
      </c>
      <c r="CG25" s="20">
        <v>259</v>
      </c>
      <c r="CH25" s="13"/>
      <c r="CI25" s="13"/>
      <c r="CJ25" s="20" t="s">
        <v>54</v>
      </c>
      <c r="CK25" s="20">
        <v>16</v>
      </c>
      <c r="CL25" s="20">
        <v>28</v>
      </c>
      <c r="CM25" s="20">
        <v>0</v>
      </c>
      <c r="CN25" s="20">
        <v>44</v>
      </c>
      <c r="CO25" s="20">
        <v>186</v>
      </c>
      <c r="CP25" s="20">
        <v>43</v>
      </c>
      <c r="CQ25" s="20">
        <v>229</v>
      </c>
      <c r="CR25" s="20">
        <v>391</v>
      </c>
      <c r="CS25" s="13"/>
      <c r="CT25" s="13"/>
      <c r="CU25" s="20" t="s">
        <v>54</v>
      </c>
      <c r="CV25" s="20">
        <v>9</v>
      </c>
      <c r="CW25" s="20">
        <v>18</v>
      </c>
      <c r="CX25" s="20">
        <v>0</v>
      </c>
      <c r="CY25" s="20">
        <v>27</v>
      </c>
      <c r="CZ25" s="20">
        <v>128</v>
      </c>
      <c r="DA25" s="20">
        <v>62</v>
      </c>
      <c r="DB25" s="20">
        <v>190</v>
      </c>
      <c r="DC25" s="20">
        <v>252</v>
      </c>
      <c r="DD25" s="13"/>
      <c r="DE25" s="13"/>
      <c r="DF25" s="20" t="s">
        <v>54</v>
      </c>
      <c r="DG25" s="20">
        <v>10</v>
      </c>
      <c r="DH25" s="20">
        <v>25</v>
      </c>
      <c r="DI25" s="20">
        <v>2</v>
      </c>
      <c r="DJ25" s="20">
        <v>37</v>
      </c>
      <c r="DK25" s="20">
        <v>89</v>
      </c>
      <c r="DL25" s="20">
        <v>24</v>
      </c>
      <c r="DM25" s="20">
        <v>113</v>
      </c>
      <c r="DN25" s="20">
        <v>207</v>
      </c>
      <c r="DO25" s="13"/>
      <c r="DP25" s="13"/>
      <c r="DQ25" s="20" t="s">
        <v>54</v>
      </c>
      <c r="DR25" s="20">
        <v>0</v>
      </c>
      <c r="DS25" s="20">
        <v>10</v>
      </c>
      <c r="DT25" s="20">
        <v>0</v>
      </c>
      <c r="DU25" s="20">
        <v>10</v>
      </c>
      <c r="DV25" s="20">
        <v>14</v>
      </c>
      <c r="DW25" s="20">
        <v>0</v>
      </c>
      <c r="DX25" s="20">
        <v>14</v>
      </c>
      <c r="DY25" s="20">
        <v>21</v>
      </c>
      <c r="DZ25" s="13"/>
      <c r="EA25" s="13"/>
      <c r="EB25" s="19" t="s">
        <v>54</v>
      </c>
      <c r="EC25" s="19">
        <v>15</v>
      </c>
      <c r="ED25" s="19">
        <v>35</v>
      </c>
      <c r="EE25" s="19">
        <v>0</v>
      </c>
      <c r="EF25" s="19">
        <v>50</v>
      </c>
      <c r="EG25" s="19">
        <v>219</v>
      </c>
      <c r="EH25" s="19">
        <v>40</v>
      </c>
      <c r="EI25" s="19">
        <v>259</v>
      </c>
      <c r="EJ25" s="19">
        <v>606</v>
      </c>
      <c r="EK25" s="13"/>
      <c r="EL25" s="13"/>
      <c r="EM25" s="19" t="s">
        <v>54</v>
      </c>
      <c r="EN25" s="19">
        <v>11</v>
      </c>
      <c r="EO25" s="19">
        <v>22</v>
      </c>
      <c r="EP25" s="19">
        <v>0</v>
      </c>
      <c r="EQ25" s="19">
        <v>33</v>
      </c>
      <c r="ER25" s="19">
        <v>250</v>
      </c>
      <c r="ES25" s="19">
        <v>41</v>
      </c>
      <c r="ET25" s="19">
        <v>291</v>
      </c>
      <c r="EU25" s="19">
        <v>449</v>
      </c>
      <c r="EV25" s="13"/>
      <c r="EW25" s="13"/>
      <c r="EX25" s="19" t="s">
        <v>54</v>
      </c>
      <c r="EY25" s="19">
        <v>11</v>
      </c>
      <c r="EZ25" s="19">
        <v>16</v>
      </c>
      <c r="FA25" s="19">
        <v>0</v>
      </c>
      <c r="FB25" s="19">
        <v>27</v>
      </c>
      <c r="FC25" s="19">
        <v>65</v>
      </c>
      <c r="FD25" s="19">
        <v>16</v>
      </c>
      <c r="FE25" s="19">
        <v>81</v>
      </c>
      <c r="FF25" s="19">
        <v>161</v>
      </c>
      <c r="FG25" s="13"/>
      <c r="FH25" s="13"/>
      <c r="FI25" s="58" t="s">
        <v>54</v>
      </c>
      <c r="FJ25" s="65">
        <v>9</v>
      </c>
      <c r="FK25" s="65">
        <v>20</v>
      </c>
      <c r="FL25" s="65">
        <v>1</v>
      </c>
      <c r="FM25" s="65">
        <v>30</v>
      </c>
      <c r="FN25" s="65">
        <v>99</v>
      </c>
      <c r="FO25" s="65">
        <v>32</v>
      </c>
      <c r="FP25" s="65">
        <v>131</v>
      </c>
      <c r="FQ25" s="65">
        <v>274</v>
      </c>
      <c r="FR25" s="13"/>
      <c r="FS25" s="70" t="s">
        <v>54</v>
      </c>
      <c r="FT25" s="145">
        <v>13</v>
      </c>
      <c r="FU25" s="145">
        <v>27</v>
      </c>
      <c r="FV25" s="145">
        <v>0</v>
      </c>
      <c r="FW25" s="145">
        <v>40</v>
      </c>
      <c r="FX25" s="145">
        <v>210</v>
      </c>
      <c r="FY25" s="145">
        <v>26</v>
      </c>
      <c r="FZ25" s="145">
        <v>236</v>
      </c>
      <c r="GA25" s="145">
        <v>322</v>
      </c>
      <c r="GB25" s="13"/>
      <c r="GC25" s="70" t="s">
        <v>54</v>
      </c>
      <c r="GD25" s="71">
        <v>18</v>
      </c>
      <c r="GE25" s="71">
        <v>20</v>
      </c>
      <c r="GF25" s="71">
        <v>0</v>
      </c>
      <c r="GG25" s="71">
        <v>38</v>
      </c>
      <c r="GH25" s="71">
        <v>161</v>
      </c>
      <c r="GI25" s="71">
        <v>39</v>
      </c>
      <c r="GJ25" s="71">
        <v>200</v>
      </c>
      <c r="GK25" s="71">
        <v>284</v>
      </c>
      <c r="GL25" s="13"/>
      <c r="GM25" s="70" t="s">
        <v>54</v>
      </c>
      <c r="GN25" s="71">
        <v>11</v>
      </c>
      <c r="GO25" s="71">
        <v>22</v>
      </c>
      <c r="GP25" s="71">
        <v>0</v>
      </c>
      <c r="GQ25" s="71">
        <v>33</v>
      </c>
      <c r="GR25" s="71">
        <v>179</v>
      </c>
      <c r="GS25" s="71">
        <v>18</v>
      </c>
      <c r="GT25" s="71">
        <v>197</v>
      </c>
      <c r="GU25" s="71">
        <v>351</v>
      </c>
      <c r="GV25" s="146">
        <v>22.222222222222221</v>
      </c>
      <c r="GW25" s="147">
        <v>-13.157894736842104</v>
      </c>
    </row>
    <row r="26" spans="1:205" ht="15.5" thickBot="1">
      <c r="A26" s="19" t="s">
        <v>55</v>
      </c>
      <c r="B26" s="20">
        <v>23</v>
      </c>
      <c r="C26" s="20">
        <v>82</v>
      </c>
      <c r="D26" s="20">
        <v>17</v>
      </c>
      <c r="E26" s="20">
        <v>122</v>
      </c>
      <c r="F26" s="20">
        <v>335</v>
      </c>
      <c r="G26" s="20">
        <v>55</v>
      </c>
      <c r="H26" s="20">
        <v>390</v>
      </c>
      <c r="I26" s="20">
        <v>851</v>
      </c>
      <c r="J26" s="26"/>
      <c r="K26" s="19" t="s">
        <v>55</v>
      </c>
      <c r="L26" s="20">
        <v>38</v>
      </c>
      <c r="M26" s="20">
        <v>83</v>
      </c>
      <c r="N26" s="20">
        <v>22</v>
      </c>
      <c r="O26" s="20">
        <v>143</v>
      </c>
      <c r="P26" s="20">
        <v>425</v>
      </c>
      <c r="Q26" s="20">
        <v>94</v>
      </c>
      <c r="R26" s="20">
        <v>519</v>
      </c>
      <c r="S26" s="20">
        <v>1361</v>
      </c>
      <c r="T26" s="13"/>
      <c r="U26" s="13"/>
      <c r="V26" s="19" t="s">
        <v>55</v>
      </c>
      <c r="W26" s="20">
        <v>21</v>
      </c>
      <c r="X26" s="20">
        <v>57</v>
      </c>
      <c r="Y26" s="20">
        <v>19</v>
      </c>
      <c r="Z26" s="20">
        <v>97</v>
      </c>
      <c r="AA26" s="20">
        <v>246</v>
      </c>
      <c r="AB26" s="20">
        <v>25</v>
      </c>
      <c r="AC26" s="20">
        <v>271</v>
      </c>
      <c r="AD26" s="20">
        <v>705</v>
      </c>
      <c r="AE26" s="45"/>
      <c r="AF26" s="45"/>
      <c r="AG26" s="50" t="s">
        <v>55</v>
      </c>
      <c r="AH26" s="20">
        <v>22</v>
      </c>
      <c r="AI26" s="20">
        <v>59</v>
      </c>
      <c r="AJ26" s="20">
        <v>14</v>
      </c>
      <c r="AK26" s="20">
        <v>95</v>
      </c>
      <c r="AL26" s="20">
        <v>280</v>
      </c>
      <c r="AM26" s="20">
        <v>42</v>
      </c>
      <c r="AN26" s="20">
        <v>322</v>
      </c>
      <c r="AO26" s="20">
        <v>786</v>
      </c>
      <c r="AP26" s="13"/>
      <c r="AQ26" s="13"/>
      <c r="AR26" s="20" t="s">
        <v>55</v>
      </c>
      <c r="AS26" s="20">
        <v>36</v>
      </c>
      <c r="AT26" s="20">
        <v>84</v>
      </c>
      <c r="AU26" s="20">
        <v>17</v>
      </c>
      <c r="AV26" s="20">
        <v>137</v>
      </c>
      <c r="AW26" s="20">
        <v>428</v>
      </c>
      <c r="AX26" s="20">
        <v>68</v>
      </c>
      <c r="AY26" s="20">
        <v>496</v>
      </c>
      <c r="AZ26" s="20">
        <v>1207</v>
      </c>
      <c r="BA26" s="13"/>
      <c r="BB26" s="13"/>
      <c r="BC26" s="20" t="s">
        <v>55</v>
      </c>
      <c r="BD26" s="20">
        <v>41</v>
      </c>
      <c r="BE26" s="20">
        <v>86</v>
      </c>
      <c r="BF26" s="20">
        <v>15</v>
      </c>
      <c r="BG26" s="20">
        <v>142</v>
      </c>
      <c r="BH26" s="20">
        <v>474</v>
      </c>
      <c r="BI26" s="20">
        <v>95</v>
      </c>
      <c r="BJ26" s="20">
        <v>569</v>
      </c>
      <c r="BK26" s="20">
        <v>1449</v>
      </c>
      <c r="BL26" s="13"/>
      <c r="BM26" s="13"/>
      <c r="BN26" s="20" t="s">
        <v>55</v>
      </c>
      <c r="BO26" s="20">
        <v>35</v>
      </c>
      <c r="BP26" s="20">
        <v>83</v>
      </c>
      <c r="BQ26" s="20">
        <v>21</v>
      </c>
      <c r="BR26" s="20">
        <v>139</v>
      </c>
      <c r="BS26" s="20">
        <v>395</v>
      </c>
      <c r="BT26" s="20">
        <v>81</v>
      </c>
      <c r="BU26" s="20">
        <v>476</v>
      </c>
      <c r="BV26" s="20">
        <v>1242</v>
      </c>
      <c r="BW26" s="13"/>
      <c r="BX26" s="13"/>
      <c r="BY26" s="20" t="s">
        <v>55</v>
      </c>
      <c r="BZ26" s="20">
        <v>21</v>
      </c>
      <c r="CA26" s="20">
        <v>72</v>
      </c>
      <c r="CB26" s="20">
        <v>17</v>
      </c>
      <c r="CC26" s="20">
        <v>110</v>
      </c>
      <c r="CD26" s="20">
        <v>305</v>
      </c>
      <c r="CE26" s="20">
        <v>36</v>
      </c>
      <c r="CF26" s="20">
        <v>341</v>
      </c>
      <c r="CG26" s="20">
        <v>838</v>
      </c>
      <c r="CH26" s="13"/>
      <c r="CI26" s="13"/>
      <c r="CJ26" s="20" t="s">
        <v>55</v>
      </c>
      <c r="CK26" s="20">
        <v>40</v>
      </c>
      <c r="CL26" s="20">
        <v>88</v>
      </c>
      <c r="CM26" s="20">
        <v>10</v>
      </c>
      <c r="CN26" s="20">
        <v>138</v>
      </c>
      <c r="CO26" s="20">
        <v>413</v>
      </c>
      <c r="CP26" s="20">
        <v>81</v>
      </c>
      <c r="CQ26" s="20">
        <v>494</v>
      </c>
      <c r="CR26" s="20">
        <v>1287</v>
      </c>
      <c r="CS26" s="13"/>
      <c r="CT26" s="13"/>
      <c r="CU26" s="20" t="s">
        <v>55</v>
      </c>
      <c r="CV26" s="20">
        <v>30</v>
      </c>
      <c r="CW26" s="20">
        <v>61</v>
      </c>
      <c r="CX26" s="20">
        <v>6</v>
      </c>
      <c r="CY26" s="20">
        <v>97</v>
      </c>
      <c r="CZ26" s="20">
        <v>313</v>
      </c>
      <c r="DA26" s="20">
        <v>64</v>
      </c>
      <c r="DB26" s="20">
        <v>377</v>
      </c>
      <c r="DC26" s="20">
        <v>718</v>
      </c>
      <c r="DD26" s="13"/>
      <c r="DE26" s="13"/>
      <c r="DF26" s="20" t="s">
        <v>55</v>
      </c>
      <c r="DG26" s="20">
        <v>31</v>
      </c>
      <c r="DH26" s="20">
        <v>68</v>
      </c>
      <c r="DI26" s="20">
        <v>8</v>
      </c>
      <c r="DJ26" s="20">
        <v>107</v>
      </c>
      <c r="DK26" s="20">
        <v>360</v>
      </c>
      <c r="DL26" s="20">
        <v>57</v>
      </c>
      <c r="DM26" s="20">
        <v>417</v>
      </c>
      <c r="DN26" s="20">
        <v>995</v>
      </c>
      <c r="DO26" s="13"/>
      <c r="DP26" s="13"/>
      <c r="DQ26" s="20" t="s">
        <v>55</v>
      </c>
      <c r="DR26" s="20">
        <v>27</v>
      </c>
      <c r="DS26" s="20">
        <v>58</v>
      </c>
      <c r="DT26" s="20">
        <v>11</v>
      </c>
      <c r="DU26" s="20">
        <v>96</v>
      </c>
      <c r="DV26" s="20">
        <v>355</v>
      </c>
      <c r="DW26" s="20">
        <v>52</v>
      </c>
      <c r="DX26" s="20">
        <v>407</v>
      </c>
      <c r="DY26" s="20">
        <v>815</v>
      </c>
      <c r="DZ26" s="13"/>
      <c r="EA26" s="13"/>
      <c r="EB26" s="19" t="s">
        <v>55</v>
      </c>
      <c r="EC26" s="19">
        <v>32</v>
      </c>
      <c r="ED26" s="19">
        <v>71</v>
      </c>
      <c r="EE26" s="19">
        <v>4</v>
      </c>
      <c r="EF26" s="19">
        <v>107</v>
      </c>
      <c r="EG26" s="19">
        <v>355</v>
      </c>
      <c r="EH26" s="19">
        <v>65</v>
      </c>
      <c r="EI26" s="19">
        <v>420</v>
      </c>
      <c r="EJ26" s="19">
        <v>1015</v>
      </c>
      <c r="EK26" s="13"/>
      <c r="EL26" s="13"/>
      <c r="EM26" s="19" t="s">
        <v>55</v>
      </c>
      <c r="EN26" s="19">
        <v>38</v>
      </c>
      <c r="EO26" s="19">
        <v>70</v>
      </c>
      <c r="EP26" s="19">
        <v>13</v>
      </c>
      <c r="EQ26" s="19">
        <v>121</v>
      </c>
      <c r="ER26" s="19">
        <v>500</v>
      </c>
      <c r="ES26" s="19">
        <v>83</v>
      </c>
      <c r="ET26" s="19">
        <v>583</v>
      </c>
      <c r="EU26" s="19">
        <v>1141</v>
      </c>
      <c r="EV26" s="13"/>
      <c r="EW26" s="13"/>
      <c r="EX26" s="19" t="s">
        <v>55</v>
      </c>
      <c r="EY26" s="19">
        <v>36</v>
      </c>
      <c r="EZ26" s="19">
        <v>60</v>
      </c>
      <c r="FA26" s="19">
        <v>9</v>
      </c>
      <c r="FB26" s="19">
        <v>105</v>
      </c>
      <c r="FC26" s="19">
        <v>330</v>
      </c>
      <c r="FD26" s="19">
        <v>89</v>
      </c>
      <c r="FE26" s="19">
        <v>419</v>
      </c>
      <c r="FF26" s="19">
        <v>853</v>
      </c>
      <c r="FG26" s="13"/>
      <c r="FH26" s="13"/>
      <c r="FI26" s="58" t="s">
        <v>55</v>
      </c>
      <c r="FJ26" s="65">
        <v>21</v>
      </c>
      <c r="FK26" s="65">
        <v>44</v>
      </c>
      <c r="FL26" s="65">
        <v>11</v>
      </c>
      <c r="FM26" s="65">
        <v>76</v>
      </c>
      <c r="FN26" s="65">
        <v>253</v>
      </c>
      <c r="FO26" s="65">
        <v>27</v>
      </c>
      <c r="FP26" s="65">
        <v>280</v>
      </c>
      <c r="FQ26" s="65">
        <v>685</v>
      </c>
      <c r="FR26" s="13"/>
      <c r="FS26" s="70" t="s">
        <v>55</v>
      </c>
      <c r="FT26" s="145">
        <v>28</v>
      </c>
      <c r="FU26" s="145">
        <v>44</v>
      </c>
      <c r="FV26" s="145">
        <v>6</v>
      </c>
      <c r="FW26" s="145">
        <v>78</v>
      </c>
      <c r="FX26" s="145">
        <v>336</v>
      </c>
      <c r="FY26" s="145">
        <v>51</v>
      </c>
      <c r="FZ26" s="145">
        <v>387</v>
      </c>
      <c r="GA26" s="145">
        <v>765</v>
      </c>
      <c r="GB26" s="13"/>
      <c r="GC26" s="70" t="s">
        <v>55</v>
      </c>
      <c r="GD26" s="71">
        <v>52</v>
      </c>
      <c r="GE26" s="71">
        <v>51</v>
      </c>
      <c r="GF26" s="71">
        <v>9</v>
      </c>
      <c r="GG26" s="71">
        <v>112</v>
      </c>
      <c r="GH26" s="71">
        <v>566</v>
      </c>
      <c r="GI26" s="71">
        <v>104</v>
      </c>
      <c r="GJ26" s="71">
        <v>670</v>
      </c>
      <c r="GK26" s="71">
        <v>1354</v>
      </c>
      <c r="GL26" s="13"/>
      <c r="GM26" s="70" t="s">
        <v>55</v>
      </c>
      <c r="GN26" s="71">
        <v>27</v>
      </c>
      <c r="GO26" s="71">
        <v>47</v>
      </c>
      <c r="GP26" s="71">
        <v>10</v>
      </c>
      <c r="GQ26" s="71">
        <v>84</v>
      </c>
      <c r="GR26" s="71">
        <v>334</v>
      </c>
      <c r="GS26" s="71">
        <v>78</v>
      </c>
      <c r="GT26" s="71">
        <v>412</v>
      </c>
      <c r="GU26" s="71">
        <v>893</v>
      </c>
      <c r="GV26" s="146">
        <v>-20</v>
      </c>
      <c r="GW26" s="147">
        <v>-25</v>
      </c>
    </row>
    <row r="27" spans="1:205" ht="15.5" thickBot="1">
      <c r="A27" s="19" t="s">
        <v>56</v>
      </c>
      <c r="B27" s="20">
        <v>26</v>
      </c>
      <c r="C27" s="20">
        <v>64</v>
      </c>
      <c r="D27" s="20">
        <v>12</v>
      </c>
      <c r="E27" s="20">
        <v>102</v>
      </c>
      <c r="F27" s="20">
        <v>313</v>
      </c>
      <c r="G27" s="20">
        <v>60</v>
      </c>
      <c r="H27" s="20">
        <v>373</v>
      </c>
      <c r="I27" s="20">
        <v>694</v>
      </c>
      <c r="J27" s="26"/>
      <c r="K27" s="19" t="s">
        <v>56</v>
      </c>
      <c r="L27" s="20">
        <v>25</v>
      </c>
      <c r="M27" s="20">
        <v>62</v>
      </c>
      <c r="N27" s="20">
        <v>13</v>
      </c>
      <c r="O27" s="20">
        <v>100</v>
      </c>
      <c r="P27" s="20">
        <v>369</v>
      </c>
      <c r="Q27" s="20">
        <v>69</v>
      </c>
      <c r="R27" s="20">
        <v>438</v>
      </c>
      <c r="S27" s="20">
        <v>680</v>
      </c>
      <c r="T27" s="13"/>
      <c r="U27" s="13"/>
      <c r="V27" s="19" t="s">
        <v>56</v>
      </c>
      <c r="W27" s="20">
        <v>32</v>
      </c>
      <c r="X27" s="20">
        <v>63</v>
      </c>
      <c r="Y27" s="20">
        <v>13</v>
      </c>
      <c r="Z27" s="20">
        <v>108</v>
      </c>
      <c r="AA27" s="20">
        <v>368</v>
      </c>
      <c r="AB27" s="20">
        <v>80</v>
      </c>
      <c r="AC27" s="20">
        <v>448</v>
      </c>
      <c r="AD27" s="20">
        <v>750</v>
      </c>
      <c r="AE27" s="45"/>
      <c r="AF27" s="45"/>
      <c r="AG27" s="50" t="s">
        <v>56</v>
      </c>
      <c r="AH27" s="20">
        <v>9</v>
      </c>
      <c r="AI27" s="20">
        <v>55</v>
      </c>
      <c r="AJ27" s="20">
        <v>14</v>
      </c>
      <c r="AK27" s="20">
        <v>78</v>
      </c>
      <c r="AL27" s="20">
        <v>255</v>
      </c>
      <c r="AM27" s="20">
        <v>21</v>
      </c>
      <c r="AN27" s="20">
        <v>276</v>
      </c>
      <c r="AO27" s="20">
        <v>551</v>
      </c>
      <c r="AP27" s="13"/>
      <c r="AQ27" s="13"/>
      <c r="AR27" s="20" t="s">
        <v>56</v>
      </c>
      <c r="AS27" s="20">
        <v>35</v>
      </c>
      <c r="AT27" s="20">
        <v>63</v>
      </c>
      <c r="AU27" s="20">
        <v>10</v>
      </c>
      <c r="AV27" s="20">
        <v>108</v>
      </c>
      <c r="AW27" s="20">
        <v>365</v>
      </c>
      <c r="AX27" s="20">
        <v>76</v>
      </c>
      <c r="AY27" s="20">
        <v>441</v>
      </c>
      <c r="AZ27" s="20">
        <v>782</v>
      </c>
      <c r="BA27" s="13"/>
      <c r="BB27" s="13"/>
      <c r="BC27" s="20" t="s">
        <v>56</v>
      </c>
      <c r="BD27" s="20">
        <v>32</v>
      </c>
      <c r="BE27" s="20">
        <v>55</v>
      </c>
      <c r="BF27" s="20">
        <v>7</v>
      </c>
      <c r="BG27" s="20">
        <v>94</v>
      </c>
      <c r="BH27" s="20">
        <v>315</v>
      </c>
      <c r="BI27" s="20">
        <v>86</v>
      </c>
      <c r="BJ27" s="20">
        <v>401</v>
      </c>
      <c r="BK27" s="20">
        <v>635</v>
      </c>
      <c r="BL27" s="13"/>
      <c r="BM27" s="13"/>
      <c r="BN27" s="20" t="s">
        <v>56</v>
      </c>
      <c r="BO27" s="20">
        <v>39</v>
      </c>
      <c r="BP27" s="20">
        <v>42</v>
      </c>
      <c r="BQ27" s="20">
        <v>12</v>
      </c>
      <c r="BR27" s="20">
        <v>93</v>
      </c>
      <c r="BS27" s="20">
        <v>342</v>
      </c>
      <c r="BT27" s="20">
        <v>67</v>
      </c>
      <c r="BU27" s="20">
        <v>409</v>
      </c>
      <c r="BV27" s="20">
        <v>727</v>
      </c>
      <c r="BW27" s="13"/>
      <c r="BX27" s="13"/>
      <c r="BY27" s="20" t="s">
        <v>56</v>
      </c>
      <c r="BZ27" s="20">
        <v>17</v>
      </c>
      <c r="CA27" s="20">
        <v>62</v>
      </c>
      <c r="CB27" s="20">
        <v>1</v>
      </c>
      <c r="CC27" s="20">
        <v>80</v>
      </c>
      <c r="CD27" s="20">
        <v>267</v>
      </c>
      <c r="CE27" s="20">
        <v>30</v>
      </c>
      <c r="CF27" s="20">
        <v>297</v>
      </c>
      <c r="CG27" s="20">
        <v>643</v>
      </c>
      <c r="CH27" s="13"/>
      <c r="CI27" s="13"/>
      <c r="CJ27" s="20" t="s">
        <v>56</v>
      </c>
      <c r="CK27" s="20">
        <v>24</v>
      </c>
      <c r="CL27" s="20">
        <v>64</v>
      </c>
      <c r="CM27" s="20">
        <v>3</v>
      </c>
      <c r="CN27" s="20">
        <v>91</v>
      </c>
      <c r="CO27" s="20">
        <v>252</v>
      </c>
      <c r="CP27" s="20">
        <v>54</v>
      </c>
      <c r="CQ27" s="20">
        <v>306</v>
      </c>
      <c r="CR27" s="20">
        <v>632</v>
      </c>
      <c r="CS27" s="13"/>
      <c r="CT27" s="13"/>
      <c r="CU27" s="20" t="s">
        <v>56</v>
      </c>
      <c r="CV27" s="20">
        <v>28</v>
      </c>
      <c r="CW27" s="20">
        <v>60</v>
      </c>
      <c r="CX27" s="20">
        <v>3</v>
      </c>
      <c r="CY27" s="20">
        <v>91</v>
      </c>
      <c r="CZ27" s="20">
        <v>328</v>
      </c>
      <c r="DA27" s="20">
        <v>54</v>
      </c>
      <c r="DB27" s="20">
        <v>382</v>
      </c>
      <c r="DC27" s="20">
        <v>663</v>
      </c>
      <c r="DD27" s="13"/>
      <c r="DE27" s="13"/>
      <c r="DF27" s="20" t="s">
        <v>56</v>
      </c>
      <c r="DG27" s="20">
        <v>18</v>
      </c>
      <c r="DH27" s="20">
        <v>55</v>
      </c>
      <c r="DI27" s="20">
        <v>4</v>
      </c>
      <c r="DJ27" s="20">
        <v>77</v>
      </c>
      <c r="DK27" s="20">
        <v>288</v>
      </c>
      <c r="DL27" s="20">
        <v>37</v>
      </c>
      <c r="DM27" s="20">
        <v>325</v>
      </c>
      <c r="DN27" s="20">
        <v>633</v>
      </c>
      <c r="DO27" s="13"/>
      <c r="DP27" s="13"/>
      <c r="DQ27" s="20" t="s">
        <v>56</v>
      </c>
      <c r="DR27" s="20">
        <v>23</v>
      </c>
      <c r="DS27" s="20">
        <v>43</v>
      </c>
      <c r="DT27" s="20">
        <v>7</v>
      </c>
      <c r="DU27" s="20">
        <v>73</v>
      </c>
      <c r="DV27" s="20">
        <v>222</v>
      </c>
      <c r="DW27" s="20">
        <v>51</v>
      </c>
      <c r="DX27" s="20">
        <v>273</v>
      </c>
      <c r="DY27" s="20">
        <v>506</v>
      </c>
      <c r="DZ27" s="13"/>
      <c r="EA27" s="13"/>
      <c r="EB27" s="19" t="s">
        <v>56</v>
      </c>
      <c r="EC27" s="19">
        <v>24</v>
      </c>
      <c r="ED27" s="19">
        <v>44</v>
      </c>
      <c r="EE27" s="19">
        <v>7</v>
      </c>
      <c r="EF27" s="19">
        <v>75</v>
      </c>
      <c r="EG27" s="19">
        <v>316</v>
      </c>
      <c r="EH27" s="19">
        <v>57</v>
      </c>
      <c r="EI27" s="19">
        <v>373</v>
      </c>
      <c r="EJ27" s="19">
        <v>605</v>
      </c>
      <c r="EK27" s="13"/>
      <c r="EL27" s="13"/>
      <c r="EM27" s="19" t="s">
        <v>56</v>
      </c>
      <c r="EN27" s="19">
        <v>28</v>
      </c>
      <c r="EO27" s="19">
        <v>38</v>
      </c>
      <c r="EP27" s="19">
        <v>8</v>
      </c>
      <c r="EQ27" s="19">
        <v>74</v>
      </c>
      <c r="ER27" s="19">
        <v>300</v>
      </c>
      <c r="ES27" s="19">
        <v>70</v>
      </c>
      <c r="ET27" s="19">
        <v>370</v>
      </c>
      <c r="EU27" s="19">
        <v>709</v>
      </c>
      <c r="EV27" s="13"/>
      <c r="EW27" s="13"/>
      <c r="EX27" s="19" t="s">
        <v>56</v>
      </c>
      <c r="EY27" s="19">
        <v>15</v>
      </c>
      <c r="EZ27" s="19">
        <v>34</v>
      </c>
      <c r="FA27" s="19">
        <v>3</v>
      </c>
      <c r="FB27" s="19">
        <v>52</v>
      </c>
      <c r="FC27" s="19">
        <v>210</v>
      </c>
      <c r="FD27" s="19">
        <v>44</v>
      </c>
      <c r="FE27" s="19">
        <v>254</v>
      </c>
      <c r="FF27" s="19">
        <v>405</v>
      </c>
      <c r="FG27" s="13"/>
      <c r="FH27" s="13"/>
      <c r="FI27" s="58" t="s">
        <v>56</v>
      </c>
      <c r="FJ27" s="65">
        <v>14</v>
      </c>
      <c r="FK27" s="65">
        <v>37</v>
      </c>
      <c r="FL27" s="65">
        <v>2</v>
      </c>
      <c r="FM27" s="65">
        <v>53</v>
      </c>
      <c r="FN27" s="65">
        <v>198</v>
      </c>
      <c r="FO27" s="65">
        <v>32</v>
      </c>
      <c r="FP27" s="65">
        <v>230</v>
      </c>
      <c r="FQ27" s="65">
        <v>395</v>
      </c>
      <c r="FR27" s="13"/>
      <c r="FS27" s="70" t="s">
        <v>56</v>
      </c>
      <c r="FT27" s="145">
        <v>17</v>
      </c>
      <c r="FU27" s="145">
        <v>33</v>
      </c>
      <c r="FV27" s="145">
        <v>4</v>
      </c>
      <c r="FW27" s="145">
        <v>54</v>
      </c>
      <c r="FX27" s="145">
        <v>233</v>
      </c>
      <c r="FY27" s="145">
        <v>56</v>
      </c>
      <c r="FZ27" s="145">
        <v>289</v>
      </c>
      <c r="GA27" s="145">
        <v>507</v>
      </c>
      <c r="GB27" s="13"/>
      <c r="GC27" s="70" t="s">
        <v>56</v>
      </c>
      <c r="GD27" s="71">
        <v>25</v>
      </c>
      <c r="GE27" s="71">
        <v>39</v>
      </c>
      <c r="GF27" s="71">
        <v>3</v>
      </c>
      <c r="GG27" s="71">
        <v>67</v>
      </c>
      <c r="GH27" s="71">
        <v>294</v>
      </c>
      <c r="GI27" s="71">
        <v>83</v>
      </c>
      <c r="GJ27" s="71">
        <v>377</v>
      </c>
      <c r="GK27" s="71">
        <v>582</v>
      </c>
      <c r="GL27" s="13"/>
      <c r="GM27" s="70" t="s">
        <v>56</v>
      </c>
      <c r="GN27" s="71">
        <v>18</v>
      </c>
      <c r="GO27" s="71">
        <v>53</v>
      </c>
      <c r="GP27" s="71">
        <v>2</v>
      </c>
      <c r="GQ27" s="71">
        <v>73</v>
      </c>
      <c r="GR27" s="71">
        <v>311</v>
      </c>
      <c r="GS27" s="71">
        <v>28</v>
      </c>
      <c r="GT27" s="71">
        <v>339</v>
      </c>
      <c r="GU27" s="71">
        <v>604</v>
      </c>
      <c r="GV27" s="146">
        <v>40.384615384615387</v>
      </c>
      <c r="GW27" s="147">
        <v>8.9552238805970141</v>
      </c>
    </row>
    <row r="28" spans="1:205" ht="15.5" thickBot="1">
      <c r="A28" s="19" t="s">
        <v>57</v>
      </c>
      <c r="B28" s="20">
        <v>14</v>
      </c>
      <c r="C28" s="20">
        <v>61</v>
      </c>
      <c r="D28" s="20">
        <v>38</v>
      </c>
      <c r="E28" s="20">
        <v>113</v>
      </c>
      <c r="F28" s="20">
        <v>181</v>
      </c>
      <c r="G28" s="20">
        <v>21</v>
      </c>
      <c r="H28" s="20">
        <v>202</v>
      </c>
      <c r="I28" s="20">
        <v>602</v>
      </c>
      <c r="J28" s="26"/>
      <c r="K28" s="19" t="s">
        <v>57</v>
      </c>
      <c r="L28" s="20">
        <v>23</v>
      </c>
      <c r="M28" s="20">
        <v>73</v>
      </c>
      <c r="N28" s="20">
        <v>55</v>
      </c>
      <c r="O28" s="20">
        <v>151</v>
      </c>
      <c r="P28" s="20">
        <v>243</v>
      </c>
      <c r="Q28" s="20">
        <v>26</v>
      </c>
      <c r="R28" s="20">
        <v>269</v>
      </c>
      <c r="S28" s="20">
        <v>709</v>
      </c>
      <c r="T28" s="13"/>
      <c r="U28" s="13"/>
      <c r="V28" s="19" t="s">
        <v>57</v>
      </c>
      <c r="W28" s="20">
        <v>28</v>
      </c>
      <c r="X28" s="20">
        <v>75</v>
      </c>
      <c r="Y28" s="20">
        <v>42</v>
      </c>
      <c r="Z28" s="20">
        <v>145</v>
      </c>
      <c r="AA28" s="20">
        <v>266</v>
      </c>
      <c r="AB28" s="20">
        <v>47</v>
      </c>
      <c r="AC28" s="20">
        <v>313</v>
      </c>
      <c r="AD28" s="20">
        <v>717</v>
      </c>
      <c r="AE28" s="45"/>
      <c r="AF28" s="45"/>
      <c r="AG28" s="50" t="s">
        <v>57</v>
      </c>
      <c r="AH28" s="20">
        <v>29</v>
      </c>
      <c r="AI28" s="20">
        <v>76</v>
      </c>
      <c r="AJ28" s="20">
        <v>36</v>
      </c>
      <c r="AK28" s="20">
        <v>141</v>
      </c>
      <c r="AL28" s="20">
        <v>233</v>
      </c>
      <c r="AM28" s="20">
        <v>41</v>
      </c>
      <c r="AN28" s="20">
        <v>274</v>
      </c>
      <c r="AO28" s="20">
        <v>689</v>
      </c>
      <c r="AP28" s="13"/>
      <c r="AQ28" s="13"/>
      <c r="AR28" s="20" t="s">
        <v>57</v>
      </c>
      <c r="AS28" s="20">
        <v>24</v>
      </c>
      <c r="AT28" s="20">
        <v>84</v>
      </c>
      <c r="AU28" s="20">
        <v>51</v>
      </c>
      <c r="AV28" s="20">
        <v>159</v>
      </c>
      <c r="AW28" s="20">
        <v>262</v>
      </c>
      <c r="AX28" s="20">
        <v>43</v>
      </c>
      <c r="AY28" s="20">
        <v>305</v>
      </c>
      <c r="AZ28" s="20">
        <v>751</v>
      </c>
      <c r="BA28" s="13"/>
      <c r="BB28" s="13"/>
      <c r="BC28" s="20" t="s">
        <v>57</v>
      </c>
      <c r="BD28" s="20">
        <v>25</v>
      </c>
      <c r="BE28" s="20">
        <v>98</v>
      </c>
      <c r="BF28" s="20">
        <v>75</v>
      </c>
      <c r="BG28" s="20">
        <v>198</v>
      </c>
      <c r="BH28" s="20">
        <v>276</v>
      </c>
      <c r="BI28" s="20">
        <v>48</v>
      </c>
      <c r="BJ28" s="20">
        <v>324</v>
      </c>
      <c r="BK28" s="20">
        <v>1118</v>
      </c>
      <c r="BL28" s="13"/>
      <c r="BM28" s="13"/>
      <c r="BN28" s="20" t="s">
        <v>57</v>
      </c>
      <c r="BO28" s="20">
        <v>23</v>
      </c>
      <c r="BP28" s="20">
        <v>74</v>
      </c>
      <c r="BQ28" s="20">
        <v>51</v>
      </c>
      <c r="BR28" s="20">
        <v>148</v>
      </c>
      <c r="BS28" s="20">
        <v>209</v>
      </c>
      <c r="BT28" s="20">
        <v>32</v>
      </c>
      <c r="BU28" s="20">
        <v>241</v>
      </c>
      <c r="BV28" s="20">
        <v>720</v>
      </c>
      <c r="BW28" s="13"/>
      <c r="BX28" s="13"/>
      <c r="BY28" s="20" t="s">
        <v>57</v>
      </c>
      <c r="BZ28" s="20">
        <v>20</v>
      </c>
      <c r="CA28" s="20">
        <v>74</v>
      </c>
      <c r="CB28" s="20">
        <v>52</v>
      </c>
      <c r="CC28" s="20">
        <v>146</v>
      </c>
      <c r="CD28" s="20">
        <v>201</v>
      </c>
      <c r="CE28" s="20">
        <v>57</v>
      </c>
      <c r="CF28" s="20">
        <v>258</v>
      </c>
      <c r="CG28" s="20">
        <v>699</v>
      </c>
      <c r="CH28" s="13"/>
      <c r="CI28" s="13"/>
      <c r="CJ28" s="20" t="s">
        <v>57</v>
      </c>
      <c r="CK28" s="20">
        <v>37</v>
      </c>
      <c r="CL28" s="20">
        <v>80</v>
      </c>
      <c r="CM28" s="20">
        <v>50</v>
      </c>
      <c r="CN28" s="20">
        <v>167</v>
      </c>
      <c r="CO28" s="20">
        <v>268</v>
      </c>
      <c r="CP28" s="20">
        <v>42</v>
      </c>
      <c r="CQ28" s="20">
        <v>310</v>
      </c>
      <c r="CR28" s="20">
        <v>808</v>
      </c>
      <c r="CS28" s="13"/>
      <c r="CT28" s="13"/>
      <c r="CU28" s="20" t="s">
        <v>57</v>
      </c>
      <c r="CV28" s="20">
        <v>18</v>
      </c>
      <c r="CW28" s="20">
        <v>60</v>
      </c>
      <c r="CX28" s="20">
        <v>35</v>
      </c>
      <c r="CY28" s="20">
        <v>113</v>
      </c>
      <c r="CZ28" s="20">
        <v>230</v>
      </c>
      <c r="DA28" s="20">
        <v>40</v>
      </c>
      <c r="DB28" s="20">
        <v>270</v>
      </c>
      <c r="DC28" s="20">
        <v>613</v>
      </c>
      <c r="DD28" s="13"/>
      <c r="DE28" s="13"/>
      <c r="DF28" s="20" t="s">
        <v>57</v>
      </c>
      <c r="DG28" s="20">
        <v>35</v>
      </c>
      <c r="DH28" s="20">
        <v>58</v>
      </c>
      <c r="DI28" s="20">
        <v>45</v>
      </c>
      <c r="DJ28" s="20">
        <v>138</v>
      </c>
      <c r="DK28" s="20">
        <v>209</v>
      </c>
      <c r="DL28" s="20">
        <v>52</v>
      </c>
      <c r="DM28" s="20">
        <v>261</v>
      </c>
      <c r="DN28" s="20">
        <v>689</v>
      </c>
      <c r="DO28" s="13"/>
      <c r="DP28" s="13"/>
      <c r="DQ28" s="20" t="s">
        <v>57</v>
      </c>
      <c r="DR28" s="20">
        <v>18</v>
      </c>
      <c r="DS28" s="20">
        <v>64</v>
      </c>
      <c r="DT28" s="20">
        <v>24</v>
      </c>
      <c r="DU28" s="20">
        <v>106</v>
      </c>
      <c r="DV28" s="20">
        <v>164</v>
      </c>
      <c r="DW28" s="20">
        <v>34</v>
      </c>
      <c r="DX28" s="20">
        <v>198</v>
      </c>
      <c r="DY28" s="20">
        <v>508</v>
      </c>
      <c r="DZ28" s="13"/>
      <c r="EA28" s="13"/>
      <c r="EB28" s="19" t="s">
        <v>57</v>
      </c>
      <c r="EC28" s="19">
        <v>13</v>
      </c>
      <c r="ED28" s="19">
        <v>47</v>
      </c>
      <c r="EE28" s="19">
        <v>41</v>
      </c>
      <c r="EF28" s="19">
        <v>101</v>
      </c>
      <c r="EG28" s="19">
        <v>127</v>
      </c>
      <c r="EH28" s="19">
        <v>17</v>
      </c>
      <c r="EI28" s="19">
        <v>144</v>
      </c>
      <c r="EJ28" s="19">
        <v>475</v>
      </c>
      <c r="EK28" s="13"/>
      <c r="EL28" s="13"/>
      <c r="EM28" s="19" t="s">
        <v>57</v>
      </c>
      <c r="EN28" s="19">
        <v>15</v>
      </c>
      <c r="EO28" s="19">
        <v>62</v>
      </c>
      <c r="EP28" s="19">
        <v>36</v>
      </c>
      <c r="EQ28" s="19">
        <v>113</v>
      </c>
      <c r="ER28" s="19">
        <v>165</v>
      </c>
      <c r="ES28" s="19">
        <v>18</v>
      </c>
      <c r="ET28" s="19">
        <v>183</v>
      </c>
      <c r="EU28" s="19">
        <v>540</v>
      </c>
      <c r="EV28" s="13"/>
      <c r="EW28" s="13"/>
      <c r="EX28" s="19" t="s">
        <v>57</v>
      </c>
      <c r="EY28" s="19">
        <v>22</v>
      </c>
      <c r="EZ28" s="19">
        <v>77</v>
      </c>
      <c r="FA28" s="19">
        <v>48</v>
      </c>
      <c r="FB28" s="19">
        <v>147</v>
      </c>
      <c r="FC28" s="19">
        <v>186</v>
      </c>
      <c r="FD28" s="19">
        <v>31</v>
      </c>
      <c r="FE28" s="19">
        <v>217</v>
      </c>
      <c r="FF28" s="19">
        <v>657</v>
      </c>
      <c r="FG28" s="13"/>
      <c r="FH28" s="13"/>
      <c r="FI28" s="58" t="s">
        <v>57</v>
      </c>
      <c r="FJ28" s="65">
        <v>21</v>
      </c>
      <c r="FK28" s="65">
        <v>54</v>
      </c>
      <c r="FL28" s="65">
        <v>32</v>
      </c>
      <c r="FM28" s="65">
        <v>107</v>
      </c>
      <c r="FN28" s="65">
        <v>161</v>
      </c>
      <c r="FO28" s="65">
        <v>24</v>
      </c>
      <c r="FP28" s="65">
        <v>185</v>
      </c>
      <c r="FQ28" s="65">
        <v>513</v>
      </c>
      <c r="FR28" s="13"/>
      <c r="FS28" s="70" t="s">
        <v>57</v>
      </c>
      <c r="FT28" s="145">
        <v>29</v>
      </c>
      <c r="FU28" s="145">
        <v>86</v>
      </c>
      <c r="FV28" s="145">
        <v>41</v>
      </c>
      <c r="FW28" s="145">
        <v>156</v>
      </c>
      <c r="FX28" s="145">
        <v>260</v>
      </c>
      <c r="FY28" s="145">
        <v>46</v>
      </c>
      <c r="FZ28" s="145">
        <v>306</v>
      </c>
      <c r="GA28" s="145">
        <v>780</v>
      </c>
      <c r="GB28" s="13"/>
      <c r="GC28" s="70" t="s">
        <v>57</v>
      </c>
      <c r="GD28" s="71">
        <v>30</v>
      </c>
      <c r="GE28" s="71">
        <v>85</v>
      </c>
      <c r="GF28" s="71">
        <v>38</v>
      </c>
      <c r="GG28" s="71">
        <v>153</v>
      </c>
      <c r="GH28" s="71">
        <v>254</v>
      </c>
      <c r="GI28" s="71">
        <v>36</v>
      </c>
      <c r="GJ28" s="71">
        <v>290</v>
      </c>
      <c r="GK28" s="71">
        <v>768</v>
      </c>
      <c r="GL28" s="13"/>
      <c r="GM28" s="70" t="s">
        <v>57</v>
      </c>
      <c r="GN28" s="71">
        <v>28</v>
      </c>
      <c r="GO28" s="71">
        <v>69</v>
      </c>
      <c r="GP28" s="71">
        <v>47</v>
      </c>
      <c r="GQ28" s="71">
        <v>144</v>
      </c>
      <c r="GR28" s="71">
        <v>234</v>
      </c>
      <c r="GS28" s="71">
        <v>35</v>
      </c>
      <c r="GT28" s="71">
        <v>269</v>
      </c>
      <c r="GU28" s="71">
        <v>736</v>
      </c>
      <c r="GV28" s="146">
        <v>-2.0408163265306123</v>
      </c>
      <c r="GW28" s="147">
        <v>-5.8823529411764701</v>
      </c>
    </row>
    <row r="29" spans="1:205" ht="15.5" thickBot="1">
      <c r="A29" s="19" t="s">
        <v>58</v>
      </c>
      <c r="B29" s="20">
        <v>42</v>
      </c>
      <c r="C29" s="20">
        <v>112</v>
      </c>
      <c r="D29" s="20">
        <v>46</v>
      </c>
      <c r="E29" s="20">
        <v>200</v>
      </c>
      <c r="F29" s="20">
        <v>513</v>
      </c>
      <c r="G29" s="20">
        <v>65</v>
      </c>
      <c r="H29" s="20">
        <v>578</v>
      </c>
      <c r="I29" s="20">
        <v>961</v>
      </c>
      <c r="J29" s="26"/>
      <c r="K29" s="19" t="s">
        <v>58</v>
      </c>
      <c r="L29" s="20">
        <v>37</v>
      </c>
      <c r="M29" s="20">
        <v>100</v>
      </c>
      <c r="N29" s="20">
        <v>39</v>
      </c>
      <c r="O29" s="20">
        <v>176</v>
      </c>
      <c r="P29" s="20">
        <v>452</v>
      </c>
      <c r="Q29" s="20">
        <v>77</v>
      </c>
      <c r="R29" s="20">
        <v>529</v>
      </c>
      <c r="S29" s="20">
        <v>931</v>
      </c>
      <c r="T29" s="13"/>
      <c r="U29" s="13"/>
      <c r="V29" s="19" t="s">
        <v>58</v>
      </c>
      <c r="W29" s="20">
        <v>37</v>
      </c>
      <c r="X29" s="20">
        <v>182</v>
      </c>
      <c r="Y29" s="20">
        <v>23</v>
      </c>
      <c r="Z29" s="20">
        <v>242</v>
      </c>
      <c r="AA29" s="20">
        <v>600</v>
      </c>
      <c r="AB29" s="20">
        <v>53</v>
      </c>
      <c r="AC29" s="20">
        <v>653</v>
      </c>
      <c r="AD29" s="20">
        <v>1106</v>
      </c>
      <c r="AE29" s="45"/>
      <c r="AF29" s="45"/>
      <c r="AG29" s="50" t="s">
        <v>58</v>
      </c>
      <c r="AH29" s="20">
        <v>27</v>
      </c>
      <c r="AI29" s="20">
        <v>148</v>
      </c>
      <c r="AJ29" s="20">
        <v>37</v>
      </c>
      <c r="AK29" s="20">
        <v>212</v>
      </c>
      <c r="AL29" s="20">
        <v>535</v>
      </c>
      <c r="AM29" s="20">
        <v>33</v>
      </c>
      <c r="AN29" s="20">
        <v>568</v>
      </c>
      <c r="AO29" s="20">
        <v>921</v>
      </c>
      <c r="AP29" s="13"/>
      <c r="AQ29" s="13"/>
      <c r="AR29" s="20" t="s">
        <v>58</v>
      </c>
      <c r="AS29" s="20">
        <v>44</v>
      </c>
      <c r="AT29" s="20">
        <v>207</v>
      </c>
      <c r="AU29" s="20">
        <v>12</v>
      </c>
      <c r="AV29" s="20">
        <v>263</v>
      </c>
      <c r="AW29" s="20">
        <v>686</v>
      </c>
      <c r="AX29" s="20">
        <v>59</v>
      </c>
      <c r="AY29" s="20">
        <v>745</v>
      </c>
      <c r="AZ29" s="20">
        <v>1417</v>
      </c>
      <c r="BA29" s="13"/>
      <c r="BB29" s="13"/>
      <c r="BC29" s="20" t="s">
        <v>58</v>
      </c>
      <c r="BD29" s="20">
        <v>47</v>
      </c>
      <c r="BE29" s="20">
        <v>189</v>
      </c>
      <c r="BF29" s="20">
        <v>11</v>
      </c>
      <c r="BG29" s="20">
        <v>247</v>
      </c>
      <c r="BH29" s="20">
        <v>556</v>
      </c>
      <c r="BI29" s="20">
        <v>70</v>
      </c>
      <c r="BJ29" s="20">
        <v>626</v>
      </c>
      <c r="BK29" s="20">
        <v>1225</v>
      </c>
      <c r="BL29" s="13"/>
      <c r="BM29" s="13"/>
      <c r="BN29" s="20" t="s">
        <v>58</v>
      </c>
      <c r="BO29" s="20">
        <v>37</v>
      </c>
      <c r="BP29" s="20">
        <v>191</v>
      </c>
      <c r="BQ29" s="20">
        <v>9</v>
      </c>
      <c r="BR29" s="20">
        <v>237</v>
      </c>
      <c r="BS29" s="20">
        <v>602</v>
      </c>
      <c r="BT29" s="20">
        <v>65</v>
      </c>
      <c r="BU29" s="20">
        <v>667</v>
      </c>
      <c r="BV29" s="20">
        <v>1286</v>
      </c>
      <c r="BW29" s="13"/>
      <c r="BX29" s="13"/>
      <c r="BY29" s="20" t="s">
        <v>58</v>
      </c>
      <c r="BZ29" s="20">
        <v>36</v>
      </c>
      <c r="CA29" s="20">
        <v>195</v>
      </c>
      <c r="CB29" s="20">
        <v>10</v>
      </c>
      <c r="CC29" s="20">
        <v>241</v>
      </c>
      <c r="CD29" s="20">
        <v>626</v>
      </c>
      <c r="CE29" s="20">
        <v>78</v>
      </c>
      <c r="CF29" s="20">
        <v>704</v>
      </c>
      <c r="CG29" s="20">
        <v>1210</v>
      </c>
      <c r="CH29" s="13"/>
      <c r="CI29" s="13"/>
      <c r="CJ29" s="20" t="s">
        <v>58</v>
      </c>
      <c r="CK29" s="20">
        <v>34</v>
      </c>
      <c r="CL29" s="20">
        <v>189</v>
      </c>
      <c r="CM29" s="20">
        <v>11</v>
      </c>
      <c r="CN29" s="20">
        <v>234</v>
      </c>
      <c r="CO29" s="20">
        <v>580</v>
      </c>
      <c r="CP29" s="20">
        <v>57</v>
      </c>
      <c r="CQ29" s="20">
        <v>637</v>
      </c>
      <c r="CR29" s="20">
        <v>1216</v>
      </c>
      <c r="CS29" s="13"/>
      <c r="CT29" s="13"/>
      <c r="CU29" s="20" t="s">
        <v>58</v>
      </c>
      <c r="CV29" s="20">
        <v>18</v>
      </c>
      <c r="CW29" s="20">
        <v>118</v>
      </c>
      <c r="CX29" s="20">
        <v>7</v>
      </c>
      <c r="CY29" s="20">
        <v>143</v>
      </c>
      <c r="CZ29" s="20">
        <v>315</v>
      </c>
      <c r="DA29" s="20">
        <v>23</v>
      </c>
      <c r="DB29" s="20">
        <v>338</v>
      </c>
      <c r="DC29" s="20">
        <v>565</v>
      </c>
      <c r="DD29" s="13"/>
      <c r="DE29" s="13"/>
      <c r="DF29" s="20" t="s">
        <v>58</v>
      </c>
      <c r="DG29" s="20">
        <v>31</v>
      </c>
      <c r="DH29" s="20">
        <v>167</v>
      </c>
      <c r="DI29" s="20">
        <v>10</v>
      </c>
      <c r="DJ29" s="20">
        <v>208</v>
      </c>
      <c r="DK29" s="20">
        <v>532</v>
      </c>
      <c r="DL29" s="20">
        <v>55</v>
      </c>
      <c r="DM29" s="20">
        <v>587</v>
      </c>
      <c r="DN29" s="20">
        <v>1108</v>
      </c>
      <c r="DO29" s="13"/>
      <c r="DP29" s="13"/>
      <c r="DQ29" s="20" t="s">
        <v>58</v>
      </c>
      <c r="DR29" s="20">
        <v>23</v>
      </c>
      <c r="DS29" s="20">
        <v>128</v>
      </c>
      <c r="DT29" s="20">
        <v>11</v>
      </c>
      <c r="DU29" s="20">
        <v>162</v>
      </c>
      <c r="DV29" s="20">
        <v>411</v>
      </c>
      <c r="DW29" s="20">
        <v>37</v>
      </c>
      <c r="DX29" s="20">
        <v>448</v>
      </c>
      <c r="DY29" s="20">
        <v>826</v>
      </c>
      <c r="DZ29" s="13"/>
      <c r="EA29" s="13"/>
      <c r="EB29" s="19" t="s">
        <v>58</v>
      </c>
      <c r="EC29" s="19">
        <v>25</v>
      </c>
      <c r="ED29" s="19">
        <v>153</v>
      </c>
      <c r="EE29" s="19">
        <v>34</v>
      </c>
      <c r="EF29" s="19">
        <v>212</v>
      </c>
      <c r="EG29" s="19">
        <v>555</v>
      </c>
      <c r="EH29" s="19">
        <v>32</v>
      </c>
      <c r="EI29" s="19">
        <v>587</v>
      </c>
      <c r="EJ29" s="19">
        <v>993</v>
      </c>
      <c r="EK29" s="13"/>
      <c r="EL29" s="13"/>
      <c r="EM29" s="19" t="s">
        <v>58</v>
      </c>
      <c r="EN29" s="19">
        <v>24</v>
      </c>
      <c r="EO29" s="19">
        <v>138</v>
      </c>
      <c r="EP29" s="19">
        <v>7</v>
      </c>
      <c r="EQ29" s="19">
        <v>169</v>
      </c>
      <c r="ER29" s="19">
        <v>438</v>
      </c>
      <c r="ES29" s="19">
        <v>41</v>
      </c>
      <c r="ET29" s="19">
        <v>479</v>
      </c>
      <c r="EU29" s="19">
        <v>885</v>
      </c>
      <c r="EV29" s="13"/>
      <c r="EW29" s="13"/>
      <c r="EX29" s="19" t="s">
        <v>58</v>
      </c>
      <c r="EY29" s="19">
        <v>35</v>
      </c>
      <c r="EZ29" s="19">
        <v>125</v>
      </c>
      <c r="FA29" s="19">
        <v>4</v>
      </c>
      <c r="FB29" s="19">
        <v>164</v>
      </c>
      <c r="FC29" s="19">
        <v>485</v>
      </c>
      <c r="FD29" s="19">
        <v>55</v>
      </c>
      <c r="FE29" s="19">
        <v>540</v>
      </c>
      <c r="FF29" s="19">
        <v>870</v>
      </c>
      <c r="FG29" s="13"/>
      <c r="FH29" s="13"/>
      <c r="FI29" s="58" t="s">
        <v>58</v>
      </c>
      <c r="FJ29" s="65">
        <v>10</v>
      </c>
      <c r="FK29" s="65">
        <v>88</v>
      </c>
      <c r="FL29" s="65">
        <v>3</v>
      </c>
      <c r="FM29" s="65">
        <v>101</v>
      </c>
      <c r="FN29" s="65">
        <v>303</v>
      </c>
      <c r="FO29" s="65">
        <v>17</v>
      </c>
      <c r="FP29" s="65">
        <v>320</v>
      </c>
      <c r="FQ29" s="65">
        <v>549</v>
      </c>
      <c r="FR29" s="13"/>
      <c r="FS29" s="70" t="s">
        <v>58</v>
      </c>
      <c r="FT29" s="145">
        <v>27</v>
      </c>
      <c r="FU29" s="145">
        <v>83</v>
      </c>
      <c r="FV29" s="145">
        <v>17</v>
      </c>
      <c r="FW29" s="145">
        <v>127</v>
      </c>
      <c r="FX29" s="145">
        <v>436</v>
      </c>
      <c r="FY29" s="145">
        <v>37</v>
      </c>
      <c r="FZ29" s="145">
        <v>473</v>
      </c>
      <c r="GA29" s="145">
        <v>928</v>
      </c>
      <c r="GB29" s="13"/>
      <c r="GC29" s="70" t="s">
        <v>58</v>
      </c>
      <c r="GD29" s="71">
        <v>31</v>
      </c>
      <c r="GE29" s="71">
        <v>125</v>
      </c>
      <c r="GF29" s="71">
        <v>1</v>
      </c>
      <c r="GG29" s="71">
        <v>157</v>
      </c>
      <c r="GH29" s="71">
        <v>462</v>
      </c>
      <c r="GI29" s="71">
        <v>64</v>
      </c>
      <c r="GJ29" s="71">
        <v>526</v>
      </c>
      <c r="GK29" s="71">
        <v>878</v>
      </c>
      <c r="GL29" s="13"/>
      <c r="GM29" s="70" t="s">
        <v>58</v>
      </c>
      <c r="GN29" s="71">
        <v>11</v>
      </c>
      <c r="GO29" s="71">
        <v>79</v>
      </c>
      <c r="GP29" s="71">
        <v>3</v>
      </c>
      <c r="GQ29" s="71">
        <v>93</v>
      </c>
      <c r="GR29" s="71">
        <v>243</v>
      </c>
      <c r="GS29" s="71">
        <v>15</v>
      </c>
      <c r="GT29" s="71">
        <v>258</v>
      </c>
      <c r="GU29" s="71">
        <v>479</v>
      </c>
      <c r="GV29" s="146">
        <v>-43.292682926829265</v>
      </c>
      <c r="GW29" s="147">
        <v>-40.764331210191088</v>
      </c>
    </row>
    <row r="30" spans="1:205" ht="15.5" thickBot="1">
      <c r="A30" s="19" t="s">
        <v>59</v>
      </c>
      <c r="B30" s="20">
        <v>27</v>
      </c>
      <c r="C30" s="20">
        <v>80</v>
      </c>
      <c r="D30" s="20">
        <v>3</v>
      </c>
      <c r="E30" s="20">
        <v>110</v>
      </c>
      <c r="F30" s="20">
        <v>347</v>
      </c>
      <c r="G30" s="20">
        <v>91</v>
      </c>
      <c r="H30" s="20">
        <v>438</v>
      </c>
      <c r="I30" s="20">
        <v>653</v>
      </c>
      <c r="J30" s="26"/>
      <c r="K30" s="19" t="s">
        <v>59</v>
      </c>
      <c r="L30" s="20">
        <v>25</v>
      </c>
      <c r="M30" s="20">
        <v>82</v>
      </c>
      <c r="N30" s="20">
        <v>1</v>
      </c>
      <c r="O30" s="20">
        <v>108</v>
      </c>
      <c r="P30" s="20">
        <v>492</v>
      </c>
      <c r="Q30" s="20">
        <v>93</v>
      </c>
      <c r="R30" s="20">
        <v>585</v>
      </c>
      <c r="S30" s="20">
        <v>809</v>
      </c>
      <c r="T30" s="13"/>
      <c r="U30" s="13"/>
      <c r="V30" s="19" t="s">
        <v>59</v>
      </c>
      <c r="W30" s="20">
        <v>47</v>
      </c>
      <c r="X30" s="20">
        <v>98</v>
      </c>
      <c r="Y30" s="20">
        <v>3</v>
      </c>
      <c r="Z30" s="20">
        <v>148</v>
      </c>
      <c r="AA30" s="20">
        <v>516</v>
      </c>
      <c r="AB30" s="20">
        <v>103</v>
      </c>
      <c r="AC30" s="20">
        <v>619</v>
      </c>
      <c r="AD30" s="20">
        <v>946</v>
      </c>
      <c r="AE30" s="45"/>
      <c r="AF30" s="45"/>
      <c r="AG30" s="50" t="s">
        <v>59</v>
      </c>
      <c r="AH30" s="20">
        <v>64</v>
      </c>
      <c r="AI30" s="20">
        <v>151</v>
      </c>
      <c r="AJ30" s="20">
        <v>4</v>
      </c>
      <c r="AK30" s="20">
        <v>219</v>
      </c>
      <c r="AL30" s="20">
        <v>577</v>
      </c>
      <c r="AM30" s="20">
        <v>150</v>
      </c>
      <c r="AN30" s="20">
        <v>727</v>
      </c>
      <c r="AO30" s="20">
        <v>1227</v>
      </c>
      <c r="AP30" s="13"/>
      <c r="AQ30" s="13"/>
      <c r="AR30" s="20" t="s">
        <v>59</v>
      </c>
      <c r="AS30" s="20">
        <v>50</v>
      </c>
      <c r="AT30" s="20">
        <v>129</v>
      </c>
      <c r="AU30" s="20">
        <v>1</v>
      </c>
      <c r="AV30" s="20">
        <v>180</v>
      </c>
      <c r="AW30" s="20">
        <v>759</v>
      </c>
      <c r="AX30" s="20">
        <v>108</v>
      </c>
      <c r="AY30" s="20">
        <v>867</v>
      </c>
      <c r="AZ30" s="20">
        <v>1377</v>
      </c>
      <c r="BA30" s="13"/>
      <c r="BB30" s="13"/>
      <c r="BC30" s="20" t="s">
        <v>59</v>
      </c>
      <c r="BD30" s="20">
        <v>62</v>
      </c>
      <c r="BE30" s="20">
        <v>80</v>
      </c>
      <c r="BF30" s="20">
        <v>4</v>
      </c>
      <c r="BG30" s="20">
        <v>146</v>
      </c>
      <c r="BH30" s="20">
        <v>754</v>
      </c>
      <c r="BI30" s="20">
        <v>155</v>
      </c>
      <c r="BJ30" s="20">
        <v>909</v>
      </c>
      <c r="BK30" s="20">
        <v>1580</v>
      </c>
      <c r="BL30" s="13"/>
      <c r="BM30" s="13"/>
      <c r="BN30" s="20" t="s">
        <v>59</v>
      </c>
      <c r="BO30" s="20">
        <v>34</v>
      </c>
      <c r="BP30" s="20">
        <v>92</v>
      </c>
      <c r="BQ30" s="20">
        <v>2</v>
      </c>
      <c r="BR30" s="20">
        <v>128</v>
      </c>
      <c r="BS30" s="20">
        <v>456</v>
      </c>
      <c r="BT30" s="20">
        <v>75</v>
      </c>
      <c r="BU30" s="20">
        <v>531</v>
      </c>
      <c r="BV30" s="20">
        <v>855</v>
      </c>
      <c r="BW30" s="13"/>
      <c r="BX30" s="13"/>
      <c r="BY30" s="20" t="s">
        <v>59</v>
      </c>
      <c r="BZ30" s="20">
        <v>19</v>
      </c>
      <c r="CA30" s="20">
        <v>100</v>
      </c>
      <c r="CB30" s="20">
        <v>5</v>
      </c>
      <c r="CC30" s="20">
        <v>124</v>
      </c>
      <c r="CD30" s="20">
        <v>308</v>
      </c>
      <c r="CE30" s="20">
        <v>41</v>
      </c>
      <c r="CF30" s="20">
        <v>349</v>
      </c>
      <c r="CG30" s="20">
        <v>546</v>
      </c>
      <c r="CH30" s="13"/>
      <c r="CI30" s="13"/>
      <c r="CJ30" s="20" t="s">
        <v>59</v>
      </c>
      <c r="CK30" s="20">
        <v>44</v>
      </c>
      <c r="CL30" s="20">
        <v>97</v>
      </c>
      <c r="CM30" s="20">
        <v>4</v>
      </c>
      <c r="CN30" s="20">
        <v>145</v>
      </c>
      <c r="CO30" s="20">
        <v>553</v>
      </c>
      <c r="CP30" s="20">
        <v>96</v>
      </c>
      <c r="CQ30" s="20">
        <v>649</v>
      </c>
      <c r="CR30" s="20">
        <v>1075</v>
      </c>
      <c r="CS30" s="13"/>
      <c r="CT30" s="13"/>
      <c r="CU30" s="20" t="s">
        <v>59</v>
      </c>
      <c r="CV30" s="20">
        <v>34</v>
      </c>
      <c r="CW30" s="20">
        <v>83</v>
      </c>
      <c r="CX30" s="20">
        <v>6</v>
      </c>
      <c r="CY30" s="20">
        <v>123</v>
      </c>
      <c r="CZ30" s="20">
        <v>407</v>
      </c>
      <c r="DA30" s="20">
        <v>94</v>
      </c>
      <c r="DB30" s="20">
        <v>501</v>
      </c>
      <c r="DC30" s="20">
        <v>895</v>
      </c>
      <c r="DD30" s="13"/>
      <c r="DE30" s="13"/>
      <c r="DF30" s="20" t="s">
        <v>59</v>
      </c>
      <c r="DG30" s="20">
        <v>39</v>
      </c>
      <c r="DH30" s="20">
        <v>107</v>
      </c>
      <c r="DI30" s="20">
        <v>4</v>
      </c>
      <c r="DJ30" s="20">
        <v>150</v>
      </c>
      <c r="DK30" s="20">
        <v>499</v>
      </c>
      <c r="DL30" s="20">
        <v>78</v>
      </c>
      <c r="DM30" s="20">
        <v>577</v>
      </c>
      <c r="DN30" s="20">
        <v>1042</v>
      </c>
      <c r="DO30" s="13"/>
      <c r="DP30" s="13"/>
      <c r="DQ30" s="20" t="s">
        <v>59</v>
      </c>
      <c r="DR30" s="20">
        <v>27</v>
      </c>
      <c r="DS30" s="20">
        <v>69</v>
      </c>
      <c r="DT30" s="20">
        <v>5</v>
      </c>
      <c r="DU30" s="20">
        <v>101</v>
      </c>
      <c r="DV30" s="20">
        <v>382</v>
      </c>
      <c r="DW30" s="20">
        <v>56</v>
      </c>
      <c r="DX30" s="20">
        <v>438</v>
      </c>
      <c r="DY30" s="20">
        <v>779</v>
      </c>
      <c r="DZ30" s="13"/>
      <c r="EA30" s="13"/>
      <c r="EB30" s="19" t="s">
        <v>59</v>
      </c>
      <c r="EC30" s="19">
        <v>39</v>
      </c>
      <c r="ED30" s="19">
        <v>59</v>
      </c>
      <c r="EE30" s="19">
        <v>1</v>
      </c>
      <c r="EF30" s="19">
        <v>99</v>
      </c>
      <c r="EG30" s="19">
        <v>649</v>
      </c>
      <c r="EH30" s="19">
        <v>97</v>
      </c>
      <c r="EI30" s="19">
        <v>746</v>
      </c>
      <c r="EJ30" s="19">
        <v>1048</v>
      </c>
      <c r="EK30" s="13"/>
      <c r="EL30" s="13"/>
      <c r="EM30" s="19" t="s">
        <v>59</v>
      </c>
      <c r="EN30" s="19">
        <v>38</v>
      </c>
      <c r="EO30" s="19">
        <v>85</v>
      </c>
      <c r="EP30" s="19">
        <v>4</v>
      </c>
      <c r="EQ30" s="19">
        <v>127</v>
      </c>
      <c r="ER30" s="19">
        <v>433</v>
      </c>
      <c r="ES30" s="19">
        <v>119</v>
      </c>
      <c r="ET30" s="19">
        <v>552</v>
      </c>
      <c r="EU30" s="19">
        <v>1115</v>
      </c>
      <c r="EV30" s="13"/>
      <c r="EW30" s="13"/>
      <c r="EX30" s="19" t="s">
        <v>59</v>
      </c>
      <c r="EY30" s="19">
        <v>38</v>
      </c>
      <c r="EZ30" s="19">
        <v>81</v>
      </c>
      <c r="FA30" s="19">
        <v>2</v>
      </c>
      <c r="FB30" s="19">
        <v>121</v>
      </c>
      <c r="FC30" s="19">
        <v>441</v>
      </c>
      <c r="FD30" s="19">
        <v>94</v>
      </c>
      <c r="FE30" s="19">
        <v>535</v>
      </c>
      <c r="FF30" s="19">
        <v>826</v>
      </c>
      <c r="FG30" s="13"/>
      <c r="FH30" s="13"/>
      <c r="FI30" s="58" t="s">
        <v>59</v>
      </c>
      <c r="FJ30" s="65">
        <v>33</v>
      </c>
      <c r="FK30" s="65">
        <v>50</v>
      </c>
      <c r="FL30" s="65">
        <v>1</v>
      </c>
      <c r="FM30" s="65">
        <v>84</v>
      </c>
      <c r="FN30" s="65">
        <v>369</v>
      </c>
      <c r="FO30" s="65">
        <v>113</v>
      </c>
      <c r="FP30" s="65">
        <v>482</v>
      </c>
      <c r="FQ30" s="65">
        <v>788</v>
      </c>
      <c r="FR30" s="13"/>
      <c r="FS30" s="70" t="s">
        <v>59</v>
      </c>
      <c r="FT30" s="145">
        <v>52</v>
      </c>
      <c r="FU30" s="145">
        <v>69</v>
      </c>
      <c r="FV30" s="145">
        <v>6</v>
      </c>
      <c r="FW30" s="145">
        <v>127</v>
      </c>
      <c r="FX30" s="145">
        <v>760</v>
      </c>
      <c r="FY30" s="145">
        <v>152</v>
      </c>
      <c r="FZ30" s="145">
        <v>912</v>
      </c>
      <c r="GA30" s="145">
        <v>1570</v>
      </c>
      <c r="GB30" s="13"/>
      <c r="GC30" s="70" t="s">
        <v>59</v>
      </c>
      <c r="GD30" s="71">
        <v>42</v>
      </c>
      <c r="GE30" s="71">
        <v>86</v>
      </c>
      <c r="GF30" s="71">
        <v>6</v>
      </c>
      <c r="GG30" s="71">
        <v>134</v>
      </c>
      <c r="GH30" s="71">
        <v>786</v>
      </c>
      <c r="GI30" s="71">
        <v>164</v>
      </c>
      <c r="GJ30" s="71">
        <v>950</v>
      </c>
      <c r="GK30" s="71">
        <v>1589</v>
      </c>
      <c r="GL30" s="13"/>
      <c r="GM30" s="70" t="s">
        <v>59</v>
      </c>
      <c r="GN30" s="71">
        <v>34</v>
      </c>
      <c r="GO30" s="71">
        <v>62</v>
      </c>
      <c r="GP30" s="71">
        <v>4</v>
      </c>
      <c r="GQ30" s="71">
        <v>100</v>
      </c>
      <c r="GR30" s="71">
        <v>380</v>
      </c>
      <c r="GS30" s="71">
        <v>69</v>
      </c>
      <c r="GT30" s="71">
        <v>449</v>
      </c>
      <c r="GU30" s="71">
        <v>868</v>
      </c>
      <c r="GV30" s="146">
        <v>-17.355371900826448</v>
      </c>
      <c r="GW30" s="147">
        <v>-25.373134328358208</v>
      </c>
    </row>
    <row r="31" spans="1:205" ht="15.5" thickBot="1">
      <c r="A31" s="19" t="s">
        <v>60</v>
      </c>
      <c r="B31" s="20">
        <v>59</v>
      </c>
      <c r="C31" s="20">
        <v>160</v>
      </c>
      <c r="D31" s="20">
        <v>60</v>
      </c>
      <c r="E31" s="20">
        <v>279</v>
      </c>
      <c r="F31" s="20">
        <v>548</v>
      </c>
      <c r="G31" s="20">
        <v>83</v>
      </c>
      <c r="H31" s="20">
        <v>631</v>
      </c>
      <c r="I31" s="20">
        <v>1678</v>
      </c>
      <c r="J31" s="26"/>
      <c r="K31" s="19" t="s">
        <v>60</v>
      </c>
      <c r="L31" s="20">
        <v>58</v>
      </c>
      <c r="M31" s="20">
        <v>173</v>
      </c>
      <c r="N31" s="20">
        <v>68</v>
      </c>
      <c r="O31" s="20">
        <v>299</v>
      </c>
      <c r="P31" s="20">
        <v>670</v>
      </c>
      <c r="Q31" s="20">
        <v>82</v>
      </c>
      <c r="R31" s="20">
        <v>752</v>
      </c>
      <c r="S31" s="20">
        <v>1908</v>
      </c>
      <c r="T31" s="13"/>
      <c r="U31" s="13"/>
      <c r="V31" s="19" t="s">
        <v>60</v>
      </c>
      <c r="W31" s="20">
        <v>73</v>
      </c>
      <c r="X31" s="20">
        <v>185</v>
      </c>
      <c r="Y31" s="20">
        <v>79</v>
      </c>
      <c r="Z31" s="20">
        <v>337</v>
      </c>
      <c r="AA31" s="20">
        <v>637</v>
      </c>
      <c r="AB31" s="20">
        <v>121</v>
      </c>
      <c r="AC31" s="20">
        <v>758</v>
      </c>
      <c r="AD31" s="20">
        <v>1980</v>
      </c>
      <c r="AE31" s="45"/>
      <c r="AF31" s="45"/>
      <c r="AG31" s="50" t="s">
        <v>60</v>
      </c>
      <c r="AH31" s="20">
        <v>59</v>
      </c>
      <c r="AI31" s="20">
        <v>169</v>
      </c>
      <c r="AJ31" s="20">
        <v>71</v>
      </c>
      <c r="AK31" s="20">
        <v>299</v>
      </c>
      <c r="AL31" s="20">
        <v>618</v>
      </c>
      <c r="AM31" s="20">
        <v>98</v>
      </c>
      <c r="AN31" s="20">
        <v>716</v>
      </c>
      <c r="AO31" s="20">
        <v>1889</v>
      </c>
      <c r="AP31" s="13"/>
      <c r="AQ31" s="13"/>
      <c r="AR31" s="20" t="s">
        <v>60</v>
      </c>
      <c r="AS31" s="20">
        <v>71</v>
      </c>
      <c r="AT31" s="20">
        <v>169</v>
      </c>
      <c r="AU31" s="20">
        <v>46</v>
      </c>
      <c r="AV31" s="20">
        <v>286</v>
      </c>
      <c r="AW31" s="20">
        <v>633</v>
      </c>
      <c r="AX31" s="20">
        <v>129</v>
      </c>
      <c r="AY31" s="20">
        <v>762</v>
      </c>
      <c r="AZ31" s="20">
        <v>1920</v>
      </c>
      <c r="BA31" s="13"/>
      <c r="BB31" s="13"/>
      <c r="BC31" s="20" t="s">
        <v>60</v>
      </c>
      <c r="BD31" s="20">
        <v>63</v>
      </c>
      <c r="BE31" s="20">
        <v>158</v>
      </c>
      <c r="BF31" s="20">
        <v>47</v>
      </c>
      <c r="BG31" s="20">
        <v>268</v>
      </c>
      <c r="BH31" s="20">
        <v>656</v>
      </c>
      <c r="BI31" s="20">
        <v>126</v>
      </c>
      <c r="BJ31" s="20">
        <v>782</v>
      </c>
      <c r="BK31" s="20">
        <v>1915</v>
      </c>
      <c r="BL31" s="13"/>
      <c r="BM31" s="13"/>
      <c r="BN31" s="20" t="s">
        <v>60</v>
      </c>
      <c r="BO31" s="20">
        <v>54</v>
      </c>
      <c r="BP31" s="20">
        <v>150</v>
      </c>
      <c r="BQ31" s="20">
        <v>35</v>
      </c>
      <c r="BR31" s="20">
        <v>239</v>
      </c>
      <c r="BS31" s="20">
        <v>595</v>
      </c>
      <c r="BT31" s="20">
        <v>90</v>
      </c>
      <c r="BU31" s="20">
        <v>685</v>
      </c>
      <c r="BV31" s="20">
        <v>1586</v>
      </c>
      <c r="BW31" s="13"/>
      <c r="BX31" s="13"/>
      <c r="BY31" s="20" t="s">
        <v>60</v>
      </c>
      <c r="BZ31" s="20">
        <v>69</v>
      </c>
      <c r="CA31" s="20">
        <v>175</v>
      </c>
      <c r="CB31" s="20">
        <v>62</v>
      </c>
      <c r="CC31" s="20">
        <v>306</v>
      </c>
      <c r="CD31" s="20">
        <v>718</v>
      </c>
      <c r="CE31" s="20">
        <v>102</v>
      </c>
      <c r="CF31" s="20">
        <v>820</v>
      </c>
      <c r="CG31" s="20">
        <v>1817</v>
      </c>
      <c r="CH31" s="13"/>
      <c r="CI31" s="13"/>
      <c r="CJ31" s="20" t="s">
        <v>60</v>
      </c>
      <c r="CK31" s="20">
        <v>56</v>
      </c>
      <c r="CL31" s="20">
        <v>192</v>
      </c>
      <c r="CM31" s="20">
        <v>53</v>
      </c>
      <c r="CN31" s="20">
        <v>301</v>
      </c>
      <c r="CO31" s="20">
        <v>663</v>
      </c>
      <c r="CP31" s="20">
        <v>77</v>
      </c>
      <c r="CQ31" s="20">
        <v>740</v>
      </c>
      <c r="CR31" s="20">
        <v>1737</v>
      </c>
      <c r="CS31" s="13"/>
      <c r="CT31" s="13"/>
      <c r="CU31" s="20" t="s">
        <v>60</v>
      </c>
      <c r="CV31" s="20">
        <v>60</v>
      </c>
      <c r="CW31" s="20">
        <v>175</v>
      </c>
      <c r="CX31" s="20">
        <v>34</v>
      </c>
      <c r="CY31" s="20">
        <v>269</v>
      </c>
      <c r="CZ31" s="20">
        <v>707</v>
      </c>
      <c r="DA31" s="20">
        <v>113</v>
      </c>
      <c r="DB31" s="20">
        <v>820</v>
      </c>
      <c r="DC31" s="20">
        <v>1742</v>
      </c>
      <c r="DD31" s="13"/>
      <c r="DE31" s="13"/>
      <c r="DF31" s="20" t="s">
        <v>60</v>
      </c>
      <c r="DG31" s="20">
        <v>67</v>
      </c>
      <c r="DH31" s="20">
        <v>172</v>
      </c>
      <c r="DI31" s="20">
        <v>44</v>
      </c>
      <c r="DJ31" s="20">
        <v>283</v>
      </c>
      <c r="DK31" s="20">
        <v>621</v>
      </c>
      <c r="DL31" s="20">
        <v>97</v>
      </c>
      <c r="DM31" s="20">
        <v>718</v>
      </c>
      <c r="DN31" s="20">
        <v>1777</v>
      </c>
      <c r="DO31" s="13"/>
      <c r="DP31" s="13"/>
      <c r="DQ31" s="20" t="s">
        <v>60</v>
      </c>
      <c r="DR31" s="20">
        <v>51</v>
      </c>
      <c r="DS31" s="20">
        <v>133</v>
      </c>
      <c r="DT31" s="20">
        <v>28</v>
      </c>
      <c r="DU31" s="20">
        <v>212</v>
      </c>
      <c r="DV31" s="20">
        <v>584</v>
      </c>
      <c r="DW31" s="20">
        <v>82</v>
      </c>
      <c r="DX31" s="20">
        <v>666</v>
      </c>
      <c r="DY31" s="20">
        <v>1479</v>
      </c>
      <c r="DZ31" s="13"/>
      <c r="EA31" s="13"/>
      <c r="EB31" s="19" t="s">
        <v>60</v>
      </c>
      <c r="EC31" s="19">
        <v>66</v>
      </c>
      <c r="ED31" s="19">
        <v>114</v>
      </c>
      <c r="EE31" s="19">
        <v>22</v>
      </c>
      <c r="EF31" s="19">
        <v>202</v>
      </c>
      <c r="EG31" s="19">
        <v>521</v>
      </c>
      <c r="EH31" s="19">
        <v>102</v>
      </c>
      <c r="EI31" s="19">
        <v>623</v>
      </c>
      <c r="EJ31" s="19">
        <v>1343</v>
      </c>
      <c r="EK31" s="13"/>
      <c r="EL31" s="13"/>
      <c r="EM31" s="19" t="s">
        <v>60</v>
      </c>
      <c r="EN31" s="19">
        <v>53</v>
      </c>
      <c r="EO31" s="19">
        <v>131</v>
      </c>
      <c r="EP31" s="19">
        <v>16</v>
      </c>
      <c r="EQ31" s="19">
        <v>200</v>
      </c>
      <c r="ER31" s="19">
        <v>542</v>
      </c>
      <c r="ES31" s="19">
        <v>98</v>
      </c>
      <c r="ET31" s="19">
        <v>640</v>
      </c>
      <c r="EU31" s="19">
        <v>1266</v>
      </c>
      <c r="EV31" s="13"/>
      <c r="EW31" s="13"/>
      <c r="EX31" s="19" t="s">
        <v>60</v>
      </c>
      <c r="EY31" s="19">
        <v>57</v>
      </c>
      <c r="EZ31" s="19">
        <v>102</v>
      </c>
      <c r="FA31" s="19">
        <v>20</v>
      </c>
      <c r="FB31" s="19">
        <v>179</v>
      </c>
      <c r="FC31" s="19">
        <v>519</v>
      </c>
      <c r="FD31" s="19">
        <v>92</v>
      </c>
      <c r="FE31" s="19">
        <v>611</v>
      </c>
      <c r="FF31" s="19">
        <v>1371</v>
      </c>
      <c r="FG31" s="13"/>
      <c r="FH31" s="13"/>
      <c r="FI31" s="58" t="s">
        <v>60</v>
      </c>
      <c r="FJ31" s="65">
        <v>47</v>
      </c>
      <c r="FK31" s="65">
        <v>114</v>
      </c>
      <c r="FL31" s="65">
        <v>29</v>
      </c>
      <c r="FM31" s="65">
        <v>190</v>
      </c>
      <c r="FN31" s="65">
        <v>477</v>
      </c>
      <c r="FO31" s="65">
        <v>91</v>
      </c>
      <c r="FP31" s="65">
        <v>568</v>
      </c>
      <c r="FQ31" s="65">
        <v>1506</v>
      </c>
      <c r="FR31" s="13"/>
      <c r="FS31" s="70" t="s">
        <v>60</v>
      </c>
      <c r="FT31" s="145">
        <v>62</v>
      </c>
      <c r="FU31" s="145">
        <v>124</v>
      </c>
      <c r="FV31" s="145">
        <v>57</v>
      </c>
      <c r="FW31" s="145">
        <v>243</v>
      </c>
      <c r="FX31" s="145">
        <v>566</v>
      </c>
      <c r="FY31" s="145">
        <v>87</v>
      </c>
      <c r="FZ31" s="145">
        <v>653</v>
      </c>
      <c r="GA31" s="145">
        <v>1849</v>
      </c>
      <c r="GB31" s="13"/>
      <c r="GC31" s="70" t="s">
        <v>60</v>
      </c>
      <c r="GD31" s="71">
        <v>57</v>
      </c>
      <c r="GE31" s="71">
        <v>128</v>
      </c>
      <c r="GF31" s="71">
        <v>43</v>
      </c>
      <c r="GG31" s="71">
        <v>228</v>
      </c>
      <c r="GH31" s="71">
        <v>486</v>
      </c>
      <c r="GI31" s="71">
        <v>95</v>
      </c>
      <c r="GJ31" s="71">
        <v>581</v>
      </c>
      <c r="GK31" s="71">
        <v>1555</v>
      </c>
      <c r="GL31" s="13"/>
      <c r="GM31" s="70" t="s">
        <v>60</v>
      </c>
      <c r="GN31" s="71">
        <v>64</v>
      </c>
      <c r="GO31" s="71">
        <v>162</v>
      </c>
      <c r="GP31" s="71">
        <v>60</v>
      </c>
      <c r="GQ31" s="71">
        <v>286</v>
      </c>
      <c r="GR31" s="71">
        <v>703</v>
      </c>
      <c r="GS31" s="71">
        <v>119</v>
      </c>
      <c r="GT31" s="71">
        <v>822</v>
      </c>
      <c r="GU31" s="71">
        <v>1987</v>
      </c>
      <c r="GV31" s="146">
        <v>59.77653631284916</v>
      </c>
      <c r="GW31" s="147">
        <v>25.438596491228072</v>
      </c>
    </row>
    <row r="32" spans="1:205" ht="15.5" thickBot="1">
      <c r="A32" s="19" t="s">
        <v>61</v>
      </c>
      <c r="B32" s="20">
        <v>49</v>
      </c>
      <c r="C32" s="20">
        <v>56</v>
      </c>
      <c r="D32" s="20">
        <v>9</v>
      </c>
      <c r="E32" s="20">
        <v>114</v>
      </c>
      <c r="F32" s="20">
        <v>320</v>
      </c>
      <c r="G32" s="20">
        <v>84</v>
      </c>
      <c r="H32" s="20">
        <v>404</v>
      </c>
      <c r="I32" s="20">
        <v>899</v>
      </c>
      <c r="J32" s="26"/>
      <c r="K32" s="19" t="s">
        <v>61</v>
      </c>
      <c r="L32" s="20">
        <v>32</v>
      </c>
      <c r="M32" s="20">
        <v>76</v>
      </c>
      <c r="N32" s="20">
        <v>7</v>
      </c>
      <c r="O32" s="20">
        <v>115</v>
      </c>
      <c r="P32" s="20">
        <v>290</v>
      </c>
      <c r="Q32" s="20">
        <v>43</v>
      </c>
      <c r="R32" s="20">
        <v>333</v>
      </c>
      <c r="S32" s="20">
        <v>752</v>
      </c>
      <c r="T32" s="13"/>
      <c r="U32" s="13"/>
      <c r="V32" s="19" t="s">
        <v>61</v>
      </c>
      <c r="W32" s="20">
        <v>32</v>
      </c>
      <c r="X32" s="20">
        <v>68</v>
      </c>
      <c r="Y32" s="20">
        <v>14</v>
      </c>
      <c r="Z32" s="20">
        <v>114</v>
      </c>
      <c r="AA32" s="20">
        <v>299</v>
      </c>
      <c r="AB32" s="20">
        <v>47</v>
      </c>
      <c r="AC32" s="20">
        <v>346</v>
      </c>
      <c r="AD32" s="20">
        <v>772</v>
      </c>
      <c r="AE32" s="45"/>
      <c r="AF32" s="45"/>
      <c r="AG32" s="50" t="s">
        <v>61</v>
      </c>
      <c r="AH32" s="20">
        <v>31</v>
      </c>
      <c r="AI32" s="20">
        <v>62</v>
      </c>
      <c r="AJ32" s="20">
        <v>3</v>
      </c>
      <c r="AK32" s="20">
        <v>96</v>
      </c>
      <c r="AL32" s="20">
        <v>251</v>
      </c>
      <c r="AM32" s="20">
        <v>51</v>
      </c>
      <c r="AN32" s="20">
        <v>302</v>
      </c>
      <c r="AO32" s="20">
        <v>580</v>
      </c>
      <c r="AP32" s="13"/>
      <c r="AQ32" s="13"/>
      <c r="AR32" s="20" t="s">
        <v>61</v>
      </c>
      <c r="AS32" s="20">
        <v>39</v>
      </c>
      <c r="AT32" s="20">
        <v>78</v>
      </c>
      <c r="AU32" s="20">
        <v>17</v>
      </c>
      <c r="AV32" s="20">
        <v>134</v>
      </c>
      <c r="AW32" s="20">
        <v>247</v>
      </c>
      <c r="AX32" s="20">
        <v>62</v>
      </c>
      <c r="AY32" s="20">
        <v>309</v>
      </c>
      <c r="AZ32" s="20">
        <v>797</v>
      </c>
      <c r="BA32" s="13"/>
      <c r="BB32" s="13"/>
      <c r="BC32" s="20" t="s">
        <v>61</v>
      </c>
      <c r="BD32" s="20">
        <v>33</v>
      </c>
      <c r="BE32" s="20">
        <v>82</v>
      </c>
      <c r="BF32" s="20">
        <v>12</v>
      </c>
      <c r="BG32" s="20">
        <v>127</v>
      </c>
      <c r="BH32" s="20">
        <v>355</v>
      </c>
      <c r="BI32" s="20">
        <v>54</v>
      </c>
      <c r="BJ32" s="20">
        <v>409</v>
      </c>
      <c r="BK32" s="20">
        <v>1038</v>
      </c>
      <c r="BL32" s="13"/>
      <c r="BM32" s="13"/>
      <c r="BN32" s="20" t="s">
        <v>61</v>
      </c>
      <c r="BO32" s="20">
        <v>25</v>
      </c>
      <c r="BP32" s="20">
        <v>74</v>
      </c>
      <c r="BQ32" s="20">
        <v>15</v>
      </c>
      <c r="BR32" s="20">
        <v>114</v>
      </c>
      <c r="BS32" s="20">
        <v>244</v>
      </c>
      <c r="BT32" s="20">
        <v>35</v>
      </c>
      <c r="BU32" s="20">
        <v>279</v>
      </c>
      <c r="BV32" s="20">
        <v>529</v>
      </c>
      <c r="BW32" s="13"/>
      <c r="BX32" s="13"/>
      <c r="BY32" s="20" t="s">
        <v>61</v>
      </c>
      <c r="BZ32" s="20">
        <v>34</v>
      </c>
      <c r="CA32" s="20">
        <v>99</v>
      </c>
      <c r="CB32" s="20">
        <v>6</v>
      </c>
      <c r="CC32" s="20">
        <v>139</v>
      </c>
      <c r="CD32" s="20">
        <v>356</v>
      </c>
      <c r="CE32" s="20">
        <v>59</v>
      </c>
      <c r="CF32" s="20">
        <v>415</v>
      </c>
      <c r="CG32" s="20">
        <v>1034</v>
      </c>
      <c r="CH32" s="13"/>
      <c r="CI32" s="13"/>
      <c r="CJ32" s="20" t="s">
        <v>61</v>
      </c>
      <c r="CK32" s="20">
        <v>23</v>
      </c>
      <c r="CL32" s="20">
        <v>78</v>
      </c>
      <c r="CM32" s="20">
        <v>8</v>
      </c>
      <c r="CN32" s="20">
        <v>109</v>
      </c>
      <c r="CO32" s="20">
        <v>247</v>
      </c>
      <c r="CP32" s="20">
        <v>33</v>
      </c>
      <c r="CQ32" s="20">
        <v>280</v>
      </c>
      <c r="CR32" s="20">
        <v>593</v>
      </c>
      <c r="CS32" s="13"/>
      <c r="CT32" s="13"/>
      <c r="CU32" s="20" t="s">
        <v>61</v>
      </c>
      <c r="CV32" s="20">
        <v>23</v>
      </c>
      <c r="CW32" s="20">
        <v>71</v>
      </c>
      <c r="CX32" s="20">
        <v>5</v>
      </c>
      <c r="CY32" s="20">
        <v>99</v>
      </c>
      <c r="CZ32" s="20">
        <v>239</v>
      </c>
      <c r="DA32" s="20">
        <v>43</v>
      </c>
      <c r="DB32" s="20">
        <v>282</v>
      </c>
      <c r="DC32" s="20">
        <v>618</v>
      </c>
      <c r="DD32" s="13"/>
      <c r="DE32" s="13"/>
      <c r="DF32" s="20" t="s">
        <v>61</v>
      </c>
      <c r="DG32" s="20">
        <v>29</v>
      </c>
      <c r="DH32" s="20">
        <v>76</v>
      </c>
      <c r="DI32" s="20">
        <v>8</v>
      </c>
      <c r="DJ32" s="20">
        <v>113</v>
      </c>
      <c r="DK32" s="20">
        <v>278</v>
      </c>
      <c r="DL32" s="20">
        <v>39</v>
      </c>
      <c r="DM32" s="20">
        <v>317</v>
      </c>
      <c r="DN32" s="20">
        <v>668</v>
      </c>
      <c r="DO32" s="13"/>
      <c r="DP32" s="13"/>
      <c r="DQ32" s="20" t="s">
        <v>61</v>
      </c>
      <c r="DR32" s="20">
        <v>26</v>
      </c>
      <c r="DS32" s="20">
        <v>38</v>
      </c>
      <c r="DT32" s="20">
        <v>4</v>
      </c>
      <c r="DU32" s="20">
        <v>68</v>
      </c>
      <c r="DV32" s="20">
        <v>161</v>
      </c>
      <c r="DW32" s="20">
        <v>44</v>
      </c>
      <c r="DX32" s="20">
        <v>205</v>
      </c>
      <c r="DY32" s="20">
        <v>433</v>
      </c>
      <c r="DZ32" s="13"/>
      <c r="EA32" s="13"/>
      <c r="EB32" s="19" t="s">
        <v>61</v>
      </c>
      <c r="EC32" s="19">
        <v>35</v>
      </c>
      <c r="ED32" s="19">
        <v>60</v>
      </c>
      <c r="EE32" s="19">
        <v>5</v>
      </c>
      <c r="EF32" s="19">
        <v>100</v>
      </c>
      <c r="EG32" s="19">
        <v>264</v>
      </c>
      <c r="EH32" s="19">
        <v>54</v>
      </c>
      <c r="EI32" s="19">
        <v>318</v>
      </c>
      <c r="EJ32" s="19">
        <v>704</v>
      </c>
      <c r="EK32" s="13"/>
      <c r="EL32" s="13"/>
      <c r="EM32" s="19" t="s">
        <v>61</v>
      </c>
      <c r="EN32" s="19">
        <v>20</v>
      </c>
      <c r="EO32" s="19">
        <v>58</v>
      </c>
      <c r="EP32" s="19">
        <v>6</v>
      </c>
      <c r="EQ32" s="19">
        <v>84</v>
      </c>
      <c r="ER32" s="19">
        <v>245</v>
      </c>
      <c r="ES32" s="19">
        <v>35</v>
      </c>
      <c r="ET32" s="19">
        <v>280</v>
      </c>
      <c r="EU32" s="19">
        <v>537</v>
      </c>
      <c r="EV32" s="13"/>
      <c r="EW32" s="13"/>
      <c r="EX32" s="19" t="s">
        <v>61</v>
      </c>
      <c r="EY32" s="19">
        <v>35</v>
      </c>
      <c r="EZ32" s="19">
        <v>52</v>
      </c>
      <c r="FA32" s="19">
        <v>7</v>
      </c>
      <c r="FB32" s="19">
        <v>94</v>
      </c>
      <c r="FC32" s="19">
        <v>226</v>
      </c>
      <c r="FD32" s="19">
        <v>50</v>
      </c>
      <c r="FE32" s="19">
        <v>276</v>
      </c>
      <c r="FF32" s="19">
        <v>591</v>
      </c>
      <c r="FG32" s="13"/>
      <c r="FH32" s="13"/>
      <c r="FI32" s="58" t="s">
        <v>61</v>
      </c>
      <c r="FJ32" s="65">
        <v>19</v>
      </c>
      <c r="FK32" s="65">
        <v>38</v>
      </c>
      <c r="FL32" s="65">
        <v>7</v>
      </c>
      <c r="FM32" s="65">
        <v>64</v>
      </c>
      <c r="FN32" s="65">
        <v>122</v>
      </c>
      <c r="FO32" s="65">
        <v>41</v>
      </c>
      <c r="FP32" s="65">
        <v>163</v>
      </c>
      <c r="FQ32" s="65">
        <v>324</v>
      </c>
      <c r="FR32" s="13"/>
      <c r="FS32" s="70" t="s">
        <v>61</v>
      </c>
      <c r="FT32" s="145">
        <v>21</v>
      </c>
      <c r="FU32" s="145">
        <v>55</v>
      </c>
      <c r="FV32" s="145">
        <v>11</v>
      </c>
      <c r="FW32" s="145">
        <v>87</v>
      </c>
      <c r="FX32" s="145">
        <v>185</v>
      </c>
      <c r="FY32" s="145">
        <v>44</v>
      </c>
      <c r="FZ32" s="145">
        <v>229</v>
      </c>
      <c r="GA32" s="145">
        <v>506</v>
      </c>
      <c r="GB32" s="13"/>
      <c r="GC32" s="70" t="s">
        <v>61</v>
      </c>
      <c r="GD32" s="71">
        <v>18</v>
      </c>
      <c r="GE32" s="71">
        <v>79</v>
      </c>
      <c r="GF32" s="71">
        <v>3</v>
      </c>
      <c r="GG32" s="71">
        <v>100</v>
      </c>
      <c r="GH32" s="71">
        <v>240</v>
      </c>
      <c r="GI32" s="71">
        <v>52</v>
      </c>
      <c r="GJ32" s="71">
        <v>292</v>
      </c>
      <c r="GK32" s="71">
        <v>603</v>
      </c>
      <c r="GL32" s="13"/>
      <c r="GM32" s="70" t="s">
        <v>61</v>
      </c>
      <c r="GN32" s="71">
        <v>29</v>
      </c>
      <c r="GO32" s="71">
        <v>68</v>
      </c>
      <c r="GP32" s="71">
        <v>9</v>
      </c>
      <c r="GQ32" s="71">
        <v>106</v>
      </c>
      <c r="GR32" s="71">
        <v>256</v>
      </c>
      <c r="GS32" s="71">
        <v>37</v>
      </c>
      <c r="GT32" s="71">
        <v>293</v>
      </c>
      <c r="GU32" s="71">
        <v>680</v>
      </c>
      <c r="GV32" s="146">
        <v>12.76595744680851</v>
      </c>
      <c r="GW32" s="147">
        <v>6</v>
      </c>
    </row>
    <row r="33" spans="1:205" ht="15.5" thickBot="1">
      <c r="A33" s="19" t="s">
        <v>62</v>
      </c>
      <c r="B33" s="20">
        <v>34</v>
      </c>
      <c r="C33" s="20">
        <v>65</v>
      </c>
      <c r="D33" s="20">
        <v>10</v>
      </c>
      <c r="E33" s="20">
        <v>109</v>
      </c>
      <c r="F33" s="20">
        <v>292</v>
      </c>
      <c r="G33" s="20">
        <v>52</v>
      </c>
      <c r="H33" s="20">
        <v>344</v>
      </c>
      <c r="I33" s="20">
        <v>711</v>
      </c>
      <c r="J33" s="26"/>
      <c r="K33" s="19" t="s">
        <v>62</v>
      </c>
      <c r="L33" s="20">
        <v>22</v>
      </c>
      <c r="M33" s="20">
        <v>72</v>
      </c>
      <c r="N33" s="20">
        <v>11</v>
      </c>
      <c r="O33" s="20">
        <v>105</v>
      </c>
      <c r="P33" s="20">
        <v>317</v>
      </c>
      <c r="Q33" s="20">
        <v>43</v>
      </c>
      <c r="R33" s="20">
        <v>360</v>
      </c>
      <c r="S33" s="20">
        <v>749</v>
      </c>
      <c r="T33" s="13"/>
      <c r="U33" s="13"/>
      <c r="V33" s="19" t="s">
        <v>62</v>
      </c>
      <c r="W33" s="20">
        <v>24</v>
      </c>
      <c r="X33" s="20">
        <v>55</v>
      </c>
      <c r="Y33" s="20">
        <v>8</v>
      </c>
      <c r="Z33" s="20">
        <v>87</v>
      </c>
      <c r="AA33" s="20">
        <v>250</v>
      </c>
      <c r="AB33" s="20">
        <v>52</v>
      </c>
      <c r="AC33" s="20">
        <v>302</v>
      </c>
      <c r="AD33" s="20">
        <v>615</v>
      </c>
      <c r="AE33" s="45"/>
      <c r="AF33" s="45"/>
      <c r="AG33" s="50" t="s">
        <v>62</v>
      </c>
      <c r="AH33" s="20">
        <v>35</v>
      </c>
      <c r="AI33" s="20">
        <v>57</v>
      </c>
      <c r="AJ33" s="20">
        <v>13</v>
      </c>
      <c r="AK33" s="20">
        <v>105</v>
      </c>
      <c r="AL33" s="20">
        <v>324</v>
      </c>
      <c r="AM33" s="20">
        <v>82</v>
      </c>
      <c r="AN33" s="20">
        <v>406</v>
      </c>
      <c r="AO33" s="20">
        <v>866</v>
      </c>
      <c r="AP33" s="13"/>
      <c r="AQ33" s="13"/>
      <c r="AR33" s="20" t="s">
        <v>62</v>
      </c>
      <c r="AS33" s="20">
        <v>27</v>
      </c>
      <c r="AT33" s="20">
        <v>64</v>
      </c>
      <c r="AU33" s="20">
        <v>16</v>
      </c>
      <c r="AV33" s="20">
        <v>107</v>
      </c>
      <c r="AW33" s="20">
        <v>302</v>
      </c>
      <c r="AX33" s="20">
        <v>63</v>
      </c>
      <c r="AY33" s="20">
        <v>365</v>
      </c>
      <c r="AZ33" s="20">
        <v>813</v>
      </c>
      <c r="BA33" s="13"/>
      <c r="BB33" s="13"/>
      <c r="BC33" s="20" t="s">
        <v>62</v>
      </c>
      <c r="BD33" s="20">
        <v>23</v>
      </c>
      <c r="BE33" s="20">
        <v>67</v>
      </c>
      <c r="BF33" s="20">
        <v>12</v>
      </c>
      <c r="BG33" s="20">
        <v>102</v>
      </c>
      <c r="BH33" s="20">
        <v>376</v>
      </c>
      <c r="BI33" s="20">
        <v>29</v>
      </c>
      <c r="BJ33" s="20">
        <v>405</v>
      </c>
      <c r="BK33" s="20">
        <v>883</v>
      </c>
      <c r="BL33" s="13"/>
      <c r="BM33" s="13"/>
      <c r="BN33" s="20" t="s">
        <v>62</v>
      </c>
      <c r="BO33" s="20">
        <v>15</v>
      </c>
      <c r="BP33" s="20">
        <v>56</v>
      </c>
      <c r="BQ33" s="20">
        <v>7</v>
      </c>
      <c r="BR33" s="20">
        <v>78</v>
      </c>
      <c r="BS33" s="20">
        <v>245</v>
      </c>
      <c r="BT33" s="20">
        <v>20</v>
      </c>
      <c r="BU33" s="20">
        <v>265</v>
      </c>
      <c r="BV33" s="20">
        <v>588</v>
      </c>
      <c r="BW33" s="13"/>
      <c r="BX33" s="13"/>
      <c r="BY33" s="20" t="s">
        <v>62</v>
      </c>
      <c r="BZ33" s="20">
        <v>10</v>
      </c>
      <c r="CA33" s="20">
        <v>80</v>
      </c>
      <c r="CB33" s="20">
        <v>5</v>
      </c>
      <c r="CC33" s="20">
        <v>95</v>
      </c>
      <c r="CD33" s="20">
        <v>327</v>
      </c>
      <c r="CE33" s="20">
        <v>30</v>
      </c>
      <c r="CF33" s="20">
        <v>357</v>
      </c>
      <c r="CG33" s="20">
        <v>823</v>
      </c>
      <c r="CH33" s="13"/>
      <c r="CI33" s="13"/>
      <c r="CJ33" s="20" t="s">
        <v>62</v>
      </c>
      <c r="CK33" s="20">
        <v>19</v>
      </c>
      <c r="CL33" s="20">
        <v>73</v>
      </c>
      <c r="CM33" s="20">
        <v>9</v>
      </c>
      <c r="CN33" s="20">
        <v>101</v>
      </c>
      <c r="CO33" s="20">
        <v>319</v>
      </c>
      <c r="CP33" s="20">
        <v>39</v>
      </c>
      <c r="CQ33" s="20">
        <v>358</v>
      </c>
      <c r="CR33" s="20">
        <v>795</v>
      </c>
      <c r="CS33" s="13"/>
      <c r="CT33" s="13"/>
      <c r="CU33" s="20" t="s">
        <v>62</v>
      </c>
      <c r="CV33" s="20">
        <v>10</v>
      </c>
      <c r="CW33" s="20">
        <v>54</v>
      </c>
      <c r="CX33" s="20">
        <v>5</v>
      </c>
      <c r="CY33" s="20">
        <v>69</v>
      </c>
      <c r="CZ33" s="20">
        <v>255</v>
      </c>
      <c r="DA33" s="20">
        <v>13</v>
      </c>
      <c r="DB33" s="20">
        <v>268</v>
      </c>
      <c r="DC33" s="20">
        <v>559</v>
      </c>
      <c r="DD33" s="13"/>
      <c r="DE33" s="13"/>
      <c r="DF33" s="20" t="s">
        <v>62</v>
      </c>
      <c r="DG33" s="20">
        <v>18</v>
      </c>
      <c r="DH33" s="20">
        <v>58</v>
      </c>
      <c r="DI33" s="20">
        <v>13</v>
      </c>
      <c r="DJ33" s="20">
        <v>89</v>
      </c>
      <c r="DK33" s="20">
        <v>230</v>
      </c>
      <c r="DL33" s="20">
        <v>54</v>
      </c>
      <c r="DM33" s="20">
        <v>284</v>
      </c>
      <c r="DN33" s="20">
        <v>639</v>
      </c>
      <c r="DO33" s="13"/>
      <c r="DP33" s="13"/>
      <c r="DQ33" s="20" t="s">
        <v>62</v>
      </c>
      <c r="DR33" s="20">
        <v>20</v>
      </c>
      <c r="DS33" s="20">
        <v>36</v>
      </c>
      <c r="DT33" s="20">
        <v>11</v>
      </c>
      <c r="DU33" s="20">
        <v>67</v>
      </c>
      <c r="DV33" s="20">
        <v>239</v>
      </c>
      <c r="DW33" s="20">
        <v>41</v>
      </c>
      <c r="DX33" s="20">
        <v>280</v>
      </c>
      <c r="DY33" s="20">
        <v>571</v>
      </c>
      <c r="DZ33" s="13"/>
      <c r="EA33" s="13"/>
      <c r="EB33" s="19" t="s">
        <v>62</v>
      </c>
      <c r="EC33" s="19">
        <v>26</v>
      </c>
      <c r="ED33" s="19">
        <v>54</v>
      </c>
      <c r="EE33" s="19">
        <v>16</v>
      </c>
      <c r="EF33" s="19">
        <v>96</v>
      </c>
      <c r="EG33" s="19">
        <v>287</v>
      </c>
      <c r="EH33" s="19">
        <v>47</v>
      </c>
      <c r="EI33" s="19">
        <v>334</v>
      </c>
      <c r="EJ33" s="19">
        <v>712</v>
      </c>
      <c r="EK33" s="13"/>
      <c r="EL33" s="13"/>
      <c r="EM33" s="19" t="s">
        <v>62</v>
      </c>
      <c r="EN33" s="19">
        <v>29</v>
      </c>
      <c r="EO33" s="19">
        <v>61</v>
      </c>
      <c r="EP33" s="19">
        <v>10</v>
      </c>
      <c r="EQ33" s="19">
        <v>100</v>
      </c>
      <c r="ER33" s="19">
        <v>376</v>
      </c>
      <c r="ES33" s="19">
        <v>96</v>
      </c>
      <c r="ET33" s="19">
        <v>472</v>
      </c>
      <c r="EU33" s="19">
        <v>863</v>
      </c>
      <c r="EV33" s="13"/>
      <c r="EW33" s="13"/>
      <c r="EX33" s="19" t="s">
        <v>62</v>
      </c>
      <c r="EY33" s="19">
        <v>26</v>
      </c>
      <c r="EZ33" s="19">
        <v>55</v>
      </c>
      <c r="FA33" s="19">
        <v>6</v>
      </c>
      <c r="FB33" s="19">
        <v>87</v>
      </c>
      <c r="FC33" s="19">
        <v>291</v>
      </c>
      <c r="FD33" s="19">
        <v>37</v>
      </c>
      <c r="FE33" s="19">
        <v>328</v>
      </c>
      <c r="FF33" s="19">
        <v>700</v>
      </c>
      <c r="FG33" s="13"/>
      <c r="FH33" s="13"/>
      <c r="FI33" s="58" t="s">
        <v>62</v>
      </c>
      <c r="FJ33" s="65">
        <v>22</v>
      </c>
      <c r="FK33" s="65">
        <v>41</v>
      </c>
      <c r="FL33" s="65">
        <v>4</v>
      </c>
      <c r="FM33" s="65">
        <v>67</v>
      </c>
      <c r="FN33" s="65">
        <v>263</v>
      </c>
      <c r="FO33" s="65">
        <v>44</v>
      </c>
      <c r="FP33" s="65">
        <v>307</v>
      </c>
      <c r="FQ33" s="65">
        <v>626</v>
      </c>
      <c r="FR33" s="13"/>
      <c r="FS33" s="70" t="s">
        <v>62</v>
      </c>
      <c r="FT33" s="145">
        <v>15</v>
      </c>
      <c r="FU33" s="145">
        <v>45</v>
      </c>
      <c r="FV33" s="145">
        <v>11</v>
      </c>
      <c r="FW33" s="145">
        <v>71</v>
      </c>
      <c r="FX33" s="145">
        <v>250</v>
      </c>
      <c r="FY33" s="145">
        <v>22</v>
      </c>
      <c r="FZ33" s="145">
        <v>272</v>
      </c>
      <c r="GA33" s="145">
        <v>612</v>
      </c>
      <c r="GB33" s="13"/>
      <c r="GC33" s="70" t="s">
        <v>62</v>
      </c>
      <c r="GD33" s="71">
        <v>20</v>
      </c>
      <c r="GE33" s="71">
        <v>51</v>
      </c>
      <c r="GF33" s="71">
        <v>2</v>
      </c>
      <c r="GG33" s="71">
        <v>73</v>
      </c>
      <c r="GH33" s="71">
        <v>194</v>
      </c>
      <c r="GI33" s="71">
        <v>32</v>
      </c>
      <c r="GJ33" s="71">
        <v>226</v>
      </c>
      <c r="GK33" s="71">
        <v>682</v>
      </c>
      <c r="GL33" s="13"/>
      <c r="GM33" s="70" t="s">
        <v>62</v>
      </c>
      <c r="GN33" s="71">
        <v>12</v>
      </c>
      <c r="GO33" s="71">
        <v>40</v>
      </c>
      <c r="GP33" s="71">
        <v>1</v>
      </c>
      <c r="GQ33" s="71">
        <v>53</v>
      </c>
      <c r="GR33" s="71">
        <v>212</v>
      </c>
      <c r="GS33" s="71">
        <v>24</v>
      </c>
      <c r="GT33" s="71">
        <v>236</v>
      </c>
      <c r="GU33" s="71">
        <v>495</v>
      </c>
      <c r="GV33" s="146">
        <v>-39.080459770114942</v>
      </c>
      <c r="GW33" s="147">
        <v>-27.397260273972602</v>
      </c>
    </row>
    <row r="34" spans="1:205" ht="15.5" thickBot="1">
      <c r="A34" s="19" t="s">
        <v>63</v>
      </c>
      <c r="B34" s="20">
        <v>41</v>
      </c>
      <c r="C34" s="20">
        <v>89</v>
      </c>
      <c r="D34" s="20">
        <v>25</v>
      </c>
      <c r="E34" s="20">
        <v>155</v>
      </c>
      <c r="F34" s="20">
        <v>385</v>
      </c>
      <c r="G34" s="20">
        <v>68</v>
      </c>
      <c r="H34" s="20">
        <v>453</v>
      </c>
      <c r="I34" s="20">
        <v>1120</v>
      </c>
      <c r="J34" s="26"/>
      <c r="K34" s="19" t="s">
        <v>63</v>
      </c>
      <c r="L34" s="20">
        <v>56</v>
      </c>
      <c r="M34" s="20">
        <v>107</v>
      </c>
      <c r="N34" s="20">
        <v>13</v>
      </c>
      <c r="O34" s="20">
        <v>176</v>
      </c>
      <c r="P34" s="20">
        <v>399</v>
      </c>
      <c r="Q34" s="20">
        <v>103</v>
      </c>
      <c r="R34" s="20">
        <v>502</v>
      </c>
      <c r="S34" s="20">
        <v>1169</v>
      </c>
      <c r="T34" s="13"/>
      <c r="U34" s="13"/>
      <c r="V34" s="19" t="s">
        <v>63</v>
      </c>
      <c r="W34" s="20">
        <v>46</v>
      </c>
      <c r="X34" s="20">
        <v>96</v>
      </c>
      <c r="Y34" s="20">
        <v>10</v>
      </c>
      <c r="Z34" s="20">
        <v>152</v>
      </c>
      <c r="AA34" s="20">
        <v>400</v>
      </c>
      <c r="AB34" s="20">
        <v>85</v>
      </c>
      <c r="AC34" s="20">
        <v>485</v>
      </c>
      <c r="AD34" s="20">
        <v>1009</v>
      </c>
      <c r="AE34" s="45"/>
      <c r="AF34" s="45"/>
      <c r="AG34" s="50" t="s">
        <v>63</v>
      </c>
      <c r="AH34" s="20">
        <v>34</v>
      </c>
      <c r="AI34" s="20">
        <v>93</v>
      </c>
      <c r="AJ34" s="20">
        <v>10</v>
      </c>
      <c r="AK34" s="20">
        <v>137</v>
      </c>
      <c r="AL34" s="20">
        <v>344</v>
      </c>
      <c r="AM34" s="20">
        <v>58</v>
      </c>
      <c r="AN34" s="20">
        <v>402</v>
      </c>
      <c r="AO34" s="20">
        <v>888</v>
      </c>
      <c r="AP34" s="13"/>
      <c r="AQ34" s="13"/>
      <c r="AR34" s="20" t="s">
        <v>63</v>
      </c>
      <c r="AS34" s="20">
        <v>53</v>
      </c>
      <c r="AT34" s="20">
        <v>98</v>
      </c>
      <c r="AU34" s="20">
        <v>12</v>
      </c>
      <c r="AV34" s="20">
        <v>163</v>
      </c>
      <c r="AW34" s="20">
        <v>494</v>
      </c>
      <c r="AX34" s="20">
        <v>93</v>
      </c>
      <c r="AY34" s="20">
        <v>587</v>
      </c>
      <c r="AZ34" s="20">
        <v>1213</v>
      </c>
      <c r="BA34" s="13"/>
      <c r="BB34" s="13"/>
      <c r="BC34" s="20" t="s">
        <v>63</v>
      </c>
      <c r="BD34" s="20">
        <v>46</v>
      </c>
      <c r="BE34" s="20">
        <v>113</v>
      </c>
      <c r="BF34" s="20">
        <v>14</v>
      </c>
      <c r="BG34" s="20">
        <v>173</v>
      </c>
      <c r="BH34" s="20">
        <v>540</v>
      </c>
      <c r="BI34" s="20">
        <v>73</v>
      </c>
      <c r="BJ34" s="20">
        <v>613</v>
      </c>
      <c r="BK34" s="20">
        <v>1337</v>
      </c>
      <c r="BL34" s="13"/>
      <c r="BM34" s="13"/>
      <c r="BN34" s="20" t="s">
        <v>63</v>
      </c>
      <c r="BO34" s="20">
        <v>51</v>
      </c>
      <c r="BP34" s="20">
        <v>107</v>
      </c>
      <c r="BQ34" s="20">
        <v>13</v>
      </c>
      <c r="BR34" s="20">
        <v>171</v>
      </c>
      <c r="BS34" s="20">
        <v>378</v>
      </c>
      <c r="BT34" s="20">
        <v>64</v>
      </c>
      <c r="BU34" s="20">
        <v>442</v>
      </c>
      <c r="BV34" s="20">
        <v>1084</v>
      </c>
      <c r="BW34" s="13"/>
      <c r="BX34" s="13"/>
      <c r="BY34" s="20" t="s">
        <v>63</v>
      </c>
      <c r="BZ34" s="20">
        <v>45</v>
      </c>
      <c r="CA34" s="20">
        <v>115</v>
      </c>
      <c r="CB34" s="20">
        <v>6</v>
      </c>
      <c r="CC34" s="20">
        <v>166</v>
      </c>
      <c r="CD34" s="20">
        <v>514</v>
      </c>
      <c r="CE34" s="20">
        <v>84</v>
      </c>
      <c r="CF34" s="20">
        <v>598</v>
      </c>
      <c r="CG34" s="20">
        <v>1243</v>
      </c>
      <c r="CH34" s="13"/>
      <c r="CI34" s="13"/>
      <c r="CJ34" s="20" t="s">
        <v>63</v>
      </c>
      <c r="CK34" s="20">
        <v>53</v>
      </c>
      <c r="CL34" s="20">
        <v>108</v>
      </c>
      <c r="CM34" s="20">
        <v>4</v>
      </c>
      <c r="CN34" s="20">
        <v>165</v>
      </c>
      <c r="CO34" s="20">
        <v>423</v>
      </c>
      <c r="CP34" s="20">
        <v>84</v>
      </c>
      <c r="CQ34" s="20">
        <v>507</v>
      </c>
      <c r="CR34" s="20">
        <v>984</v>
      </c>
      <c r="CS34" s="13"/>
      <c r="CT34" s="13"/>
      <c r="CU34" s="20" t="s">
        <v>63</v>
      </c>
      <c r="CV34" s="20">
        <v>32</v>
      </c>
      <c r="CW34" s="20">
        <v>69</v>
      </c>
      <c r="CX34" s="20">
        <v>5</v>
      </c>
      <c r="CY34" s="20">
        <v>106</v>
      </c>
      <c r="CZ34" s="20">
        <v>247</v>
      </c>
      <c r="DA34" s="20">
        <v>53</v>
      </c>
      <c r="DB34" s="20">
        <v>300</v>
      </c>
      <c r="DC34" s="20">
        <v>591</v>
      </c>
      <c r="DD34" s="13"/>
      <c r="DE34" s="13"/>
      <c r="DF34" s="20" t="s">
        <v>63</v>
      </c>
      <c r="DG34" s="20">
        <v>55</v>
      </c>
      <c r="DH34" s="20">
        <v>83</v>
      </c>
      <c r="DI34" s="20">
        <v>6</v>
      </c>
      <c r="DJ34" s="20">
        <v>144</v>
      </c>
      <c r="DK34" s="20">
        <v>370</v>
      </c>
      <c r="DL34" s="20">
        <v>94</v>
      </c>
      <c r="DM34" s="20">
        <v>464</v>
      </c>
      <c r="DN34" s="20">
        <v>779</v>
      </c>
      <c r="DO34" s="13"/>
      <c r="DP34" s="13"/>
      <c r="DQ34" s="20" t="s">
        <v>63</v>
      </c>
      <c r="DR34" s="20">
        <v>36</v>
      </c>
      <c r="DS34" s="20">
        <v>74</v>
      </c>
      <c r="DT34" s="20">
        <v>8</v>
      </c>
      <c r="DU34" s="20">
        <v>118</v>
      </c>
      <c r="DV34" s="20">
        <v>332</v>
      </c>
      <c r="DW34" s="20">
        <v>45</v>
      </c>
      <c r="DX34" s="20">
        <v>377</v>
      </c>
      <c r="DY34" s="20">
        <v>737</v>
      </c>
      <c r="DZ34" s="13"/>
      <c r="EA34" s="13"/>
      <c r="EB34" s="19" t="s">
        <v>63</v>
      </c>
      <c r="EC34" s="19">
        <v>38</v>
      </c>
      <c r="ED34" s="19">
        <v>82</v>
      </c>
      <c r="EE34" s="19">
        <v>7</v>
      </c>
      <c r="EF34" s="19">
        <v>127</v>
      </c>
      <c r="EG34" s="19">
        <v>372</v>
      </c>
      <c r="EH34" s="19">
        <v>78</v>
      </c>
      <c r="EI34" s="19">
        <v>450</v>
      </c>
      <c r="EJ34" s="19">
        <v>828</v>
      </c>
      <c r="EK34" s="13"/>
      <c r="EL34" s="13"/>
      <c r="EM34" s="19" t="s">
        <v>63</v>
      </c>
      <c r="EN34" s="19">
        <v>40</v>
      </c>
      <c r="EO34" s="19">
        <v>77</v>
      </c>
      <c r="EP34" s="19">
        <v>14</v>
      </c>
      <c r="EQ34" s="19">
        <v>131</v>
      </c>
      <c r="ER34" s="19">
        <v>298</v>
      </c>
      <c r="ES34" s="19">
        <v>68</v>
      </c>
      <c r="ET34" s="19">
        <v>366</v>
      </c>
      <c r="EU34" s="19">
        <v>967</v>
      </c>
      <c r="EV34" s="13"/>
      <c r="EW34" s="13"/>
      <c r="EX34" s="19" t="s">
        <v>63</v>
      </c>
      <c r="EY34" s="19">
        <v>41</v>
      </c>
      <c r="EZ34" s="19">
        <v>83</v>
      </c>
      <c r="FA34" s="19">
        <v>9</v>
      </c>
      <c r="FB34" s="19">
        <v>133</v>
      </c>
      <c r="FC34" s="19">
        <v>421</v>
      </c>
      <c r="FD34" s="19">
        <v>103</v>
      </c>
      <c r="FE34" s="19">
        <v>524</v>
      </c>
      <c r="FF34" s="19">
        <v>1056</v>
      </c>
      <c r="FG34" s="13"/>
      <c r="FH34" s="13"/>
      <c r="FI34" s="58" t="s">
        <v>63</v>
      </c>
      <c r="FJ34" s="65">
        <v>36</v>
      </c>
      <c r="FK34" s="65">
        <v>86</v>
      </c>
      <c r="FL34" s="65">
        <v>7</v>
      </c>
      <c r="FM34" s="65">
        <v>129</v>
      </c>
      <c r="FN34" s="65">
        <v>368</v>
      </c>
      <c r="FO34" s="65">
        <v>67</v>
      </c>
      <c r="FP34" s="65">
        <v>435</v>
      </c>
      <c r="FQ34" s="65">
        <v>792</v>
      </c>
      <c r="FR34" s="13"/>
      <c r="FS34" s="70" t="s">
        <v>63</v>
      </c>
      <c r="FT34" s="145">
        <v>53</v>
      </c>
      <c r="FU34" s="145">
        <v>92</v>
      </c>
      <c r="FV34" s="145">
        <v>16</v>
      </c>
      <c r="FW34" s="145">
        <v>161</v>
      </c>
      <c r="FX34" s="145">
        <v>401</v>
      </c>
      <c r="FY34" s="145">
        <v>90</v>
      </c>
      <c r="FZ34" s="145">
        <v>491</v>
      </c>
      <c r="GA34" s="145">
        <v>1097</v>
      </c>
      <c r="GB34" s="13"/>
      <c r="GC34" s="70" t="s">
        <v>63</v>
      </c>
      <c r="GD34" s="71">
        <v>46</v>
      </c>
      <c r="GE34" s="71">
        <v>91</v>
      </c>
      <c r="GF34" s="71">
        <v>14</v>
      </c>
      <c r="GG34" s="71">
        <v>151</v>
      </c>
      <c r="GH34" s="71">
        <v>412</v>
      </c>
      <c r="GI34" s="71">
        <v>78</v>
      </c>
      <c r="GJ34" s="71">
        <v>490</v>
      </c>
      <c r="GK34" s="71">
        <v>1026</v>
      </c>
      <c r="GL34" s="13"/>
      <c r="GM34" s="70" t="s">
        <v>63</v>
      </c>
      <c r="GN34" s="71">
        <v>44</v>
      </c>
      <c r="GO34" s="71">
        <v>100</v>
      </c>
      <c r="GP34" s="71">
        <v>11</v>
      </c>
      <c r="GQ34" s="71">
        <v>155</v>
      </c>
      <c r="GR34" s="71">
        <v>468</v>
      </c>
      <c r="GS34" s="71">
        <v>69</v>
      </c>
      <c r="GT34" s="71">
        <v>537</v>
      </c>
      <c r="GU34" s="71">
        <v>1133</v>
      </c>
      <c r="GV34" s="146">
        <v>16.541353383458645</v>
      </c>
      <c r="GW34" s="147">
        <v>2.6490066225165565</v>
      </c>
    </row>
    <row r="35" spans="1:205" ht="15.5" thickBot="1">
      <c r="A35" s="19" t="s">
        <v>64</v>
      </c>
      <c r="B35" s="20">
        <v>8</v>
      </c>
      <c r="C35" s="20">
        <v>20</v>
      </c>
      <c r="D35" s="20">
        <v>17</v>
      </c>
      <c r="E35" s="20">
        <v>45</v>
      </c>
      <c r="F35" s="20">
        <v>123</v>
      </c>
      <c r="G35" s="20">
        <v>17</v>
      </c>
      <c r="H35" s="20">
        <v>140</v>
      </c>
      <c r="I35" s="20">
        <v>255</v>
      </c>
      <c r="J35" s="26"/>
      <c r="K35" s="19" t="s">
        <v>64</v>
      </c>
      <c r="L35" s="20">
        <v>10</v>
      </c>
      <c r="M35" s="20">
        <v>25</v>
      </c>
      <c r="N35" s="20">
        <v>13</v>
      </c>
      <c r="O35" s="20">
        <v>48</v>
      </c>
      <c r="P35" s="20">
        <v>130</v>
      </c>
      <c r="Q35" s="20">
        <v>15</v>
      </c>
      <c r="R35" s="20">
        <v>145</v>
      </c>
      <c r="S35" s="20">
        <v>251</v>
      </c>
      <c r="T35" s="13"/>
      <c r="U35" s="13"/>
      <c r="V35" s="19" t="s">
        <v>64</v>
      </c>
      <c r="W35" s="20">
        <v>13</v>
      </c>
      <c r="X35" s="20">
        <v>68</v>
      </c>
      <c r="Y35" s="20">
        <v>18</v>
      </c>
      <c r="Z35" s="20">
        <v>99</v>
      </c>
      <c r="AA35" s="20">
        <v>283</v>
      </c>
      <c r="AB35" s="20">
        <v>23</v>
      </c>
      <c r="AC35" s="20">
        <v>306</v>
      </c>
      <c r="AD35" s="20">
        <v>579</v>
      </c>
      <c r="AE35" s="45"/>
      <c r="AF35" s="45"/>
      <c r="AG35" s="50" t="s">
        <v>64</v>
      </c>
      <c r="AH35" s="20">
        <v>13</v>
      </c>
      <c r="AI35" s="20">
        <v>56</v>
      </c>
      <c r="AJ35" s="20">
        <v>8</v>
      </c>
      <c r="AK35" s="20">
        <v>77</v>
      </c>
      <c r="AL35" s="20">
        <v>249</v>
      </c>
      <c r="AM35" s="20">
        <v>25</v>
      </c>
      <c r="AN35" s="20">
        <v>274</v>
      </c>
      <c r="AO35" s="20">
        <v>417</v>
      </c>
      <c r="AP35" s="13"/>
      <c r="AQ35" s="13"/>
      <c r="AR35" s="20" t="s">
        <v>64</v>
      </c>
      <c r="AS35" s="20">
        <v>17</v>
      </c>
      <c r="AT35" s="20">
        <v>51</v>
      </c>
      <c r="AU35" s="20">
        <v>6</v>
      </c>
      <c r="AV35" s="20">
        <v>74</v>
      </c>
      <c r="AW35" s="20">
        <v>261</v>
      </c>
      <c r="AX35" s="20">
        <v>34</v>
      </c>
      <c r="AY35" s="20">
        <v>295</v>
      </c>
      <c r="AZ35" s="20">
        <v>529</v>
      </c>
      <c r="BA35" s="13"/>
      <c r="BB35" s="13"/>
      <c r="BC35" s="20" t="s">
        <v>64</v>
      </c>
      <c r="BD35" s="20">
        <v>22</v>
      </c>
      <c r="BE35" s="20">
        <v>51</v>
      </c>
      <c r="BF35" s="20">
        <v>0</v>
      </c>
      <c r="BG35" s="20">
        <v>73</v>
      </c>
      <c r="BH35" s="20">
        <v>270</v>
      </c>
      <c r="BI35" s="20">
        <v>36</v>
      </c>
      <c r="BJ35" s="20">
        <v>306</v>
      </c>
      <c r="BK35" s="20">
        <v>508</v>
      </c>
      <c r="BL35" s="13"/>
      <c r="BM35" s="13"/>
      <c r="BN35" s="20" t="s">
        <v>64</v>
      </c>
      <c r="BO35" s="20">
        <v>21</v>
      </c>
      <c r="BP35" s="20">
        <v>37</v>
      </c>
      <c r="BQ35" s="20">
        <v>4</v>
      </c>
      <c r="BR35" s="20">
        <v>62</v>
      </c>
      <c r="BS35" s="20">
        <v>184</v>
      </c>
      <c r="BT35" s="20">
        <v>39</v>
      </c>
      <c r="BU35" s="20">
        <v>223</v>
      </c>
      <c r="BV35" s="20">
        <v>627</v>
      </c>
      <c r="BW35" s="13"/>
      <c r="BX35" s="13"/>
      <c r="BY35" s="20" t="s">
        <v>64</v>
      </c>
      <c r="BZ35" s="20">
        <v>16</v>
      </c>
      <c r="CA35" s="20">
        <v>51</v>
      </c>
      <c r="CB35" s="20">
        <v>13</v>
      </c>
      <c r="CC35" s="20">
        <v>80</v>
      </c>
      <c r="CD35" s="20">
        <v>227</v>
      </c>
      <c r="CE35" s="20">
        <v>32</v>
      </c>
      <c r="CF35" s="20">
        <v>259</v>
      </c>
      <c r="CG35" s="20">
        <v>552</v>
      </c>
      <c r="CH35" s="13"/>
      <c r="CI35" s="13"/>
      <c r="CJ35" s="20" t="s">
        <v>64</v>
      </c>
      <c r="CK35" s="20">
        <v>18</v>
      </c>
      <c r="CL35" s="20">
        <v>56</v>
      </c>
      <c r="CM35" s="20">
        <v>10</v>
      </c>
      <c r="CN35" s="20">
        <v>84</v>
      </c>
      <c r="CO35" s="20">
        <v>254</v>
      </c>
      <c r="CP35" s="20">
        <v>29</v>
      </c>
      <c r="CQ35" s="20">
        <v>283</v>
      </c>
      <c r="CR35" s="20">
        <v>522</v>
      </c>
      <c r="CS35" s="13"/>
      <c r="CT35" s="13"/>
      <c r="CU35" s="20" t="s">
        <v>64</v>
      </c>
      <c r="CV35" s="20">
        <v>23</v>
      </c>
      <c r="CW35" s="20">
        <v>70</v>
      </c>
      <c r="CX35" s="20">
        <v>7</v>
      </c>
      <c r="CY35" s="20">
        <v>100</v>
      </c>
      <c r="CZ35" s="20">
        <v>420</v>
      </c>
      <c r="DA35" s="20">
        <v>55</v>
      </c>
      <c r="DB35" s="20">
        <v>475</v>
      </c>
      <c r="DC35" s="20">
        <v>824</v>
      </c>
      <c r="DD35" s="13"/>
      <c r="DE35" s="13"/>
      <c r="DF35" s="20" t="s">
        <v>64</v>
      </c>
      <c r="DG35" s="20">
        <v>11</v>
      </c>
      <c r="DH35" s="20">
        <v>46</v>
      </c>
      <c r="DI35" s="20">
        <v>4</v>
      </c>
      <c r="DJ35" s="20">
        <v>61</v>
      </c>
      <c r="DK35" s="20">
        <v>194</v>
      </c>
      <c r="DL35" s="20">
        <v>33</v>
      </c>
      <c r="DM35" s="20">
        <v>227</v>
      </c>
      <c r="DN35" s="20">
        <v>400</v>
      </c>
      <c r="DO35" s="13"/>
      <c r="DP35" s="13"/>
      <c r="DQ35" s="20" t="s">
        <v>64</v>
      </c>
      <c r="DR35" s="20">
        <v>4</v>
      </c>
      <c r="DS35" s="20">
        <v>35</v>
      </c>
      <c r="DT35" s="20">
        <v>5</v>
      </c>
      <c r="DU35" s="20">
        <v>44</v>
      </c>
      <c r="DV35" s="20">
        <v>100</v>
      </c>
      <c r="DW35" s="20">
        <v>4</v>
      </c>
      <c r="DX35" s="20">
        <v>104</v>
      </c>
      <c r="DY35" s="20">
        <v>178</v>
      </c>
      <c r="DZ35" s="13"/>
      <c r="EA35" s="13"/>
      <c r="EB35" s="19" t="s">
        <v>64</v>
      </c>
      <c r="EC35" s="19">
        <v>13</v>
      </c>
      <c r="ED35" s="19">
        <v>57</v>
      </c>
      <c r="EE35" s="19">
        <v>4</v>
      </c>
      <c r="EF35" s="19">
        <v>74</v>
      </c>
      <c r="EG35" s="19">
        <v>244</v>
      </c>
      <c r="EH35" s="19">
        <v>28</v>
      </c>
      <c r="EI35" s="19">
        <v>272</v>
      </c>
      <c r="EJ35" s="19">
        <v>461</v>
      </c>
      <c r="EK35" s="13"/>
      <c r="EL35" s="13"/>
      <c r="EM35" s="19" t="s">
        <v>64</v>
      </c>
      <c r="EN35" s="19">
        <v>11</v>
      </c>
      <c r="EO35" s="19">
        <v>63</v>
      </c>
      <c r="EP35" s="19">
        <v>3</v>
      </c>
      <c r="EQ35" s="19">
        <v>77</v>
      </c>
      <c r="ER35" s="19">
        <v>185</v>
      </c>
      <c r="ES35" s="19">
        <v>15</v>
      </c>
      <c r="ET35" s="19">
        <v>200</v>
      </c>
      <c r="EU35" s="19">
        <v>426</v>
      </c>
      <c r="EV35" s="13"/>
      <c r="EW35" s="13"/>
      <c r="EX35" s="19" t="s">
        <v>64</v>
      </c>
      <c r="EY35" s="19">
        <v>11</v>
      </c>
      <c r="EZ35" s="19">
        <v>47</v>
      </c>
      <c r="FA35" s="19">
        <v>6</v>
      </c>
      <c r="FB35" s="19">
        <v>64</v>
      </c>
      <c r="FC35" s="19">
        <v>189</v>
      </c>
      <c r="FD35" s="19">
        <v>13</v>
      </c>
      <c r="FE35" s="19">
        <v>202</v>
      </c>
      <c r="FF35" s="19">
        <v>430</v>
      </c>
      <c r="FG35" s="13"/>
      <c r="FH35" s="13"/>
      <c r="FI35" s="58" t="s">
        <v>64</v>
      </c>
      <c r="FJ35" s="65">
        <v>8</v>
      </c>
      <c r="FK35" s="65">
        <v>43</v>
      </c>
      <c r="FL35" s="65">
        <v>1</v>
      </c>
      <c r="FM35" s="65">
        <v>52</v>
      </c>
      <c r="FN35" s="65">
        <v>154</v>
      </c>
      <c r="FO35" s="65">
        <v>14</v>
      </c>
      <c r="FP35" s="65">
        <v>168</v>
      </c>
      <c r="FQ35" s="65">
        <v>281</v>
      </c>
      <c r="FR35" s="13"/>
      <c r="FS35" s="70" t="s">
        <v>64</v>
      </c>
      <c r="FT35" s="145">
        <v>21</v>
      </c>
      <c r="FU35" s="145">
        <v>66</v>
      </c>
      <c r="FV35" s="145">
        <v>7</v>
      </c>
      <c r="FW35" s="145">
        <v>94</v>
      </c>
      <c r="FX35" s="145">
        <v>300</v>
      </c>
      <c r="FY35" s="145">
        <v>49</v>
      </c>
      <c r="FZ35" s="145">
        <v>349</v>
      </c>
      <c r="GA35" s="145">
        <v>610</v>
      </c>
      <c r="GB35" s="13"/>
      <c r="GC35" s="70" t="s">
        <v>64</v>
      </c>
      <c r="GD35" s="71">
        <v>7</v>
      </c>
      <c r="GE35" s="71">
        <v>100</v>
      </c>
      <c r="GF35" s="71">
        <v>10</v>
      </c>
      <c r="GG35" s="71">
        <v>117</v>
      </c>
      <c r="GH35" s="71">
        <v>307</v>
      </c>
      <c r="GI35" s="71">
        <v>11</v>
      </c>
      <c r="GJ35" s="71">
        <v>318</v>
      </c>
      <c r="GK35" s="71">
        <v>596</v>
      </c>
      <c r="GL35" s="13"/>
      <c r="GM35" s="70" t="s">
        <v>64</v>
      </c>
      <c r="GN35" s="71">
        <v>14</v>
      </c>
      <c r="GO35" s="71">
        <v>77</v>
      </c>
      <c r="GP35" s="71">
        <v>7</v>
      </c>
      <c r="GQ35" s="71">
        <v>98</v>
      </c>
      <c r="GR35" s="71">
        <v>239</v>
      </c>
      <c r="GS35" s="71">
        <v>25</v>
      </c>
      <c r="GT35" s="71">
        <v>264</v>
      </c>
      <c r="GU35" s="71">
        <v>506</v>
      </c>
      <c r="GV35" s="146">
        <v>53.125</v>
      </c>
      <c r="GW35" s="147">
        <v>-16.239316239316238</v>
      </c>
    </row>
    <row r="36" spans="1:205" ht="15.5" thickBot="1">
      <c r="A36" s="19" t="s">
        <v>65</v>
      </c>
      <c r="B36" s="20">
        <v>3</v>
      </c>
      <c r="C36" s="20">
        <v>18</v>
      </c>
      <c r="D36" s="20">
        <v>4</v>
      </c>
      <c r="E36" s="20">
        <v>25</v>
      </c>
      <c r="F36" s="20">
        <v>77</v>
      </c>
      <c r="G36" s="20">
        <v>6</v>
      </c>
      <c r="H36" s="20">
        <v>83</v>
      </c>
      <c r="I36" s="20">
        <v>194</v>
      </c>
      <c r="J36" s="26"/>
      <c r="K36" s="19" t="s">
        <v>65</v>
      </c>
      <c r="L36" s="20">
        <v>3</v>
      </c>
      <c r="M36" s="20">
        <v>16</v>
      </c>
      <c r="N36" s="20">
        <v>2</v>
      </c>
      <c r="O36" s="20">
        <v>21</v>
      </c>
      <c r="P36" s="20">
        <v>54</v>
      </c>
      <c r="Q36" s="20">
        <v>4</v>
      </c>
      <c r="R36" s="20">
        <v>58</v>
      </c>
      <c r="S36" s="20">
        <v>118</v>
      </c>
      <c r="T36" s="13"/>
      <c r="U36" s="13"/>
      <c r="V36" s="19" t="s">
        <v>65</v>
      </c>
      <c r="W36" s="20">
        <v>4</v>
      </c>
      <c r="X36" s="20">
        <v>16</v>
      </c>
      <c r="Y36" s="20">
        <v>6</v>
      </c>
      <c r="Z36" s="20">
        <v>26</v>
      </c>
      <c r="AA36" s="20">
        <v>65</v>
      </c>
      <c r="AB36" s="20">
        <v>6</v>
      </c>
      <c r="AC36" s="20">
        <v>71</v>
      </c>
      <c r="AD36" s="20">
        <v>142</v>
      </c>
      <c r="AE36" s="45"/>
      <c r="AF36" s="45"/>
      <c r="AG36" s="50" t="s">
        <v>65</v>
      </c>
      <c r="AH36" s="20">
        <v>8</v>
      </c>
      <c r="AI36" s="20">
        <v>17</v>
      </c>
      <c r="AJ36" s="20">
        <v>6</v>
      </c>
      <c r="AK36" s="20">
        <v>31</v>
      </c>
      <c r="AL36" s="20">
        <v>88</v>
      </c>
      <c r="AM36" s="20">
        <v>23</v>
      </c>
      <c r="AN36" s="20">
        <v>111</v>
      </c>
      <c r="AO36" s="20">
        <v>208</v>
      </c>
      <c r="AP36" s="13"/>
      <c r="AQ36" s="13"/>
      <c r="AR36" s="20" t="s">
        <v>65</v>
      </c>
      <c r="AS36" s="20">
        <v>11</v>
      </c>
      <c r="AT36" s="20">
        <v>12</v>
      </c>
      <c r="AU36" s="20">
        <v>4</v>
      </c>
      <c r="AV36" s="20">
        <v>27</v>
      </c>
      <c r="AW36" s="20">
        <v>135</v>
      </c>
      <c r="AX36" s="20">
        <v>23</v>
      </c>
      <c r="AY36" s="20">
        <v>158</v>
      </c>
      <c r="AZ36" s="20">
        <v>239</v>
      </c>
      <c r="BA36" s="13"/>
      <c r="BB36" s="13"/>
      <c r="BC36" s="20" t="s">
        <v>65</v>
      </c>
      <c r="BD36" s="20">
        <v>5</v>
      </c>
      <c r="BE36" s="20">
        <v>19</v>
      </c>
      <c r="BF36" s="20">
        <v>5</v>
      </c>
      <c r="BG36" s="20">
        <v>29</v>
      </c>
      <c r="BH36" s="20">
        <v>58</v>
      </c>
      <c r="BI36" s="20">
        <v>7</v>
      </c>
      <c r="BJ36" s="20">
        <v>65</v>
      </c>
      <c r="BK36" s="20">
        <v>157</v>
      </c>
      <c r="BL36" s="13"/>
      <c r="BM36" s="13"/>
      <c r="BN36" s="20" t="s">
        <v>65</v>
      </c>
      <c r="BO36" s="20">
        <v>6</v>
      </c>
      <c r="BP36" s="20">
        <v>10</v>
      </c>
      <c r="BQ36" s="20">
        <v>6</v>
      </c>
      <c r="BR36" s="20">
        <v>22</v>
      </c>
      <c r="BS36" s="20">
        <v>54</v>
      </c>
      <c r="BT36" s="20">
        <v>6</v>
      </c>
      <c r="BU36" s="20">
        <v>60</v>
      </c>
      <c r="BV36" s="20">
        <v>165</v>
      </c>
      <c r="BW36" s="13"/>
      <c r="BX36" s="13"/>
      <c r="BY36" s="20" t="s">
        <v>65</v>
      </c>
      <c r="BZ36" s="20">
        <v>8</v>
      </c>
      <c r="CA36" s="20">
        <v>9</v>
      </c>
      <c r="CB36" s="20">
        <v>4</v>
      </c>
      <c r="CC36" s="20">
        <v>21</v>
      </c>
      <c r="CD36" s="20">
        <v>42</v>
      </c>
      <c r="CE36" s="20">
        <v>9</v>
      </c>
      <c r="CF36" s="20">
        <v>51</v>
      </c>
      <c r="CG36" s="20">
        <v>204</v>
      </c>
      <c r="CH36" s="13"/>
      <c r="CI36" s="13"/>
      <c r="CJ36" s="20" t="s">
        <v>65</v>
      </c>
      <c r="CK36" s="20">
        <v>7</v>
      </c>
      <c r="CL36" s="20">
        <v>10</v>
      </c>
      <c r="CM36" s="20">
        <v>9</v>
      </c>
      <c r="CN36" s="20">
        <v>26</v>
      </c>
      <c r="CO36" s="20">
        <v>43</v>
      </c>
      <c r="CP36" s="20">
        <v>16</v>
      </c>
      <c r="CQ36" s="20">
        <v>59</v>
      </c>
      <c r="CR36" s="20">
        <v>156</v>
      </c>
      <c r="CS36" s="13"/>
      <c r="CT36" s="13"/>
      <c r="CU36" s="20" t="s">
        <v>65</v>
      </c>
      <c r="CV36" s="20">
        <v>5</v>
      </c>
      <c r="CW36" s="20">
        <v>8</v>
      </c>
      <c r="CX36" s="20">
        <v>5</v>
      </c>
      <c r="CY36" s="20">
        <v>18</v>
      </c>
      <c r="CZ36" s="20">
        <v>37</v>
      </c>
      <c r="DA36" s="20">
        <v>9</v>
      </c>
      <c r="DB36" s="20">
        <v>46</v>
      </c>
      <c r="DC36" s="20">
        <v>80</v>
      </c>
      <c r="DD36" s="13"/>
      <c r="DE36" s="13"/>
      <c r="DF36" s="20" t="s">
        <v>65</v>
      </c>
      <c r="DG36" s="20">
        <v>8</v>
      </c>
      <c r="DH36" s="20">
        <v>10</v>
      </c>
      <c r="DI36" s="20">
        <v>4</v>
      </c>
      <c r="DJ36" s="20">
        <v>22</v>
      </c>
      <c r="DK36" s="20">
        <v>34</v>
      </c>
      <c r="DL36" s="20">
        <v>11</v>
      </c>
      <c r="DM36" s="20">
        <v>45</v>
      </c>
      <c r="DN36" s="20">
        <v>116</v>
      </c>
      <c r="DO36" s="13"/>
      <c r="DP36" s="13"/>
      <c r="DQ36" s="20" t="s">
        <v>65</v>
      </c>
      <c r="DR36" s="20">
        <v>2</v>
      </c>
      <c r="DS36" s="20">
        <v>9</v>
      </c>
      <c r="DT36" s="20">
        <v>2</v>
      </c>
      <c r="DU36" s="20">
        <v>13</v>
      </c>
      <c r="DV36" s="20">
        <v>49</v>
      </c>
      <c r="DW36" s="20">
        <v>3</v>
      </c>
      <c r="DX36" s="20">
        <v>52</v>
      </c>
      <c r="DY36" s="20">
        <v>140</v>
      </c>
      <c r="DZ36" s="13"/>
      <c r="EA36" s="13"/>
      <c r="EB36" s="19" t="s">
        <v>65</v>
      </c>
      <c r="EC36" s="19">
        <v>3</v>
      </c>
      <c r="ED36" s="19">
        <v>9</v>
      </c>
      <c r="EE36" s="19">
        <v>4</v>
      </c>
      <c r="EF36" s="19">
        <v>16</v>
      </c>
      <c r="EG36" s="19">
        <v>28</v>
      </c>
      <c r="EH36" s="19">
        <v>3</v>
      </c>
      <c r="EI36" s="19">
        <v>31</v>
      </c>
      <c r="EJ36" s="19">
        <v>113</v>
      </c>
      <c r="EK36" s="13"/>
      <c r="EL36" s="13"/>
      <c r="EM36" s="19" t="s">
        <v>65</v>
      </c>
      <c r="EN36" s="19">
        <v>4</v>
      </c>
      <c r="EO36" s="19">
        <v>10</v>
      </c>
      <c r="EP36" s="19">
        <v>1</v>
      </c>
      <c r="EQ36" s="19">
        <v>15</v>
      </c>
      <c r="ER36" s="19">
        <v>32</v>
      </c>
      <c r="ES36" s="19">
        <v>4</v>
      </c>
      <c r="ET36" s="19">
        <v>36</v>
      </c>
      <c r="EU36" s="19">
        <v>60</v>
      </c>
      <c r="EV36" s="13"/>
      <c r="EW36" s="13"/>
      <c r="EX36" s="19" t="s">
        <v>65</v>
      </c>
      <c r="EY36" s="19">
        <v>6</v>
      </c>
      <c r="EZ36" s="19">
        <v>5</v>
      </c>
      <c r="FA36" s="19">
        <v>2</v>
      </c>
      <c r="FB36" s="19">
        <v>13</v>
      </c>
      <c r="FC36" s="19">
        <v>31</v>
      </c>
      <c r="FD36" s="19">
        <v>14</v>
      </c>
      <c r="FE36" s="19">
        <v>45</v>
      </c>
      <c r="FF36" s="19">
        <v>86</v>
      </c>
      <c r="FG36" s="13"/>
      <c r="FH36" s="13"/>
      <c r="FI36" s="58" t="s">
        <v>65</v>
      </c>
      <c r="FJ36" s="65">
        <v>5</v>
      </c>
      <c r="FK36" s="65">
        <v>5</v>
      </c>
      <c r="FL36" s="65">
        <v>3</v>
      </c>
      <c r="FM36" s="65">
        <v>13</v>
      </c>
      <c r="FN36" s="65">
        <v>24</v>
      </c>
      <c r="FO36" s="65">
        <v>5</v>
      </c>
      <c r="FP36" s="65">
        <v>29</v>
      </c>
      <c r="FQ36" s="65">
        <v>64</v>
      </c>
      <c r="FR36" s="13"/>
      <c r="FS36" s="70" t="s">
        <v>65</v>
      </c>
      <c r="FT36" s="145">
        <v>2</v>
      </c>
      <c r="FU36" s="145">
        <v>4</v>
      </c>
      <c r="FV36" s="145">
        <v>0</v>
      </c>
      <c r="FW36" s="145">
        <v>6</v>
      </c>
      <c r="FX36" s="145">
        <v>26</v>
      </c>
      <c r="FY36" s="145">
        <v>3</v>
      </c>
      <c r="FZ36" s="145">
        <v>29</v>
      </c>
      <c r="GA36" s="145">
        <v>35</v>
      </c>
      <c r="GB36" s="13"/>
      <c r="GC36" s="70" t="s">
        <v>65</v>
      </c>
      <c r="GD36" s="71">
        <v>3</v>
      </c>
      <c r="GE36" s="71">
        <v>2</v>
      </c>
      <c r="GF36" s="71">
        <v>2</v>
      </c>
      <c r="GG36" s="71">
        <v>7</v>
      </c>
      <c r="GH36" s="71">
        <v>3</v>
      </c>
      <c r="GI36" s="71">
        <v>4</v>
      </c>
      <c r="GJ36" s="71">
        <v>7</v>
      </c>
      <c r="GK36" s="71">
        <v>19</v>
      </c>
      <c r="GL36" s="13"/>
      <c r="GM36" s="70" t="s">
        <v>65</v>
      </c>
      <c r="GN36" s="71">
        <v>4</v>
      </c>
      <c r="GO36" s="71">
        <v>10</v>
      </c>
      <c r="GP36" s="71">
        <v>5</v>
      </c>
      <c r="GQ36" s="71">
        <v>19</v>
      </c>
      <c r="GR36" s="71">
        <v>16</v>
      </c>
      <c r="GS36" s="71">
        <v>9</v>
      </c>
      <c r="GT36" s="71">
        <v>25</v>
      </c>
      <c r="GU36" s="71">
        <v>103</v>
      </c>
      <c r="GV36" s="146">
        <v>46.153846153846153</v>
      </c>
      <c r="GW36" s="147">
        <v>171.42857142857142</v>
      </c>
    </row>
    <row r="37" spans="1:205" ht="15.5" thickBot="1">
      <c r="A37" s="19" t="s">
        <v>66</v>
      </c>
      <c r="B37" s="20">
        <v>12</v>
      </c>
      <c r="C37" s="20">
        <v>20</v>
      </c>
      <c r="D37" s="20">
        <v>0</v>
      </c>
      <c r="E37" s="20">
        <v>32</v>
      </c>
      <c r="F37" s="20">
        <v>138</v>
      </c>
      <c r="G37" s="20">
        <v>47</v>
      </c>
      <c r="H37" s="20">
        <v>185</v>
      </c>
      <c r="I37" s="20">
        <v>228</v>
      </c>
      <c r="J37" s="26"/>
      <c r="K37" s="19" t="s">
        <v>66</v>
      </c>
      <c r="L37" s="20">
        <v>15</v>
      </c>
      <c r="M37" s="20">
        <v>22</v>
      </c>
      <c r="N37" s="20">
        <v>0</v>
      </c>
      <c r="O37" s="20">
        <v>37</v>
      </c>
      <c r="P37" s="20">
        <v>119</v>
      </c>
      <c r="Q37" s="20">
        <v>33</v>
      </c>
      <c r="R37" s="20">
        <v>152</v>
      </c>
      <c r="S37" s="20">
        <v>205</v>
      </c>
      <c r="T37" s="13"/>
      <c r="U37" s="13"/>
      <c r="V37" s="19" t="s">
        <v>66</v>
      </c>
      <c r="W37" s="20">
        <v>20</v>
      </c>
      <c r="X37" s="20">
        <v>3</v>
      </c>
      <c r="Y37" s="20">
        <v>0</v>
      </c>
      <c r="Z37" s="20">
        <v>23</v>
      </c>
      <c r="AA37" s="20">
        <v>87</v>
      </c>
      <c r="AB37" s="20">
        <v>37</v>
      </c>
      <c r="AC37" s="20">
        <v>124</v>
      </c>
      <c r="AD37" s="20">
        <v>196</v>
      </c>
      <c r="AE37" s="45"/>
      <c r="AF37" s="45"/>
      <c r="AG37" s="50" t="s">
        <v>66</v>
      </c>
      <c r="AH37" s="20">
        <v>10</v>
      </c>
      <c r="AI37" s="20">
        <v>14</v>
      </c>
      <c r="AJ37" s="20">
        <v>3</v>
      </c>
      <c r="AK37" s="20">
        <v>27</v>
      </c>
      <c r="AL37" s="20">
        <v>78</v>
      </c>
      <c r="AM37" s="20">
        <v>15</v>
      </c>
      <c r="AN37" s="20">
        <v>93</v>
      </c>
      <c r="AO37" s="20">
        <v>175</v>
      </c>
      <c r="AP37" s="13"/>
      <c r="AQ37" s="13"/>
      <c r="AR37" s="20" t="s">
        <v>66</v>
      </c>
      <c r="AS37" s="20">
        <v>13</v>
      </c>
      <c r="AT37" s="20">
        <v>22</v>
      </c>
      <c r="AU37" s="20">
        <v>0</v>
      </c>
      <c r="AV37" s="20">
        <v>35</v>
      </c>
      <c r="AW37" s="20">
        <v>146</v>
      </c>
      <c r="AX37" s="20">
        <v>25</v>
      </c>
      <c r="AY37" s="20">
        <v>171</v>
      </c>
      <c r="AZ37" s="20">
        <v>224</v>
      </c>
      <c r="BA37" s="13"/>
      <c r="BB37" s="13"/>
      <c r="BC37" s="20" t="s">
        <v>66</v>
      </c>
      <c r="BD37" s="20">
        <v>8</v>
      </c>
      <c r="BE37" s="20">
        <v>17</v>
      </c>
      <c r="BF37" s="20">
        <v>2</v>
      </c>
      <c r="BG37" s="20">
        <v>27</v>
      </c>
      <c r="BH37" s="20">
        <v>103</v>
      </c>
      <c r="BI37" s="20">
        <v>13</v>
      </c>
      <c r="BJ37" s="20">
        <v>116</v>
      </c>
      <c r="BK37" s="20">
        <v>231</v>
      </c>
      <c r="BL37" s="13"/>
      <c r="BM37" s="13"/>
      <c r="BN37" s="20" t="s">
        <v>66</v>
      </c>
      <c r="BO37" s="20">
        <v>17</v>
      </c>
      <c r="BP37" s="20">
        <v>12</v>
      </c>
      <c r="BQ37" s="20">
        <v>2</v>
      </c>
      <c r="BR37" s="20">
        <v>31</v>
      </c>
      <c r="BS37" s="20">
        <v>126</v>
      </c>
      <c r="BT37" s="20">
        <v>68</v>
      </c>
      <c r="BU37" s="20">
        <v>194</v>
      </c>
      <c r="BV37" s="20">
        <v>248</v>
      </c>
      <c r="BW37" s="13"/>
      <c r="BX37" s="13"/>
      <c r="BY37" s="20" t="s">
        <v>66</v>
      </c>
      <c r="BZ37" s="20">
        <v>24</v>
      </c>
      <c r="CA37" s="20">
        <v>23</v>
      </c>
      <c r="CB37" s="20">
        <v>1</v>
      </c>
      <c r="CC37" s="20">
        <v>48</v>
      </c>
      <c r="CD37" s="20">
        <v>146</v>
      </c>
      <c r="CE37" s="20">
        <v>38</v>
      </c>
      <c r="CF37" s="20">
        <v>184</v>
      </c>
      <c r="CG37" s="20">
        <v>256</v>
      </c>
      <c r="CH37" s="13"/>
      <c r="CI37" s="13"/>
      <c r="CJ37" s="20" t="s">
        <v>66</v>
      </c>
      <c r="CK37" s="20">
        <v>18</v>
      </c>
      <c r="CL37" s="20">
        <v>19</v>
      </c>
      <c r="CM37" s="20">
        <v>0</v>
      </c>
      <c r="CN37" s="20">
        <v>37</v>
      </c>
      <c r="CO37" s="20">
        <v>148</v>
      </c>
      <c r="CP37" s="20">
        <v>26</v>
      </c>
      <c r="CQ37" s="20">
        <v>174</v>
      </c>
      <c r="CR37" s="20">
        <v>259</v>
      </c>
      <c r="CS37" s="13"/>
      <c r="CT37" s="13"/>
      <c r="CU37" s="20" t="s">
        <v>66</v>
      </c>
      <c r="CV37" s="20">
        <v>9</v>
      </c>
      <c r="CW37" s="20">
        <v>9</v>
      </c>
      <c r="CX37" s="20">
        <v>0</v>
      </c>
      <c r="CY37" s="20">
        <v>18</v>
      </c>
      <c r="CZ37" s="20">
        <v>69</v>
      </c>
      <c r="DA37" s="20">
        <v>40</v>
      </c>
      <c r="DB37" s="20">
        <v>109</v>
      </c>
      <c r="DC37" s="20">
        <v>148</v>
      </c>
      <c r="DD37" s="13"/>
      <c r="DE37" s="13"/>
      <c r="DF37" s="20" t="s">
        <v>66</v>
      </c>
      <c r="DG37" s="20">
        <v>6</v>
      </c>
      <c r="DH37" s="20">
        <v>11</v>
      </c>
      <c r="DI37" s="20">
        <v>0</v>
      </c>
      <c r="DJ37" s="20">
        <v>17</v>
      </c>
      <c r="DK37" s="20">
        <v>58</v>
      </c>
      <c r="DL37" s="20">
        <v>8</v>
      </c>
      <c r="DM37" s="20">
        <v>66</v>
      </c>
      <c r="DN37" s="20">
        <v>90</v>
      </c>
      <c r="DO37" s="13"/>
      <c r="DP37" s="13"/>
      <c r="DQ37" s="20" t="s">
        <v>66</v>
      </c>
      <c r="DR37" s="20">
        <v>5</v>
      </c>
      <c r="DS37" s="20">
        <v>9</v>
      </c>
      <c r="DT37" s="20">
        <v>1</v>
      </c>
      <c r="DU37" s="20">
        <v>15</v>
      </c>
      <c r="DV37" s="20">
        <v>36</v>
      </c>
      <c r="DW37" s="20">
        <v>11</v>
      </c>
      <c r="DX37" s="20">
        <v>47</v>
      </c>
      <c r="DY37" s="20">
        <v>58</v>
      </c>
      <c r="DZ37" s="13"/>
      <c r="EA37" s="13"/>
      <c r="EB37" s="19" t="s">
        <v>66</v>
      </c>
      <c r="EC37" s="19">
        <v>6</v>
      </c>
      <c r="ED37" s="19">
        <v>19</v>
      </c>
      <c r="EE37" s="19">
        <v>0</v>
      </c>
      <c r="EF37" s="19">
        <v>25</v>
      </c>
      <c r="EG37" s="19">
        <v>110</v>
      </c>
      <c r="EH37" s="19">
        <v>13</v>
      </c>
      <c r="EI37" s="19">
        <v>123</v>
      </c>
      <c r="EJ37" s="19">
        <v>175</v>
      </c>
      <c r="EK37" s="13"/>
      <c r="EL37" s="13"/>
      <c r="EM37" s="19" t="s">
        <v>66</v>
      </c>
      <c r="EN37" s="19">
        <v>14</v>
      </c>
      <c r="EO37" s="19">
        <v>10</v>
      </c>
      <c r="EP37" s="19">
        <v>0</v>
      </c>
      <c r="EQ37" s="19">
        <v>24</v>
      </c>
      <c r="ER37" s="19">
        <v>122</v>
      </c>
      <c r="ES37" s="19">
        <v>41</v>
      </c>
      <c r="ET37" s="19">
        <v>163</v>
      </c>
      <c r="EU37" s="19">
        <v>236</v>
      </c>
      <c r="EV37" s="13"/>
      <c r="EW37" s="13"/>
      <c r="EX37" s="19" t="s">
        <v>66</v>
      </c>
      <c r="EY37" s="19">
        <v>9</v>
      </c>
      <c r="EZ37" s="19">
        <v>15</v>
      </c>
      <c r="FA37" s="19">
        <v>1</v>
      </c>
      <c r="FB37" s="19">
        <v>25</v>
      </c>
      <c r="FC37" s="19">
        <v>107</v>
      </c>
      <c r="FD37" s="19">
        <v>19</v>
      </c>
      <c r="FE37" s="19">
        <v>126</v>
      </c>
      <c r="FF37" s="19">
        <v>211</v>
      </c>
      <c r="FG37" s="13"/>
      <c r="FH37" s="13"/>
      <c r="FI37" s="58" t="s">
        <v>66</v>
      </c>
      <c r="FJ37" s="65">
        <v>7</v>
      </c>
      <c r="FK37" s="65">
        <v>12</v>
      </c>
      <c r="FL37" s="65">
        <v>0</v>
      </c>
      <c r="FM37" s="65">
        <v>19</v>
      </c>
      <c r="FN37" s="65">
        <v>52</v>
      </c>
      <c r="FO37" s="65">
        <v>16</v>
      </c>
      <c r="FP37" s="65">
        <v>68</v>
      </c>
      <c r="FQ37" s="65">
        <v>149</v>
      </c>
      <c r="FR37" s="13"/>
      <c r="FS37" s="70" t="s">
        <v>66</v>
      </c>
      <c r="FT37" s="145">
        <v>5</v>
      </c>
      <c r="FU37" s="145">
        <v>5</v>
      </c>
      <c r="FV37" s="145">
        <v>0</v>
      </c>
      <c r="FW37" s="145">
        <v>10</v>
      </c>
      <c r="FX37" s="145">
        <v>57</v>
      </c>
      <c r="FY37" s="145">
        <v>7</v>
      </c>
      <c r="FZ37" s="145">
        <v>64</v>
      </c>
      <c r="GA37" s="145">
        <v>104</v>
      </c>
      <c r="GB37" s="13"/>
      <c r="GC37" s="70" t="s">
        <v>66</v>
      </c>
      <c r="GD37" s="71">
        <v>11</v>
      </c>
      <c r="GE37" s="71">
        <v>7</v>
      </c>
      <c r="GF37" s="71">
        <v>0</v>
      </c>
      <c r="GG37" s="71">
        <v>18</v>
      </c>
      <c r="GH37" s="71">
        <v>76</v>
      </c>
      <c r="GI37" s="71">
        <v>20</v>
      </c>
      <c r="GJ37" s="71">
        <v>96</v>
      </c>
      <c r="GK37" s="71">
        <v>121</v>
      </c>
      <c r="GL37" s="13"/>
      <c r="GM37" s="70" t="s">
        <v>66</v>
      </c>
      <c r="GN37" s="71">
        <v>9</v>
      </c>
      <c r="GO37" s="71">
        <v>21</v>
      </c>
      <c r="GP37" s="71">
        <v>0</v>
      </c>
      <c r="GQ37" s="71">
        <v>30</v>
      </c>
      <c r="GR37" s="71">
        <v>145</v>
      </c>
      <c r="GS37" s="71">
        <v>15</v>
      </c>
      <c r="GT37" s="71">
        <v>160</v>
      </c>
      <c r="GU37" s="71">
        <v>222</v>
      </c>
      <c r="GV37" s="146">
        <v>20</v>
      </c>
      <c r="GW37" s="147">
        <v>66.666666666666657</v>
      </c>
    </row>
    <row r="38" spans="1:205" ht="15.5" thickBot="1">
      <c r="A38" s="19" t="s">
        <v>67</v>
      </c>
      <c r="B38" s="20">
        <v>5</v>
      </c>
      <c r="C38" s="20">
        <v>53</v>
      </c>
      <c r="D38" s="20">
        <v>1</v>
      </c>
      <c r="E38" s="20">
        <v>59</v>
      </c>
      <c r="F38" s="20">
        <v>149</v>
      </c>
      <c r="G38" s="20">
        <v>7</v>
      </c>
      <c r="H38" s="20">
        <v>156</v>
      </c>
      <c r="I38" s="20">
        <v>284</v>
      </c>
      <c r="J38" s="26"/>
      <c r="K38" s="19" t="s">
        <v>67</v>
      </c>
      <c r="L38" s="20">
        <v>8</v>
      </c>
      <c r="M38" s="20">
        <v>58</v>
      </c>
      <c r="N38" s="20">
        <v>1</v>
      </c>
      <c r="O38" s="20">
        <v>67</v>
      </c>
      <c r="P38" s="20">
        <v>213</v>
      </c>
      <c r="Q38" s="20">
        <v>12</v>
      </c>
      <c r="R38" s="20">
        <v>225</v>
      </c>
      <c r="S38" s="20">
        <v>315</v>
      </c>
      <c r="T38" s="13"/>
      <c r="U38" s="13"/>
      <c r="V38" s="19" t="s">
        <v>67</v>
      </c>
      <c r="W38" s="20">
        <v>5</v>
      </c>
      <c r="X38" s="20">
        <v>51</v>
      </c>
      <c r="Y38" s="20">
        <v>0</v>
      </c>
      <c r="Z38" s="20">
        <v>56</v>
      </c>
      <c r="AA38" s="20">
        <v>171</v>
      </c>
      <c r="AB38" s="20">
        <v>12</v>
      </c>
      <c r="AC38" s="20">
        <v>183</v>
      </c>
      <c r="AD38" s="20">
        <v>254</v>
      </c>
      <c r="AE38" s="45"/>
      <c r="AF38" s="45"/>
      <c r="AG38" s="50" t="s">
        <v>67</v>
      </c>
      <c r="AH38" s="20">
        <v>2</v>
      </c>
      <c r="AI38" s="20">
        <v>43</v>
      </c>
      <c r="AJ38" s="20">
        <v>0</v>
      </c>
      <c r="AK38" s="20">
        <v>45</v>
      </c>
      <c r="AL38" s="20">
        <v>128</v>
      </c>
      <c r="AM38" s="20">
        <v>3</v>
      </c>
      <c r="AN38" s="20">
        <v>131</v>
      </c>
      <c r="AO38" s="20">
        <v>211</v>
      </c>
      <c r="AP38" s="13"/>
      <c r="AQ38" s="13"/>
      <c r="AR38" s="20" t="s">
        <v>67</v>
      </c>
      <c r="AS38" s="20">
        <v>9</v>
      </c>
      <c r="AT38" s="20">
        <v>61</v>
      </c>
      <c r="AU38" s="20">
        <v>0</v>
      </c>
      <c r="AV38" s="20">
        <v>70</v>
      </c>
      <c r="AW38" s="20">
        <v>178</v>
      </c>
      <c r="AX38" s="20">
        <v>9</v>
      </c>
      <c r="AY38" s="20">
        <v>187</v>
      </c>
      <c r="AZ38" s="20">
        <v>320</v>
      </c>
      <c r="BA38" s="13"/>
      <c r="BB38" s="13"/>
      <c r="BC38" s="20" t="s">
        <v>67</v>
      </c>
      <c r="BD38" s="20">
        <v>14</v>
      </c>
      <c r="BE38" s="20">
        <v>56</v>
      </c>
      <c r="BF38" s="20">
        <v>1</v>
      </c>
      <c r="BG38" s="20">
        <v>71</v>
      </c>
      <c r="BH38" s="20">
        <v>248</v>
      </c>
      <c r="BI38" s="20">
        <v>32</v>
      </c>
      <c r="BJ38" s="20">
        <v>280</v>
      </c>
      <c r="BK38" s="20">
        <v>420</v>
      </c>
      <c r="BL38" s="13"/>
      <c r="BM38" s="13"/>
      <c r="BN38" s="20" t="s">
        <v>67</v>
      </c>
      <c r="BO38" s="20">
        <v>7</v>
      </c>
      <c r="BP38" s="20">
        <v>57</v>
      </c>
      <c r="BQ38" s="20">
        <v>2</v>
      </c>
      <c r="BR38" s="20">
        <v>66</v>
      </c>
      <c r="BS38" s="20">
        <v>162</v>
      </c>
      <c r="BT38" s="20">
        <v>9</v>
      </c>
      <c r="BU38" s="20">
        <v>171</v>
      </c>
      <c r="BV38" s="20">
        <v>294</v>
      </c>
      <c r="BW38" s="13"/>
      <c r="BX38" s="13"/>
      <c r="BY38" s="20" t="s">
        <v>67</v>
      </c>
      <c r="BZ38" s="20">
        <v>5</v>
      </c>
      <c r="CA38" s="20">
        <v>75</v>
      </c>
      <c r="CB38" s="20">
        <v>1</v>
      </c>
      <c r="CC38" s="20">
        <v>81</v>
      </c>
      <c r="CD38" s="20">
        <v>217</v>
      </c>
      <c r="CE38" s="20">
        <v>8</v>
      </c>
      <c r="CF38" s="20">
        <v>225</v>
      </c>
      <c r="CG38" s="20">
        <v>435</v>
      </c>
      <c r="CH38" s="13"/>
      <c r="CI38" s="13"/>
      <c r="CJ38" s="20" t="s">
        <v>67</v>
      </c>
      <c r="CK38" s="20">
        <v>4</v>
      </c>
      <c r="CL38" s="20">
        <v>64</v>
      </c>
      <c r="CM38" s="20">
        <v>0</v>
      </c>
      <c r="CN38" s="20">
        <v>68</v>
      </c>
      <c r="CO38" s="20">
        <v>192</v>
      </c>
      <c r="CP38" s="20">
        <v>8</v>
      </c>
      <c r="CQ38" s="20">
        <v>200</v>
      </c>
      <c r="CR38" s="20">
        <v>361</v>
      </c>
      <c r="CS38" s="13"/>
      <c r="CT38" s="13"/>
      <c r="CU38" s="20" t="s">
        <v>67</v>
      </c>
      <c r="CV38" s="20">
        <v>8</v>
      </c>
      <c r="CW38" s="20">
        <v>47</v>
      </c>
      <c r="CX38" s="20">
        <v>0</v>
      </c>
      <c r="CY38" s="20">
        <v>55</v>
      </c>
      <c r="CZ38" s="20">
        <v>201</v>
      </c>
      <c r="DA38" s="20">
        <v>24</v>
      </c>
      <c r="DB38" s="20">
        <v>225</v>
      </c>
      <c r="DC38" s="20">
        <v>397</v>
      </c>
      <c r="DD38" s="13"/>
      <c r="DE38" s="13"/>
      <c r="DF38" s="20" t="s">
        <v>67</v>
      </c>
      <c r="DG38" s="20">
        <v>8</v>
      </c>
      <c r="DH38" s="20">
        <v>38</v>
      </c>
      <c r="DI38" s="20">
        <v>1</v>
      </c>
      <c r="DJ38" s="20">
        <v>47</v>
      </c>
      <c r="DK38" s="20">
        <v>99</v>
      </c>
      <c r="DL38" s="20">
        <v>10</v>
      </c>
      <c r="DM38" s="20">
        <v>109</v>
      </c>
      <c r="DN38" s="20">
        <v>202</v>
      </c>
      <c r="DO38" s="13"/>
      <c r="DP38" s="13"/>
      <c r="DQ38" s="20" t="s">
        <v>67</v>
      </c>
      <c r="DR38" s="20">
        <v>0</v>
      </c>
      <c r="DS38" s="20">
        <v>24</v>
      </c>
      <c r="DT38" s="20">
        <v>0</v>
      </c>
      <c r="DU38" s="20">
        <v>24</v>
      </c>
      <c r="DV38" s="20">
        <v>79</v>
      </c>
      <c r="DW38" s="20">
        <v>0</v>
      </c>
      <c r="DX38" s="20">
        <v>79</v>
      </c>
      <c r="DY38" s="20">
        <v>162</v>
      </c>
      <c r="DZ38" s="13"/>
      <c r="EA38" s="13"/>
      <c r="EB38" s="19" t="s">
        <v>67</v>
      </c>
      <c r="EC38" s="19">
        <v>4</v>
      </c>
      <c r="ED38" s="19">
        <v>39</v>
      </c>
      <c r="EE38" s="19">
        <v>0</v>
      </c>
      <c r="EF38" s="19">
        <v>43</v>
      </c>
      <c r="EG38" s="19">
        <v>113</v>
      </c>
      <c r="EH38" s="19">
        <v>13</v>
      </c>
      <c r="EI38" s="19">
        <v>126</v>
      </c>
      <c r="EJ38" s="19">
        <v>214</v>
      </c>
      <c r="EK38" s="13"/>
      <c r="EL38" s="13"/>
      <c r="EM38" s="19" t="s">
        <v>67</v>
      </c>
      <c r="EN38" s="19">
        <v>7</v>
      </c>
      <c r="EO38" s="19">
        <v>31</v>
      </c>
      <c r="EP38" s="19">
        <v>0</v>
      </c>
      <c r="EQ38" s="19">
        <v>38</v>
      </c>
      <c r="ER38" s="19">
        <v>98</v>
      </c>
      <c r="ES38" s="19">
        <v>17</v>
      </c>
      <c r="ET38" s="19">
        <v>115</v>
      </c>
      <c r="EU38" s="19">
        <v>231</v>
      </c>
      <c r="EV38" s="13"/>
      <c r="EW38" s="13"/>
      <c r="EX38" s="19" t="s">
        <v>67</v>
      </c>
      <c r="EY38" s="19">
        <v>4</v>
      </c>
      <c r="EZ38" s="19">
        <v>28</v>
      </c>
      <c r="FA38" s="19">
        <v>0</v>
      </c>
      <c r="FB38" s="19">
        <v>32</v>
      </c>
      <c r="FC38" s="19">
        <v>83</v>
      </c>
      <c r="FD38" s="19">
        <v>8</v>
      </c>
      <c r="FE38" s="19">
        <v>91</v>
      </c>
      <c r="FF38" s="19">
        <v>159</v>
      </c>
      <c r="FG38" s="13"/>
      <c r="FH38" s="13"/>
      <c r="FI38" s="58" t="s">
        <v>67</v>
      </c>
      <c r="FJ38" s="65">
        <v>4</v>
      </c>
      <c r="FK38" s="65">
        <v>24</v>
      </c>
      <c r="FL38" s="65">
        <v>1</v>
      </c>
      <c r="FM38" s="65">
        <v>29</v>
      </c>
      <c r="FN38" s="65">
        <v>66</v>
      </c>
      <c r="FO38" s="65">
        <v>5</v>
      </c>
      <c r="FP38" s="65">
        <v>71</v>
      </c>
      <c r="FQ38" s="65">
        <v>143</v>
      </c>
      <c r="FR38" s="13"/>
      <c r="FS38" s="70" t="s">
        <v>67</v>
      </c>
      <c r="FT38" s="145">
        <v>4</v>
      </c>
      <c r="FU38" s="145">
        <v>15</v>
      </c>
      <c r="FV38" s="145">
        <v>1</v>
      </c>
      <c r="FW38" s="145">
        <v>20</v>
      </c>
      <c r="FX38" s="145">
        <v>67</v>
      </c>
      <c r="FY38" s="145">
        <v>10</v>
      </c>
      <c r="FZ38" s="145">
        <v>77</v>
      </c>
      <c r="GA38" s="145">
        <v>109</v>
      </c>
      <c r="GB38" s="13"/>
      <c r="GC38" s="70" t="s">
        <v>67</v>
      </c>
      <c r="GD38" s="71">
        <v>3</v>
      </c>
      <c r="GE38" s="71">
        <v>11</v>
      </c>
      <c r="GF38" s="71">
        <v>0</v>
      </c>
      <c r="GG38" s="71">
        <v>14</v>
      </c>
      <c r="GH38" s="71">
        <v>59</v>
      </c>
      <c r="GI38" s="71">
        <v>14</v>
      </c>
      <c r="GJ38" s="71">
        <v>73</v>
      </c>
      <c r="GK38" s="71">
        <v>90</v>
      </c>
      <c r="GL38" s="13"/>
      <c r="GM38" s="70" t="s">
        <v>67</v>
      </c>
      <c r="GN38" s="71">
        <v>3</v>
      </c>
      <c r="GO38" s="71">
        <v>24</v>
      </c>
      <c r="GP38" s="71">
        <v>0</v>
      </c>
      <c r="GQ38" s="71">
        <v>27</v>
      </c>
      <c r="GR38" s="71">
        <v>86</v>
      </c>
      <c r="GS38" s="71">
        <v>4</v>
      </c>
      <c r="GT38" s="71">
        <v>90</v>
      </c>
      <c r="GU38" s="71">
        <v>120</v>
      </c>
      <c r="GV38" s="146">
        <v>-15.625</v>
      </c>
      <c r="GW38" s="147">
        <v>92.857142857142861</v>
      </c>
    </row>
    <row r="39" spans="1:205" ht="15.5" thickBot="1">
      <c r="A39" s="19" t="s">
        <v>68</v>
      </c>
      <c r="B39" s="20">
        <v>24</v>
      </c>
      <c r="C39" s="20">
        <v>30</v>
      </c>
      <c r="D39" s="20">
        <v>2</v>
      </c>
      <c r="E39" s="20">
        <v>56</v>
      </c>
      <c r="F39" s="20">
        <v>383</v>
      </c>
      <c r="G39" s="20">
        <v>60</v>
      </c>
      <c r="H39" s="20">
        <v>443</v>
      </c>
      <c r="I39" s="20">
        <v>602</v>
      </c>
      <c r="J39" s="26"/>
      <c r="K39" s="19" t="s">
        <v>68</v>
      </c>
      <c r="L39" s="20">
        <v>17</v>
      </c>
      <c r="M39" s="20">
        <v>24</v>
      </c>
      <c r="N39" s="20">
        <v>1</v>
      </c>
      <c r="O39" s="20">
        <v>42</v>
      </c>
      <c r="P39" s="20">
        <v>235</v>
      </c>
      <c r="Q39" s="20">
        <v>35</v>
      </c>
      <c r="R39" s="20">
        <v>270</v>
      </c>
      <c r="S39" s="20">
        <v>379</v>
      </c>
      <c r="T39" s="13"/>
      <c r="U39" s="13"/>
      <c r="V39" s="19" t="s">
        <v>68</v>
      </c>
      <c r="W39" s="20">
        <v>9</v>
      </c>
      <c r="X39" s="20">
        <v>23</v>
      </c>
      <c r="Y39" s="20">
        <v>0</v>
      </c>
      <c r="Z39" s="20">
        <v>32</v>
      </c>
      <c r="AA39" s="20">
        <v>168</v>
      </c>
      <c r="AB39" s="20">
        <v>17</v>
      </c>
      <c r="AC39" s="20">
        <v>185</v>
      </c>
      <c r="AD39" s="20">
        <v>247</v>
      </c>
      <c r="AE39" s="45"/>
      <c r="AF39" s="45"/>
      <c r="AG39" s="50" t="s">
        <v>68</v>
      </c>
      <c r="AH39" s="20">
        <v>21</v>
      </c>
      <c r="AI39" s="20">
        <v>29</v>
      </c>
      <c r="AJ39" s="20">
        <v>5</v>
      </c>
      <c r="AK39" s="20">
        <v>55</v>
      </c>
      <c r="AL39" s="20">
        <v>292</v>
      </c>
      <c r="AM39" s="20">
        <v>41</v>
      </c>
      <c r="AN39" s="20">
        <v>333</v>
      </c>
      <c r="AO39" s="20">
        <v>502</v>
      </c>
      <c r="AP39" s="13"/>
      <c r="AQ39" s="13"/>
      <c r="AR39" s="20" t="s">
        <v>68</v>
      </c>
      <c r="AS39" s="20">
        <v>14</v>
      </c>
      <c r="AT39" s="20">
        <v>30</v>
      </c>
      <c r="AU39" s="20">
        <v>1</v>
      </c>
      <c r="AV39" s="20">
        <v>45</v>
      </c>
      <c r="AW39" s="20">
        <v>188</v>
      </c>
      <c r="AX39" s="20">
        <v>25</v>
      </c>
      <c r="AY39" s="20">
        <v>213</v>
      </c>
      <c r="AZ39" s="20">
        <v>332</v>
      </c>
      <c r="BA39" s="13"/>
      <c r="BB39" s="13"/>
      <c r="BC39" s="20" t="s">
        <v>68</v>
      </c>
      <c r="BD39" s="20">
        <v>17</v>
      </c>
      <c r="BE39" s="20">
        <v>9</v>
      </c>
      <c r="BF39" s="20">
        <v>0</v>
      </c>
      <c r="BG39" s="20">
        <v>26</v>
      </c>
      <c r="BH39" s="20">
        <v>133</v>
      </c>
      <c r="BI39" s="20">
        <v>63</v>
      </c>
      <c r="BJ39" s="20">
        <v>196</v>
      </c>
      <c r="BK39" s="20">
        <v>272</v>
      </c>
      <c r="BL39" s="13"/>
      <c r="BM39" s="13"/>
      <c r="BN39" s="20" t="s">
        <v>68</v>
      </c>
      <c r="BO39" s="20">
        <v>18</v>
      </c>
      <c r="BP39" s="20">
        <v>13</v>
      </c>
      <c r="BQ39" s="20">
        <v>0</v>
      </c>
      <c r="BR39" s="20">
        <v>31</v>
      </c>
      <c r="BS39" s="20">
        <v>192</v>
      </c>
      <c r="BT39" s="20">
        <v>35</v>
      </c>
      <c r="BU39" s="20">
        <v>227</v>
      </c>
      <c r="BV39" s="20">
        <v>271</v>
      </c>
      <c r="BW39" s="13"/>
      <c r="BX39" s="13"/>
      <c r="BY39" s="20" t="s">
        <v>68</v>
      </c>
      <c r="BZ39" s="20">
        <v>17</v>
      </c>
      <c r="CA39" s="20">
        <v>27</v>
      </c>
      <c r="CB39" s="20">
        <v>4</v>
      </c>
      <c r="CC39" s="20">
        <v>48</v>
      </c>
      <c r="CD39" s="20">
        <v>191</v>
      </c>
      <c r="CE39" s="20">
        <v>60</v>
      </c>
      <c r="CF39" s="20">
        <v>251</v>
      </c>
      <c r="CG39" s="20">
        <v>365</v>
      </c>
      <c r="CH39" s="13"/>
      <c r="CI39" s="13"/>
      <c r="CJ39" s="20" t="s">
        <v>68</v>
      </c>
      <c r="CK39" s="20">
        <v>21</v>
      </c>
      <c r="CL39" s="20">
        <v>34</v>
      </c>
      <c r="CM39" s="20">
        <v>2</v>
      </c>
      <c r="CN39" s="20">
        <v>57</v>
      </c>
      <c r="CO39" s="20">
        <v>237</v>
      </c>
      <c r="CP39" s="20">
        <v>35</v>
      </c>
      <c r="CQ39" s="20">
        <v>272</v>
      </c>
      <c r="CR39" s="20">
        <v>423</v>
      </c>
      <c r="CS39" s="13"/>
      <c r="CT39" s="13"/>
      <c r="CU39" s="20" t="s">
        <v>68</v>
      </c>
      <c r="CV39" s="20">
        <v>14</v>
      </c>
      <c r="CW39" s="20">
        <v>23</v>
      </c>
      <c r="CX39" s="20">
        <v>1</v>
      </c>
      <c r="CY39" s="20">
        <v>38</v>
      </c>
      <c r="CZ39" s="20">
        <v>215</v>
      </c>
      <c r="DA39" s="20">
        <v>26</v>
      </c>
      <c r="DB39" s="20">
        <v>241</v>
      </c>
      <c r="DC39" s="20">
        <v>338</v>
      </c>
      <c r="DD39" s="13"/>
      <c r="DE39" s="13"/>
      <c r="DF39" s="20" t="s">
        <v>68</v>
      </c>
      <c r="DG39" s="20">
        <v>16</v>
      </c>
      <c r="DH39" s="20">
        <v>33</v>
      </c>
      <c r="DI39" s="20">
        <v>1</v>
      </c>
      <c r="DJ39" s="20">
        <v>50</v>
      </c>
      <c r="DK39" s="20">
        <v>305</v>
      </c>
      <c r="DL39" s="20">
        <v>32</v>
      </c>
      <c r="DM39" s="20">
        <v>337</v>
      </c>
      <c r="DN39" s="20">
        <v>438</v>
      </c>
      <c r="DO39" s="13"/>
      <c r="DP39" s="13"/>
      <c r="DQ39" s="20" t="s">
        <v>68</v>
      </c>
      <c r="DR39" s="20">
        <v>8</v>
      </c>
      <c r="DS39" s="20">
        <v>19</v>
      </c>
      <c r="DT39" s="20">
        <v>1</v>
      </c>
      <c r="DU39" s="20">
        <v>28</v>
      </c>
      <c r="DV39" s="20">
        <v>93</v>
      </c>
      <c r="DW39" s="20">
        <v>12</v>
      </c>
      <c r="DX39" s="20">
        <v>105</v>
      </c>
      <c r="DY39" s="20">
        <v>132</v>
      </c>
      <c r="DZ39" s="13"/>
      <c r="EA39" s="13"/>
      <c r="EB39" s="19" t="s">
        <v>68</v>
      </c>
      <c r="EC39" s="19">
        <v>18</v>
      </c>
      <c r="ED39" s="19">
        <v>30</v>
      </c>
      <c r="EE39" s="19">
        <v>2</v>
      </c>
      <c r="EF39" s="19">
        <v>50</v>
      </c>
      <c r="EG39" s="19">
        <v>340</v>
      </c>
      <c r="EH39" s="19">
        <v>31</v>
      </c>
      <c r="EI39" s="19">
        <v>371</v>
      </c>
      <c r="EJ39" s="19">
        <v>494</v>
      </c>
      <c r="EK39" s="13"/>
      <c r="EL39" s="13"/>
      <c r="EM39" s="19" t="s">
        <v>68</v>
      </c>
      <c r="EN39" s="19">
        <v>8</v>
      </c>
      <c r="EO39" s="19">
        <v>28</v>
      </c>
      <c r="EP39" s="19">
        <v>3</v>
      </c>
      <c r="EQ39" s="19">
        <v>39</v>
      </c>
      <c r="ER39" s="19">
        <v>234</v>
      </c>
      <c r="ES39" s="19">
        <v>13</v>
      </c>
      <c r="ET39" s="19">
        <v>247</v>
      </c>
      <c r="EU39" s="19">
        <v>378</v>
      </c>
      <c r="EV39" s="13"/>
      <c r="EW39" s="13"/>
      <c r="EX39" s="19" t="s">
        <v>68</v>
      </c>
      <c r="EY39" s="19">
        <v>16</v>
      </c>
      <c r="EZ39" s="19">
        <v>22</v>
      </c>
      <c r="FA39" s="19">
        <v>0</v>
      </c>
      <c r="FB39" s="19">
        <v>38</v>
      </c>
      <c r="FC39" s="19">
        <v>155</v>
      </c>
      <c r="FD39" s="19">
        <v>21</v>
      </c>
      <c r="FE39" s="19">
        <v>176</v>
      </c>
      <c r="FF39" s="19">
        <v>289</v>
      </c>
      <c r="FG39" s="13"/>
      <c r="FH39" s="13"/>
      <c r="FI39" s="58" t="s">
        <v>68</v>
      </c>
      <c r="FJ39" s="65">
        <v>6</v>
      </c>
      <c r="FK39" s="65">
        <v>32</v>
      </c>
      <c r="FL39" s="65">
        <v>1</v>
      </c>
      <c r="FM39" s="65">
        <v>39</v>
      </c>
      <c r="FN39" s="65">
        <v>167</v>
      </c>
      <c r="FO39" s="65">
        <v>7</v>
      </c>
      <c r="FP39" s="65">
        <v>174</v>
      </c>
      <c r="FQ39" s="65">
        <v>302</v>
      </c>
      <c r="FR39" s="13"/>
      <c r="FS39" s="70" t="s">
        <v>68</v>
      </c>
      <c r="FT39" s="145">
        <v>14</v>
      </c>
      <c r="FU39" s="145">
        <v>38</v>
      </c>
      <c r="FV39" s="145">
        <v>3</v>
      </c>
      <c r="FW39" s="145">
        <v>55</v>
      </c>
      <c r="FX39" s="145">
        <v>259</v>
      </c>
      <c r="FY39" s="145">
        <v>30</v>
      </c>
      <c r="FZ39" s="145">
        <v>289</v>
      </c>
      <c r="GA39" s="145">
        <v>431</v>
      </c>
      <c r="GB39" s="13"/>
      <c r="GC39" s="70" t="s">
        <v>68</v>
      </c>
      <c r="GD39" s="71">
        <v>16</v>
      </c>
      <c r="GE39" s="71">
        <v>32</v>
      </c>
      <c r="GF39" s="71">
        <v>1</v>
      </c>
      <c r="GG39" s="71">
        <v>49</v>
      </c>
      <c r="GH39" s="71">
        <v>269</v>
      </c>
      <c r="GI39" s="71">
        <v>49</v>
      </c>
      <c r="GJ39" s="71">
        <v>318</v>
      </c>
      <c r="GK39" s="71">
        <v>456</v>
      </c>
      <c r="GL39" s="13"/>
      <c r="GM39" s="70" t="s">
        <v>68</v>
      </c>
      <c r="GN39" s="71">
        <v>14</v>
      </c>
      <c r="GO39" s="71">
        <v>32</v>
      </c>
      <c r="GP39" s="71">
        <v>0</v>
      </c>
      <c r="GQ39" s="71">
        <v>46</v>
      </c>
      <c r="GR39" s="71">
        <v>285</v>
      </c>
      <c r="GS39" s="71">
        <v>33</v>
      </c>
      <c r="GT39" s="71">
        <v>318</v>
      </c>
      <c r="GU39" s="71">
        <v>401</v>
      </c>
      <c r="GV39" s="146">
        <v>21.052631578947366</v>
      </c>
      <c r="GW39" s="147">
        <v>-6.1224489795918364</v>
      </c>
    </row>
    <row r="40" spans="1:205" ht="15.5" thickBot="1">
      <c r="A40" s="19" t="s">
        <v>69</v>
      </c>
      <c r="B40" s="20">
        <v>18</v>
      </c>
      <c r="C40" s="20">
        <v>37</v>
      </c>
      <c r="D40" s="20">
        <v>0</v>
      </c>
      <c r="E40" s="20">
        <v>55</v>
      </c>
      <c r="F40" s="20">
        <v>252</v>
      </c>
      <c r="G40" s="20">
        <v>40</v>
      </c>
      <c r="H40" s="20">
        <v>292</v>
      </c>
      <c r="I40" s="20">
        <v>475</v>
      </c>
      <c r="J40" s="26"/>
      <c r="K40" s="19" t="s">
        <v>69</v>
      </c>
      <c r="L40" s="20">
        <v>8</v>
      </c>
      <c r="M40" s="20">
        <v>33</v>
      </c>
      <c r="N40" s="20">
        <v>0</v>
      </c>
      <c r="O40" s="20">
        <v>41</v>
      </c>
      <c r="P40" s="20">
        <v>153</v>
      </c>
      <c r="Q40" s="20">
        <v>14</v>
      </c>
      <c r="R40" s="20">
        <v>167</v>
      </c>
      <c r="S40" s="20">
        <v>235</v>
      </c>
      <c r="T40" s="13"/>
      <c r="U40" s="13"/>
      <c r="V40" s="19" t="s">
        <v>69</v>
      </c>
      <c r="W40" s="20">
        <v>18</v>
      </c>
      <c r="X40" s="20">
        <v>26</v>
      </c>
      <c r="Y40" s="20">
        <v>2</v>
      </c>
      <c r="Z40" s="20">
        <v>46</v>
      </c>
      <c r="AA40" s="20">
        <v>213</v>
      </c>
      <c r="AB40" s="20">
        <v>50</v>
      </c>
      <c r="AC40" s="20">
        <v>263</v>
      </c>
      <c r="AD40" s="20">
        <v>386</v>
      </c>
      <c r="AE40" s="45"/>
      <c r="AF40" s="45"/>
      <c r="AG40" s="50" t="s">
        <v>69</v>
      </c>
      <c r="AH40" s="20">
        <v>7</v>
      </c>
      <c r="AI40" s="20">
        <v>13</v>
      </c>
      <c r="AJ40" s="20">
        <v>1</v>
      </c>
      <c r="AK40" s="20">
        <v>21</v>
      </c>
      <c r="AL40" s="20">
        <v>56</v>
      </c>
      <c r="AM40" s="20">
        <v>19</v>
      </c>
      <c r="AN40" s="20">
        <v>75</v>
      </c>
      <c r="AO40" s="20">
        <v>110</v>
      </c>
      <c r="AP40" s="13"/>
      <c r="AQ40" s="13"/>
      <c r="AR40" s="20" t="s">
        <v>69</v>
      </c>
      <c r="AS40" s="20">
        <v>9</v>
      </c>
      <c r="AT40" s="20">
        <v>16</v>
      </c>
      <c r="AU40" s="20">
        <v>0</v>
      </c>
      <c r="AV40" s="20">
        <v>25</v>
      </c>
      <c r="AW40" s="20">
        <v>135</v>
      </c>
      <c r="AX40" s="20">
        <v>32</v>
      </c>
      <c r="AY40" s="20">
        <v>167</v>
      </c>
      <c r="AZ40" s="20">
        <v>249</v>
      </c>
      <c r="BA40" s="13"/>
      <c r="BB40" s="13"/>
      <c r="BC40" s="20" t="s">
        <v>69</v>
      </c>
      <c r="BD40" s="20">
        <v>5</v>
      </c>
      <c r="BE40" s="20">
        <v>21</v>
      </c>
      <c r="BF40" s="20">
        <v>1</v>
      </c>
      <c r="BG40" s="20">
        <v>27</v>
      </c>
      <c r="BH40" s="20">
        <v>130</v>
      </c>
      <c r="BI40" s="20">
        <v>10</v>
      </c>
      <c r="BJ40" s="20">
        <v>140</v>
      </c>
      <c r="BK40" s="20">
        <v>185</v>
      </c>
      <c r="BL40" s="13"/>
      <c r="BM40" s="13"/>
      <c r="BN40" s="20" t="s">
        <v>69</v>
      </c>
      <c r="BO40" s="20">
        <v>7</v>
      </c>
      <c r="BP40" s="20">
        <v>21</v>
      </c>
      <c r="BQ40" s="20">
        <v>0</v>
      </c>
      <c r="BR40" s="20">
        <v>28</v>
      </c>
      <c r="BS40" s="20">
        <v>78</v>
      </c>
      <c r="BT40" s="20">
        <v>13</v>
      </c>
      <c r="BU40" s="20">
        <v>91</v>
      </c>
      <c r="BV40" s="20">
        <v>175</v>
      </c>
      <c r="BW40" s="13"/>
      <c r="BX40" s="13"/>
      <c r="BY40" s="20" t="s">
        <v>69</v>
      </c>
      <c r="BZ40" s="20">
        <v>5</v>
      </c>
      <c r="CA40" s="20">
        <v>24</v>
      </c>
      <c r="CB40" s="20">
        <v>0</v>
      </c>
      <c r="CC40" s="20">
        <v>29</v>
      </c>
      <c r="CD40" s="20">
        <v>77</v>
      </c>
      <c r="CE40" s="20">
        <v>12</v>
      </c>
      <c r="CF40" s="20">
        <v>89</v>
      </c>
      <c r="CG40" s="20">
        <v>157</v>
      </c>
      <c r="CH40" s="13"/>
      <c r="CI40" s="13"/>
      <c r="CJ40" s="20" t="s">
        <v>69</v>
      </c>
      <c r="CK40" s="20">
        <v>11</v>
      </c>
      <c r="CL40" s="20">
        <v>19</v>
      </c>
      <c r="CM40" s="20">
        <v>0</v>
      </c>
      <c r="CN40" s="20">
        <v>30</v>
      </c>
      <c r="CO40" s="20">
        <v>103</v>
      </c>
      <c r="CP40" s="20">
        <v>23</v>
      </c>
      <c r="CQ40" s="20">
        <v>126</v>
      </c>
      <c r="CR40" s="20">
        <v>174</v>
      </c>
      <c r="CS40" s="13"/>
      <c r="CT40" s="13"/>
      <c r="CU40" s="20" t="s">
        <v>69</v>
      </c>
      <c r="CV40" s="20">
        <v>8</v>
      </c>
      <c r="CW40" s="20">
        <v>12</v>
      </c>
      <c r="CX40" s="20">
        <v>0</v>
      </c>
      <c r="CY40" s="20">
        <v>20</v>
      </c>
      <c r="CZ40" s="20">
        <v>113</v>
      </c>
      <c r="DA40" s="20">
        <v>14</v>
      </c>
      <c r="DB40" s="20">
        <v>127</v>
      </c>
      <c r="DC40" s="20">
        <v>189</v>
      </c>
      <c r="DD40" s="13"/>
      <c r="DE40" s="13"/>
      <c r="DF40" s="20" t="s">
        <v>69</v>
      </c>
      <c r="DG40" s="20">
        <v>5</v>
      </c>
      <c r="DH40" s="20">
        <v>14</v>
      </c>
      <c r="DI40" s="20">
        <v>0</v>
      </c>
      <c r="DJ40" s="20">
        <v>19</v>
      </c>
      <c r="DK40" s="20">
        <v>146</v>
      </c>
      <c r="DL40" s="20">
        <v>32</v>
      </c>
      <c r="DM40" s="20">
        <v>178</v>
      </c>
      <c r="DN40" s="20">
        <v>142</v>
      </c>
      <c r="DO40" s="13"/>
      <c r="DP40" s="13"/>
      <c r="DQ40" s="20" t="s">
        <v>69</v>
      </c>
      <c r="DR40" s="20">
        <v>1</v>
      </c>
      <c r="DS40" s="20">
        <v>9</v>
      </c>
      <c r="DT40" s="20">
        <v>0</v>
      </c>
      <c r="DU40" s="20">
        <v>10</v>
      </c>
      <c r="DV40" s="20">
        <v>38</v>
      </c>
      <c r="DW40" s="20">
        <v>1</v>
      </c>
      <c r="DX40" s="20">
        <v>39</v>
      </c>
      <c r="DY40" s="20">
        <v>49</v>
      </c>
      <c r="DZ40" s="13"/>
      <c r="EA40" s="13"/>
      <c r="EB40" s="19" t="s">
        <v>69</v>
      </c>
      <c r="EC40" s="19">
        <v>6</v>
      </c>
      <c r="ED40" s="19">
        <v>8</v>
      </c>
      <c r="EE40" s="19">
        <v>1</v>
      </c>
      <c r="EF40" s="19">
        <v>15</v>
      </c>
      <c r="EG40" s="19">
        <v>36</v>
      </c>
      <c r="EH40" s="19">
        <v>18</v>
      </c>
      <c r="EI40" s="19">
        <v>54</v>
      </c>
      <c r="EJ40" s="19">
        <v>131</v>
      </c>
      <c r="EK40" s="13"/>
      <c r="EL40" s="13"/>
      <c r="EM40" s="19" t="s">
        <v>69</v>
      </c>
      <c r="EN40" s="19">
        <v>5</v>
      </c>
      <c r="EO40" s="19">
        <v>8</v>
      </c>
      <c r="EP40" s="19">
        <v>0</v>
      </c>
      <c r="EQ40" s="19">
        <v>13</v>
      </c>
      <c r="ER40" s="19">
        <v>61</v>
      </c>
      <c r="ES40" s="19">
        <v>14</v>
      </c>
      <c r="ET40" s="19">
        <v>75</v>
      </c>
      <c r="EU40" s="19">
        <v>130</v>
      </c>
      <c r="EV40" s="13"/>
      <c r="EW40" s="13"/>
      <c r="EX40" s="19" t="s">
        <v>69</v>
      </c>
      <c r="EY40" s="19">
        <v>7</v>
      </c>
      <c r="EZ40" s="19">
        <v>13</v>
      </c>
      <c r="FA40" s="19">
        <v>0</v>
      </c>
      <c r="FB40" s="19">
        <v>20</v>
      </c>
      <c r="FC40" s="19">
        <v>84</v>
      </c>
      <c r="FD40" s="19">
        <v>16</v>
      </c>
      <c r="FE40" s="19">
        <v>100</v>
      </c>
      <c r="FF40" s="19">
        <v>187</v>
      </c>
      <c r="FG40" s="13"/>
      <c r="FH40" s="13"/>
      <c r="FI40" s="58" t="s">
        <v>69</v>
      </c>
      <c r="FJ40" s="65">
        <v>4</v>
      </c>
      <c r="FK40" s="65">
        <v>7</v>
      </c>
      <c r="FL40" s="65">
        <v>0</v>
      </c>
      <c r="FM40" s="65">
        <v>11</v>
      </c>
      <c r="FN40" s="65">
        <v>30</v>
      </c>
      <c r="FO40" s="65">
        <v>12</v>
      </c>
      <c r="FP40" s="65">
        <v>42</v>
      </c>
      <c r="FQ40" s="65">
        <v>57</v>
      </c>
      <c r="FR40" s="13"/>
      <c r="FS40" s="70" t="s">
        <v>69</v>
      </c>
      <c r="FT40" s="145">
        <v>5</v>
      </c>
      <c r="FU40" s="145">
        <v>20</v>
      </c>
      <c r="FV40" s="145">
        <v>0</v>
      </c>
      <c r="FW40" s="145">
        <v>25</v>
      </c>
      <c r="FX40" s="145">
        <v>100</v>
      </c>
      <c r="FY40" s="145">
        <v>17</v>
      </c>
      <c r="FZ40" s="145">
        <v>117</v>
      </c>
      <c r="GA40" s="145">
        <v>231</v>
      </c>
      <c r="GB40" s="13"/>
      <c r="GC40" s="70" t="s">
        <v>69</v>
      </c>
      <c r="GD40" s="71">
        <v>11</v>
      </c>
      <c r="GE40" s="71">
        <v>17</v>
      </c>
      <c r="GF40" s="71">
        <v>2</v>
      </c>
      <c r="GG40" s="71">
        <v>30</v>
      </c>
      <c r="GH40" s="71">
        <v>186</v>
      </c>
      <c r="GI40" s="71">
        <v>51</v>
      </c>
      <c r="GJ40" s="71">
        <v>237</v>
      </c>
      <c r="GK40" s="71">
        <v>359</v>
      </c>
      <c r="GL40" s="13"/>
      <c r="GM40" s="70" t="s">
        <v>69</v>
      </c>
      <c r="GN40" s="71">
        <v>6</v>
      </c>
      <c r="GO40" s="71">
        <v>9</v>
      </c>
      <c r="GP40" s="71">
        <v>0</v>
      </c>
      <c r="GQ40" s="71">
        <v>15</v>
      </c>
      <c r="GR40" s="71">
        <v>96</v>
      </c>
      <c r="GS40" s="71">
        <v>17</v>
      </c>
      <c r="GT40" s="71">
        <v>113</v>
      </c>
      <c r="GU40" s="71">
        <v>166</v>
      </c>
      <c r="GV40" s="146">
        <v>-25</v>
      </c>
      <c r="GW40" s="147">
        <v>-50</v>
      </c>
    </row>
    <row r="41" spans="1:205" ht="15.5" thickBot="1">
      <c r="A41" s="17" t="s">
        <v>97</v>
      </c>
      <c r="B41" s="21">
        <v>885</v>
      </c>
      <c r="C41" s="21">
        <v>2017</v>
      </c>
      <c r="D41" s="21">
        <v>411</v>
      </c>
      <c r="E41" s="21">
        <v>3313</v>
      </c>
      <c r="F41" s="21">
        <v>9702</v>
      </c>
      <c r="G41" s="21">
        <v>1818</v>
      </c>
      <c r="H41" s="21">
        <v>11520</v>
      </c>
      <c r="I41" s="21">
        <v>21670</v>
      </c>
      <c r="J41" s="26"/>
      <c r="K41" s="17" t="s">
        <v>97</v>
      </c>
      <c r="L41" s="21">
        <v>830</v>
      </c>
      <c r="M41" s="21">
        <v>2082</v>
      </c>
      <c r="N41" s="21">
        <v>389</v>
      </c>
      <c r="O41" s="21">
        <v>3301</v>
      </c>
      <c r="P41" s="21">
        <v>10057</v>
      </c>
      <c r="Q41" s="21">
        <v>1668</v>
      </c>
      <c r="R41" s="21">
        <v>11725</v>
      </c>
      <c r="S41" s="21">
        <v>21581</v>
      </c>
      <c r="T41" s="14"/>
      <c r="U41" s="14"/>
      <c r="V41" s="17" t="s">
        <v>97</v>
      </c>
      <c r="W41" s="21">
        <v>777</v>
      </c>
      <c r="X41" s="21">
        <v>2035</v>
      </c>
      <c r="Y41" s="21">
        <v>373</v>
      </c>
      <c r="Z41" s="21">
        <v>3185</v>
      </c>
      <c r="AA41" s="21">
        <v>9018</v>
      </c>
      <c r="AB41" s="21">
        <v>1453</v>
      </c>
      <c r="AC41" s="21">
        <v>10471</v>
      </c>
      <c r="AD41" s="21">
        <v>19455</v>
      </c>
      <c r="AE41" s="46"/>
      <c r="AF41" s="46"/>
      <c r="AG41" s="51" t="s">
        <v>97</v>
      </c>
      <c r="AH41" s="21">
        <v>723</v>
      </c>
      <c r="AI41" s="21">
        <v>2008</v>
      </c>
      <c r="AJ41" s="21">
        <v>403</v>
      </c>
      <c r="AK41" s="21">
        <v>3134</v>
      </c>
      <c r="AL41" s="21">
        <v>8827</v>
      </c>
      <c r="AM41" s="21">
        <v>1432</v>
      </c>
      <c r="AN41" s="21">
        <v>10259</v>
      </c>
      <c r="AO41" s="21">
        <v>19764</v>
      </c>
      <c r="AP41" s="14"/>
      <c r="AQ41" s="14"/>
      <c r="AR41" s="21" t="s">
        <v>97</v>
      </c>
      <c r="AS41" s="21">
        <v>888</v>
      </c>
      <c r="AT41" s="21">
        <v>2199</v>
      </c>
      <c r="AU41" s="21">
        <v>320</v>
      </c>
      <c r="AV41" s="21">
        <v>3407</v>
      </c>
      <c r="AW41" s="21">
        <v>10171</v>
      </c>
      <c r="AX41" s="21">
        <v>1652</v>
      </c>
      <c r="AY41" s="21">
        <v>11823</v>
      </c>
      <c r="AZ41" s="21">
        <v>22590</v>
      </c>
      <c r="BA41" s="14"/>
      <c r="BB41" s="14"/>
      <c r="BC41" s="21" t="s">
        <v>97</v>
      </c>
      <c r="BD41" s="21">
        <v>871</v>
      </c>
      <c r="BE41" s="21">
        <v>2100</v>
      </c>
      <c r="BF41" s="21">
        <v>374</v>
      </c>
      <c r="BG41" s="21">
        <v>3345</v>
      </c>
      <c r="BH41" s="21">
        <v>10294</v>
      </c>
      <c r="BI41" s="21">
        <v>1834</v>
      </c>
      <c r="BJ41" s="21">
        <v>12128</v>
      </c>
      <c r="BK41" s="21">
        <v>24192</v>
      </c>
      <c r="BL41" s="14"/>
      <c r="BM41" s="14"/>
      <c r="BN41" s="21" t="s">
        <v>97</v>
      </c>
      <c r="BO41" s="21">
        <v>823</v>
      </c>
      <c r="BP41" s="21">
        <v>2105</v>
      </c>
      <c r="BQ41" s="21">
        <v>354</v>
      </c>
      <c r="BR41" s="21">
        <v>3282</v>
      </c>
      <c r="BS41" s="21">
        <v>9146</v>
      </c>
      <c r="BT41" s="21">
        <v>1538</v>
      </c>
      <c r="BU41" s="21">
        <v>10684</v>
      </c>
      <c r="BV41" s="21">
        <v>20781</v>
      </c>
      <c r="BW41" s="14"/>
      <c r="BX41" s="14"/>
      <c r="BY41" s="21" t="s">
        <v>97</v>
      </c>
      <c r="BZ41" s="21">
        <v>720</v>
      </c>
      <c r="CA41" s="21">
        <v>2337</v>
      </c>
      <c r="CB41" s="21">
        <v>355</v>
      </c>
      <c r="CC41" s="21">
        <v>3412</v>
      </c>
      <c r="CD41" s="21">
        <v>9258</v>
      </c>
      <c r="CE41" s="21">
        <v>1476</v>
      </c>
      <c r="CF41" s="21">
        <v>10734</v>
      </c>
      <c r="CG41" s="21">
        <v>21318</v>
      </c>
      <c r="CH41" s="14"/>
      <c r="CI41" s="14"/>
      <c r="CJ41" s="21" t="s">
        <v>97</v>
      </c>
      <c r="CK41" s="21">
        <v>895</v>
      </c>
      <c r="CL41" s="21">
        <v>2411</v>
      </c>
      <c r="CM41" s="21">
        <v>311</v>
      </c>
      <c r="CN41" s="21">
        <v>3617</v>
      </c>
      <c r="CO41" s="21">
        <v>10232</v>
      </c>
      <c r="CP41" s="21">
        <v>1608</v>
      </c>
      <c r="CQ41" s="21">
        <v>11840</v>
      </c>
      <c r="CR41" s="21">
        <v>22852</v>
      </c>
      <c r="CS41" s="14"/>
      <c r="CT41" s="14"/>
      <c r="CU41" s="21" t="s">
        <v>97</v>
      </c>
      <c r="CV41" s="21">
        <v>677</v>
      </c>
      <c r="CW41" s="21">
        <v>1801</v>
      </c>
      <c r="CX41" s="21">
        <v>255</v>
      </c>
      <c r="CY41" s="21">
        <v>2733</v>
      </c>
      <c r="CZ41" s="21">
        <v>8339</v>
      </c>
      <c r="DA41" s="21">
        <v>1441</v>
      </c>
      <c r="DB41" s="21">
        <v>9780</v>
      </c>
      <c r="DC41" s="21">
        <v>17752</v>
      </c>
      <c r="DD41" s="14"/>
      <c r="DE41" s="14"/>
      <c r="DF41" s="21" t="s">
        <v>97</v>
      </c>
      <c r="DG41" s="21">
        <v>756</v>
      </c>
      <c r="DH41" s="21">
        <v>1919</v>
      </c>
      <c r="DI41" s="21">
        <v>292</v>
      </c>
      <c r="DJ41" s="21">
        <v>2967</v>
      </c>
      <c r="DK41" s="21">
        <v>8377</v>
      </c>
      <c r="DL41" s="21">
        <v>1409</v>
      </c>
      <c r="DM41" s="21">
        <v>9786</v>
      </c>
      <c r="DN41" s="21">
        <v>18926</v>
      </c>
      <c r="DO41" s="14"/>
      <c r="DP41" s="14"/>
      <c r="DQ41" s="21" t="s">
        <v>97</v>
      </c>
      <c r="DR41" s="21">
        <v>532</v>
      </c>
      <c r="DS41" s="21">
        <v>1419</v>
      </c>
      <c r="DT41" s="21">
        <v>236</v>
      </c>
      <c r="DU41" s="21">
        <v>2187</v>
      </c>
      <c r="DV41" s="21">
        <v>6041</v>
      </c>
      <c r="DW41" s="21">
        <v>908</v>
      </c>
      <c r="DX41" s="21">
        <v>6949</v>
      </c>
      <c r="DY41" s="21">
        <v>13999</v>
      </c>
      <c r="DZ41" s="14"/>
      <c r="EA41" s="14"/>
      <c r="EB41" s="17" t="s">
        <v>97</v>
      </c>
      <c r="EC41" s="17">
        <v>687</v>
      </c>
      <c r="ED41" s="17">
        <v>1772</v>
      </c>
      <c r="EE41" s="17">
        <v>258</v>
      </c>
      <c r="EF41" s="17">
        <v>2717</v>
      </c>
      <c r="EG41" s="17">
        <v>9116</v>
      </c>
      <c r="EH41" s="17">
        <v>1323</v>
      </c>
      <c r="EI41" s="17">
        <v>10439</v>
      </c>
      <c r="EJ41" s="17">
        <v>19414</v>
      </c>
      <c r="EK41" s="15"/>
      <c r="EL41" s="15"/>
      <c r="EM41" s="17" t="s">
        <v>97</v>
      </c>
      <c r="EN41" s="17">
        <v>693</v>
      </c>
      <c r="EO41" s="17">
        <v>1715</v>
      </c>
      <c r="EP41" s="17">
        <v>254</v>
      </c>
      <c r="EQ41" s="17">
        <v>2662</v>
      </c>
      <c r="ER41" s="17">
        <v>8659</v>
      </c>
      <c r="ES41" s="17">
        <v>1471</v>
      </c>
      <c r="ET41" s="17">
        <v>10130</v>
      </c>
      <c r="EU41" s="17">
        <v>19461</v>
      </c>
      <c r="EV41" s="15"/>
      <c r="EW41" s="15"/>
      <c r="EX41" s="17" t="s">
        <v>97</v>
      </c>
      <c r="EY41" s="17">
        <v>661</v>
      </c>
      <c r="EZ41" s="17">
        <v>1525</v>
      </c>
      <c r="FA41" s="17">
        <v>218</v>
      </c>
      <c r="FB41" s="17">
        <v>2404</v>
      </c>
      <c r="FC41" s="17">
        <v>7650</v>
      </c>
      <c r="FD41" s="17">
        <v>1305</v>
      </c>
      <c r="FE41" s="17">
        <v>8955</v>
      </c>
      <c r="FF41" s="17">
        <v>17093</v>
      </c>
      <c r="FG41" s="14"/>
      <c r="FH41" s="14"/>
      <c r="FI41" s="57" t="s">
        <v>97</v>
      </c>
      <c r="FJ41" s="63">
        <v>495</v>
      </c>
      <c r="FK41" s="63">
        <v>1272</v>
      </c>
      <c r="FL41" s="63">
        <v>166</v>
      </c>
      <c r="FM41" s="63">
        <v>1933</v>
      </c>
      <c r="FN41" s="63">
        <v>6064</v>
      </c>
      <c r="FO41" s="63">
        <v>1035</v>
      </c>
      <c r="FP41" s="63">
        <v>7099</v>
      </c>
      <c r="FQ41" s="63">
        <v>13704</v>
      </c>
      <c r="FR41" s="14"/>
      <c r="FS41" s="70" t="s">
        <v>97</v>
      </c>
      <c r="FT41" s="145">
        <v>683</v>
      </c>
      <c r="FU41" s="145">
        <v>1607</v>
      </c>
      <c r="FV41" s="145">
        <v>269</v>
      </c>
      <c r="FW41" s="145">
        <v>2559</v>
      </c>
      <c r="FX41" s="145">
        <v>8781</v>
      </c>
      <c r="FY41" s="145">
        <v>1610</v>
      </c>
      <c r="FZ41" s="145">
        <v>10391</v>
      </c>
      <c r="GA41" s="145">
        <v>20272</v>
      </c>
      <c r="GB41" s="14"/>
      <c r="GC41" s="70" t="s">
        <v>97</v>
      </c>
      <c r="GD41" s="71">
        <v>706</v>
      </c>
      <c r="GE41" s="71">
        <v>1704</v>
      </c>
      <c r="GF41" s="71">
        <v>240</v>
      </c>
      <c r="GG41" s="71">
        <v>2650</v>
      </c>
      <c r="GH41" s="71">
        <v>9298</v>
      </c>
      <c r="GI41" s="71">
        <v>1593</v>
      </c>
      <c r="GJ41" s="71">
        <v>10891</v>
      </c>
      <c r="GK41" s="71">
        <v>20505</v>
      </c>
      <c r="GL41" s="14"/>
      <c r="GM41" s="74" t="s">
        <v>97</v>
      </c>
      <c r="GN41" s="75">
        <v>636</v>
      </c>
      <c r="GO41" s="75">
        <v>1728</v>
      </c>
      <c r="GP41" s="75">
        <v>267</v>
      </c>
      <c r="GQ41" s="75">
        <v>2631</v>
      </c>
      <c r="GR41" s="75">
        <v>8520</v>
      </c>
      <c r="GS41" s="75">
        <v>1245</v>
      </c>
      <c r="GT41" s="75">
        <v>9765</v>
      </c>
      <c r="GU41" s="75">
        <v>19288</v>
      </c>
      <c r="GV41" s="146">
        <v>9.4425956738768715</v>
      </c>
      <c r="GW41" s="147">
        <v>-0.71698113207547165</v>
      </c>
    </row>
    <row r="42" spans="1:205">
      <c r="A42" s="22" t="s">
        <v>98</v>
      </c>
      <c r="B42" s="13"/>
      <c r="C42" s="13"/>
      <c r="D42" s="13"/>
      <c r="E42" s="13"/>
      <c r="F42" s="13"/>
      <c r="G42" s="13"/>
      <c r="H42" s="13"/>
      <c r="I42" s="13"/>
      <c r="J42" s="26"/>
      <c r="K42" s="13"/>
      <c r="L42" s="23"/>
      <c r="M42" s="23"/>
      <c r="N42" s="23"/>
      <c r="O42" s="23"/>
      <c r="P42" s="23"/>
      <c r="Q42" s="23"/>
      <c r="R42" s="23"/>
      <c r="S42" s="23"/>
      <c r="T42" s="13"/>
      <c r="U42" s="13"/>
      <c r="V42" s="13"/>
      <c r="W42" s="23"/>
      <c r="X42" s="23"/>
      <c r="Y42" s="23"/>
      <c r="Z42" s="23"/>
      <c r="AA42" s="23"/>
      <c r="AB42" s="23"/>
      <c r="AC42" s="23"/>
      <c r="AD42" s="2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23"/>
      <c r="CA42" s="23"/>
      <c r="CB42" s="23"/>
      <c r="CC42" s="23"/>
      <c r="CD42" s="13"/>
      <c r="CE42" s="13"/>
      <c r="CF42" s="13"/>
      <c r="CG42" s="13"/>
      <c r="CH42" s="13"/>
      <c r="CI42" s="13"/>
      <c r="CJ42" s="13"/>
      <c r="CK42" s="23"/>
      <c r="CL42" s="23"/>
      <c r="CM42" s="23"/>
      <c r="CN42" s="23"/>
      <c r="CO42" s="13"/>
      <c r="CP42" s="13"/>
      <c r="CQ42" s="13"/>
      <c r="CR42" s="13"/>
      <c r="CS42" s="13"/>
      <c r="CT42" s="13"/>
      <c r="CU42" s="13"/>
      <c r="CV42" s="23"/>
      <c r="CW42" s="23"/>
      <c r="CX42" s="23"/>
      <c r="CY42" s="23"/>
      <c r="CZ42" s="43"/>
      <c r="DA42" s="23"/>
      <c r="DB42" s="13"/>
      <c r="DC42" s="13"/>
      <c r="DD42" s="13"/>
      <c r="DE42" s="13"/>
      <c r="DF42" s="13"/>
      <c r="DG42" s="23"/>
      <c r="DH42" s="23"/>
      <c r="DI42" s="23"/>
      <c r="DJ42" s="23"/>
      <c r="DK42" s="43"/>
      <c r="DL42" s="2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64" t="s">
        <v>98</v>
      </c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64" t="s">
        <v>98</v>
      </c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64" t="s">
        <v>98</v>
      </c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</row>
    <row r="43" spans="1:205">
      <c r="A43" s="13"/>
      <c r="B43" s="13"/>
      <c r="C43" s="13"/>
      <c r="D43" s="13"/>
      <c r="E43" s="23"/>
      <c r="F43" s="13"/>
      <c r="G43" s="13"/>
      <c r="H43" s="13"/>
      <c r="I43" s="13"/>
      <c r="J43" s="26"/>
      <c r="K43" s="13"/>
      <c r="L43" s="13"/>
      <c r="M43" s="13"/>
      <c r="N43" s="13"/>
      <c r="O43" s="2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2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2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2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23"/>
      <c r="CZ43" s="43"/>
      <c r="DA43" s="43"/>
      <c r="DB43" s="13"/>
      <c r="DC43" s="13"/>
      <c r="DD43" s="13"/>
      <c r="DE43" s="13"/>
      <c r="DF43" s="13"/>
      <c r="DG43" s="13"/>
      <c r="DH43" s="13"/>
      <c r="DI43" s="13"/>
      <c r="DJ43" s="23"/>
      <c r="DK43" s="43"/>
      <c r="DL43" s="4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</row>
    <row r="44" spans="1:20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43"/>
      <c r="DW44" s="4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</row>
    <row r="45" spans="1:205">
      <c r="A45" s="24" t="s">
        <v>99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43"/>
      <c r="DA45" s="43"/>
      <c r="DB45" s="13"/>
      <c r="DC45" s="13"/>
      <c r="DD45" s="13"/>
      <c r="DE45" s="13"/>
      <c r="DF45" s="13"/>
      <c r="DG45" s="13"/>
      <c r="DH45" s="13"/>
      <c r="DI45" s="13"/>
      <c r="DJ45" s="13"/>
      <c r="DK45" s="43"/>
      <c r="DL45" s="43"/>
      <c r="DM45" s="13"/>
      <c r="DN45" s="13"/>
      <c r="DO45" s="13"/>
      <c r="DP45" s="13"/>
      <c r="DQ45" s="13"/>
      <c r="DR45" s="13"/>
      <c r="DS45" s="13"/>
      <c r="DT45" s="13"/>
      <c r="DU45" s="13"/>
      <c r="DV45" s="43"/>
      <c r="DW45" s="4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</row>
    <row r="46" spans="1:205" ht="16.5">
      <c r="A46" s="25"/>
      <c r="B46" s="187" t="s">
        <v>73</v>
      </c>
      <c r="C46" s="187"/>
      <c r="D46" s="187" t="s">
        <v>74</v>
      </c>
      <c r="E46" s="187"/>
      <c r="F46" s="187" t="s">
        <v>75</v>
      </c>
      <c r="G46" s="187"/>
      <c r="H46" s="13"/>
      <c r="I46" s="13"/>
      <c r="J46" s="14" t="s">
        <v>76</v>
      </c>
      <c r="K46" s="13"/>
      <c r="L46" s="13"/>
      <c r="M46" s="13"/>
      <c r="N46" s="14" t="s">
        <v>77</v>
      </c>
      <c r="O46" s="13"/>
      <c r="P46" s="13"/>
      <c r="Q46" s="13"/>
      <c r="R46" s="14" t="s">
        <v>78</v>
      </c>
      <c r="S46" s="13"/>
      <c r="T46" s="13"/>
      <c r="U46" s="13"/>
      <c r="V46" s="13"/>
      <c r="W46" s="14" t="s">
        <v>79</v>
      </c>
      <c r="X46" s="13"/>
      <c r="Y46" s="13"/>
      <c r="Z46" s="13"/>
      <c r="AA46" s="14" t="s">
        <v>80</v>
      </c>
      <c r="AB46" s="47"/>
      <c r="AC46" s="13"/>
      <c r="AD46" s="13"/>
      <c r="AE46" s="14" t="s">
        <v>81</v>
      </c>
      <c r="AF46" s="47"/>
      <c r="AG46" s="13"/>
      <c r="AH46" s="185" t="s">
        <v>82</v>
      </c>
      <c r="AI46" s="185"/>
      <c r="AJ46" s="185"/>
      <c r="AK46" s="13"/>
      <c r="AL46" s="185" t="s">
        <v>83</v>
      </c>
      <c r="AM46" s="185"/>
      <c r="AN46" s="185"/>
      <c r="AO46" s="13"/>
      <c r="AP46" s="185" t="s">
        <v>84</v>
      </c>
      <c r="AQ46" s="185"/>
      <c r="AR46" s="185"/>
      <c r="AS46" s="13"/>
      <c r="AT46" s="185" t="s">
        <v>85</v>
      </c>
      <c r="AU46" s="185"/>
      <c r="AV46" s="185"/>
      <c r="AW46" s="13"/>
      <c r="AX46" s="185" t="s">
        <v>86</v>
      </c>
      <c r="AY46" s="185"/>
      <c r="AZ46" s="185"/>
      <c r="BA46" s="13"/>
      <c r="BB46" s="185" t="s">
        <v>87</v>
      </c>
      <c r="BC46" s="185"/>
      <c r="BD46" s="185"/>
      <c r="BE46" s="13"/>
      <c r="BF46" s="185" t="s">
        <v>88</v>
      </c>
      <c r="BG46" s="185"/>
      <c r="BH46" s="185"/>
      <c r="BI46" s="13"/>
      <c r="BJ46" s="148" t="s">
        <v>89</v>
      </c>
      <c r="BK46" s="150"/>
      <c r="BL46" s="150"/>
      <c r="BM46" s="13"/>
      <c r="BN46" s="14" t="s">
        <v>100</v>
      </c>
      <c r="BO46" s="13"/>
      <c r="BP46" s="13"/>
      <c r="BQ46" s="13"/>
      <c r="BR46" s="14" t="s">
        <v>91</v>
      </c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</row>
    <row r="47" spans="1:205" ht="15">
      <c r="A47" s="190" t="s">
        <v>101</v>
      </c>
      <c r="B47" s="190" t="s">
        <v>102</v>
      </c>
      <c r="C47" s="190"/>
      <c r="D47" s="190" t="s">
        <v>102</v>
      </c>
      <c r="E47" s="190"/>
      <c r="F47" s="190" t="s">
        <v>102</v>
      </c>
      <c r="G47" s="190"/>
      <c r="H47" s="13"/>
      <c r="I47" s="202" t="s">
        <v>101</v>
      </c>
      <c r="J47" s="191" t="s">
        <v>102</v>
      </c>
      <c r="K47" s="192"/>
      <c r="L47" s="13"/>
      <c r="M47" s="138" t="s">
        <v>101</v>
      </c>
      <c r="N47" s="193" t="s">
        <v>102</v>
      </c>
      <c r="O47" s="194"/>
      <c r="P47" s="13"/>
      <c r="Q47" s="138" t="s">
        <v>101</v>
      </c>
      <c r="R47" s="193" t="s">
        <v>102</v>
      </c>
      <c r="S47" s="194"/>
      <c r="T47" s="13"/>
      <c r="U47" s="13"/>
      <c r="V47" s="138" t="s">
        <v>101</v>
      </c>
      <c r="W47" s="193" t="s">
        <v>102</v>
      </c>
      <c r="X47" s="194"/>
      <c r="Y47" s="13"/>
      <c r="Z47" s="138" t="s">
        <v>101</v>
      </c>
      <c r="AA47" s="193" t="s">
        <v>103</v>
      </c>
      <c r="AB47" s="194"/>
      <c r="AC47" s="13"/>
      <c r="AD47" s="138" t="s">
        <v>101</v>
      </c>
      <c r="AE47" s="193" t="s">
        <v>103</v>
      </c>
      <c r="AF47" s="194"/>
      <c r="AG47" s="13"/>
      <c r="AH47" s="138" t="s">
        <v>101</v>
      </c>
      <c r="AI47" s="193" t="s">
        <v>102</v>
      </c>
      <c r="AJ47" s="194"/>
      <c r="AK47" s="13"/>
      <c r="AL47" s="138" t="s">
        <v>101</v>
      </c>
      <c r="AM47" s="193" t="s">
        <v>102</v>
      </c>
      <c r="AN47" s="194"/>
      <c r="AO47" s="13"/>
      <c r="AP47" s="138" t="s">
        <v>101</v>
      </c>
      <c r="AQ47" s="193" t="s">
        <v>102</v>
      </c>
      <c r="AR47" s="194"/>
      <c r="AS47" s="13"/>
      <c r="AT47" s="138" t="s">
        <v>101</v>
      </c>
      <c r="AU47" s="193" t="s">
        <v>103</v>
      </c>
      <c r="AV47" s="194"/>
      <c r="AW47" s="13"/>
      <c r="AX47" s="138" t="s">
        <v>101</v>
      </c>
      <c r="AY47" s="193" t="s">
        <v>103</v>
      </c>
      <c r="AZ47" s="194"/>
      <c r="BA47" s="13"/>
      <c r="BB47" s="138" t="s">
        <v>101</v>
      </c>
      <c r="BC47" s="193" t="s">
        <v>103</v>
      </c>
      <c r="BD47" s="194"/>
      <c r="BE47" s="13"/>
      <c r="BF47" s="56"/>
      <c r="BG47" s="188" t="s">
        <v>103</v>
      </c>
      <c r="BH47" s="189"/>
      <c r="BI47" s="13"/>
      <c r="BJ47" s="158"/>
      <c r="BK47" s="209" t="s">
        <v>103</v>
      </c>
      <c r="BL47" s="210"/>
      <c r="BM47" s="13"/>
      <c r="BN47" s="56"/>
      <c r="BO47" s="151" t="s">
        <v>103</v>
      </c>
      <c r="BP47" s="152"/>
      <c r="BQ47" s="13"/>
      <c r="BR47" s="56"/>
      <c r="BS47" s="151" t="s">
        <v>103</v>
      </c>
      <c r="BT47" s="152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</row>
    <row r="48" spans="1:205" ht="15">
      <c r="A48" s="190"/>
      <c r="B48" s="27" t="s">
        <v>104</v>
      </c>
      <c r="C48" s="27" t="s">
        <v>105</v>
      </c>
      <c r="D48" s="27" t="s">
        <v>104</v>
      </c>
      <c r="E48" s="27" t="s">
        <v>105</v>
      </c>
      <c r="F48" s="27" t="s">
        <v>104</v>
      </c>
      <c r="G48" s="27" t="s">
        <v>105</v>
      </c>
      <c r="H48" s="13"/>
      <c r="I48" s="203"/>
      <c r="J48" s="139" t="s">
        <v>104</v>
      </c>
      <c r="K48" s="139" t="s">
        <v>105</v>
      </c>
      <c r="L48" s="13"/>
      <c r="M48" s="38"/>
      <c r="N48" s="138" t="s">
        <v>104</v>
      </c>
      <c r="O48" s="138" t="s">
        <v>106</v>
      </c>
      <c r="P48" s="13"/>
      <c r="Q48" s="38"/>
      <c r="R48" s="138" t="s">
        <v>104</v>
      </c>
      <c r="S48" s="138" t="s">
        <v>106</v>
      </c>
      <c r="T48" s="13"/>
      <c r="U48" s="13"/>
      <c r="V48" s="38"/>
      <c r="W48" s="138" t="s">
        <v>104</v>
      </c>
      <c r="X48" s="138" t="s">
        <v>106</v>
      </c>
      <c r="Y48" s="13"/>
      <c r="Z48" s="38"/>
      <c r="AA48" s="138" t="s">
        <v>104</v>
      </c>
      <c r="AB48" s="138" t="s">
        <v>106</v>
      </c>
      <c r="AC48" s="13"/>
      <c r="AD48" s="38"/>
      <c r="AE48" s="138" t="s">
        <v>104</v>
      </c>
      <c r="AF48" s="138" t="s">
        <v>106</v>
      </c>
      <c r="AG48" s="13"/>
      <c r="AH48" s="38"/>
      <c r="AI48" s="138" t="s">
        <v>104</v>
      </c>
      <c r="AJ48" s="138" t="s">
        <v>106</v>
      </c>
      <c r="AK48" s="13"/>
      <c r="AL48" s="38"/>
      <c r="AM48" s="138" t="s">
        <v>104</v>
      </c>
      <c r="AN48" s="138" t="s">
        <v>106</v>
      </c>
      <c r="AO48" s="13"/>
      <c r="AP48" s="38"/>
      <c r="AQ48" s="138" t="s">
        <v>104</v>
      </c>
      <c r="AR48" s="138" t="s">
        <v>106</v>
      </c>
      <c r="AS48" s="13"/>
      <c r="AT48" s="38"/>
      <c r="AU48" s="138" t="s">
        <v>104</v>
      </c>
      <c r="AV48" s="138" t="s">
        <v>106</v>
      </c>
      <c r="AW48" s="13"/>
      <c r="AX48" s="38"/>
      <c r="AY48" s="138" t="s">
        <v>104</v>
      </c>
      <c r="AZ48" s="138" t="s">
        <v>106</v>
      </c>
      <c r="BA48" s="13"/>
      <c r="BB48" s="38"/>
      <c r="BC48" s="138" t="s">
        <v>104</v>
      </c>
      <c r="BD48" s="138" t="s">
        <v>106</v>
      </c>
      <c r="BE48" s="13"/>
      <c r="BF48" s="56" t="s">
        <v>101</v>
      </c>
      <c r="BG48" s="57" t="s">
        <v>104</v>
      </c>
      <c r="BH48" s="57" t="s">
        <v>106</v>
      </c>
      <c r="BI48" s="13"/>
      <c r="BJ48" s="158" t="s">
        <v>101</v>
      </c>
      <c r="BK48" s="159" t="s">
        <v>104</v>
      </c>
      <c r="BL48" s="159" t="s">
        <v>106</v>
      </c>
      <c r="BM48" s="13"/>
      <c r="BN48" s="56" t="s">
        <v>101</v>
      </c>
      <c r="BO48" s="58" t="s">
        <v>104</v>
      </c>
      <c r="BP48" s="58" t="s">
        <v>106</v>
      </c>
      <c r="BQ48" s="13"/>
      <c r="BR48" s="56" t="s">
        <v>101</v>
      </c>
      <c r="BS48" s="58" t="s">
        <v>104</v>
      </c>
      <c r="BT48" s="58" t="s">
        <v>106</v>
      </c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</row>
    <row r="49" spans="1:74" ht="15">
      <c r="A49" s="19" t="s">
        <v>107</v>
      </c>
      <c r="B49" s="28">
        <v>1387</v>
      </c>
      <c r="C49" s="29">
        <v>76.292629262926297</v>
      </c>
      <c r="D49" s="28">
        <v>1266</v>
      </c>
      <c r="E49" s="30">
        <v>75.899280575539606</v>
      </c>
      <c r="F49" s="28">
        <v>1188</v>
      </c>
      <c r="G49" s="30">
        <v>81.761871988988304</v>
      </c>
      <c r="H49" s="31"/>
      <c r="I49" s="140" t="s">
        <v>107</v>
      </c>
      <c r="J49" s="38">
        <v>1075</v>
      </c>
      <c r="K49" s="39">
        <v>75.069832402234638</v>
      </c>
      <c r="L49" s="13"/>
      <c r="M49" s="141" t="s">
        <v>107</v>
      </c>
      <c r="N49" s="38">
        <v>1285</v>
      </c>
      <c r="O49" s="38">
        <v>77.784503631961257</v>
      </c>
      <c r="P49" s="13"/>
      <c r="Q49" s="141" t="s">
        <v>107</v>
      </c>
      <c r="R49" s="38">
        <v>1427</v>
      </c>
      <c r="S49" s="38">
        <v>78</v>
      </c>
      <c r="T49" s="13"/>
      <c r="U49" s="13"/>
      <c r="V49" s="141" t="s">
        <v>107</v>
      </c>
      <c r="W49" s="38">
        <v>1188</v>
      </c>
      <c r="X49" s="38">
        <v>77.243172951885597</v>
      </c>
      <c r="Y49" s="13"/>
      <c r="Z49" s="141" t="s">
        <v>107</v>
      </c>
      <c r="AA49" s="38">
        <v>1115</v>
      </c>
      <c r="AB49" s="38">
        <v>75.542005420054195</v>
      </c>
      <c r="AC49" s="13"/>
      <c r="AD49" s="141" t="s">
        <v>107</v>
      </c>
      <c r="AE49" s="38">
        <v>1255</v>
      </c>
      <c r="AF49" s="38">
        <v>78.05</v>
      </c>
      <c r="AG49" s="13"/>
      <c r="AH49" s="141" t="s">
        <v>107</v>
      </c>
      <c r="AI49" s="38">
        <v>1129</v>
      </c>
      <c r="AJ49" s="53">
        <v>78.348369188063899</v>
      </c>
      <c r="AK49" s="13"/>
      <c r="AL49" s="141" t="s">
        <v>107</v>
      </c>
      <c r="AM49" s="38">
        <v>1065</v>
      </c>
      <c r="AN49" s="53">
        <v>75.585521646557794</v>
      </c>
      <c r="AO49" s="13"/>
      <c r="AP49" s="141" t="s">
        <v>107</v>
      </c>
      <c r="AQ49" s="38">
        <v>715</v>
      </c>
      <c r="AR49" s="53">
        <v>78.744493392070495</v>
      </c>
      <c r="AS49" s="13"/>
      <c r="AT49" s="141" t="s">
        <v>107</v>
      </c>
      <c r="AU49" s="38">
        <v>1046</v>
      </c>
      <c r="AV49" s="53">
        <v>79.062736205593353</v>
      </c>
      <c r="AW49" s="13"/>
      <c r="AX49" s="141" t="s">
        <v>107</v>
      </c>
      <c r="AY49" s="38">
        <v>1124</v>
      </c>
      <c r="AZ49" s="53">
        <v>76.410605030591398</v>
      </c>
      <c r="BA49" s="23"/>
      <c r="BB49" s="141" t="s">
        <v>107</v>
      </c>
      <c r="BC49" s="38">
        <v>1036</v>
      </c>
      <c r="BD49" s="53">
        <v>79.386973180076595</v>
      </c>
      <c r="BE49" s="13"/>
      <c r="BF49" s="58" t="s">
        <v>107</v>
      </c>
      <c r="BG49" s="58">
        <v>825</v>
      </c>
      <c r="BH49" s="59">
        <v>79.710144927536206</v>
      </c>
      <c r="BI49" s="23"/>
      <c r="BJ49" s="159" t="s">
        <v>107</v>
      </c>
      <c r="BK49" s="160">
        <v>1286</v>
      </c>
      <c r="BL49" s="161">
        <v>0.8</v>
      </c>
      <c r="BM49" s="13"/>
      <c r="BN49" s="58" t="s">
        <v>107</v>
      </c>
      <c r="BO49" s="60">
        <v>1224</v>
      </c>
      <c r="BP49" s="61">
        <v>76.836158192090394</v>
      </c>
      <c r="BQ49" s="13"/>
      <c r="BR49" s="58" t="s">
        <v>107</v>
      </c>
      <c r="BS49" s="60">
        <v>986</v>
      </c>
      <c r="BT49" s="61">
        <v>79.196787148594368</v>
      </c>
      <c r="BU49" s="13"/>
      <c r="BV49" s="33"/>
    </row>
    <row r="50" spans="1:74" ht="15">
      <c r="A50" s="19" t="s">
        <v>108</v>
      </c>
      <c r="B50" s="28">
        <v>274</v>
      </c>
      <c r="C50" s="29">
        <v>15.071507150715099</v>
      </c>
      <c r="D50" s="28">
        <v>294</v>
      </c>
      <c r="E50" s="30">
        <v>17.625899280575499</v>
      </c>
      <c r="F50" s="28">
        <v>198</v>
      </c>
      <c r="G50" s="30">
        <v>13.6269786648314</v>
      </c>
      <c r="H50" s="31"/>
      <c r="I50" s="140" t="s">
        <v>108</v>
      </c>
      <c r="J50" s="38">
        <v>248</v>
      </c>
      <c r="K50" s="39">
        <v>17.318435754189945</v>
      </c>
      <c r="L50" s="13"/>
      <c r="M50" s="141" t="s">
        <v>108</v>
      </c>
      <c r="N50" s="38">
        <v>274</v>
      </c>
      <c r="O50" s="38">
        <v>16.585956416464892</v>
      </c>
      <c r="P50" s="13"/>
      <c r="Q50" s="141" t="s">
        <v>108</v>
      </c>
      <c r="R50" s="38">
        <v>279</v>
      </c>
      <c r="S50" s="38">
        <v>15</v>
      </c>
      <c r="T50" s="13"/>
      <c r="U50" s="13"/>
      <c r="V50" s="141" t="s">
        <v>108</v>
      </c>
      <c r="W50" s="38">
        <v>263</v>
      </c>
      <c r="X50" s="38">
        <v>17.100130039011699</v>
      </c>
      <c r="Y50" s="13"/>
      <c r="Z50" s="141" t="s">
        <v>108</v>
      </c>
      <c r="AA50" s="38">
        <v>217</v>
      </c>
      <c r="AB50" s="38">
        <v>14.7018970189702</v>
      </c>
      <c r="AC50" s="13"/>
      <c r="AD50" s="141" t="s">
        <v>108</v>
      </c>
      <c r="AE50" s="38">
        <v>256</v>
      </c>
      <c r="AF50" s="38">
        <v>15.92</v>
      </c>
      <c r="AG50" s="13"/>
      <c r="AH50" s="141" t="s">
        <v>108</v>
      </c>
      <c r="AI50" s="38">
        <v>223</v>
      </c>
      <c r="AJ50" s="53">
        <v>15.475364330326199</v>
      </c>
      <c r="AK50" s="13"/>
      <c r="AL50" s="141" t="s">
        <v>108</v>
      </c>
      <c r="AM50" s="38">
        <v>243</v>
      </c>
      <c r="AN50" s="53">
        <v>17.246273953158301</v>
      </c>
      <c r="AO50" s="13"/>
      <c r="AP50" s="141" t="s">
        <v>108</v>
      </c>
      <c r="AQ50" s="38">
        <v>145</v>
      </c>
      <c r="AR50" s="53">
        <v>15.969162995594701</v>
      </c>
      <c r="AS50" s="13"/>
      <c r="AT50" s="141" t="s">
        <v>108</v>
      </c>
      <c r="AU50" s="38">
        <v>173</v>
      </c>
      <c r="AV50" s="53">
        <v>13.076341647770221</v>
      </c>
      <c r="AW50" s="13"/>
      <c r="AX50" s="141" t="s">
        <v>108</v>
      </c>
      <c r="AY50" s="38">
        <v>261</v>
      </c>
      <c r="AZ50" s="53">
        <v>17.743031951053698</v>
      </c>
      <c r="BA50" s="23"/>
      <c r="BB50" s="141" t="s">
        <v>108</v>
      </c>
      <c r="BC50" s="38">
        <v>186</v>
      </c>
      <c r="BD50" s="53">
        <v>14.252873563218399</v>
      </c>
      <c r="BE50" s="13"/>
      <c r="BF50" s="58" t="s">
        <v>108</v>
      </c>
      <c r="BG50" s="58">
        <v>141</v>
      </c>
      <c r="BH50" s="59">
        <v>13.6231884057971</v>
      </c>
      <c r="BI50" s="23"/>
      <c r="BJ50" s="159" t="s">
        <v>108</v>
      </c>
      <c r="BK50" s="160">
        <v>228</v>
      </c>
      <c r="BL50" s="161">
        <v>0.14000000000000001</v>
      </c>
      <c r="BM50" s="13"/>
      <c r="BN50" s="58" t="s">
        <v>108</v>
      </c>
      <c r="BO50" s="60">
        <v>241</v>
      </c>
      <c r="BP50" s="61">
        <v>15.128688010043941</v>
      </c>
      <c r="BQ50" s="13"/>
      <c r="BR50" s="58" t="s">
        <v>108</v>
      </c>
      <c r="BS50" s="60">
        <v>181</v>
      </c>
      <c r="BT50" s="61">
        <v>14.538152610441768</v>
      </c>
      <c r="BU50" s="13"/>
      <c r="BV50" s="33"/>
    </row>
    <row r="51" spans="1:74" ht="15">
      <c r="A51" s="19" t="s">
        <v>109</v>
      </c>
      <c r="B51" s="28">
        <v>87</v>
      </c>
      <c r="C51" s="29">
        <v>4.7854785478547903</v>
      </c>
      <c r="D51" s="28">
        <v>52</v>
      </c>
      <c r="E51" s="30">
        <v>3.1175059952038402</v>
      </c>
      <c r="F51" s="28">
        <v>42</v>
      </c>
      <c r="G51" s="30">
        <v>2.8905712319339298</v>
      </c>
      <c r="H51" s="31"/>
      <c r="I51" s="140" t="s">
        <v>109</v>
      </c>
      <c r="J51" s="38">
        <v>61</v>
      </c>
      <c r="K51" s="39">
        <v>4.2597765363128488</v>
      </c>
      <c r="L51" s="13"/>
      <c r="M51" s="141" t="s">
        <v>109</v>
      </c>
      <c r="N51" s="38">
        <v>58</v>
      </c>
      <c r="O51" s="38">
        <v>3.5108958837772395</v>
      </c>
      <c r="P51" s="13"/>
      <c r="Q51" s="141" t="s">
        <v>109</v>
      </c>
      <c r="R51" s="38">
        <v>60</v>
      </c>
      <c r="S51" s="38">
        <v>3</v>
      </c>
      <c r="T51" s="13"/>
      <c r="U51" s="13"/>
      <c r="V51" s="141" t="s">
        <v>109</v>
      </c>
      <c r="W51" s="38">
        <v>37</v>
      </c>
      <c r="X51" s="38">
        <v>2.4057217165149498</v>
      </c>
      <c r="Y51" s="13"/>
      <c r="Z51" s="141" t="s">
        <v>109</v>
      </c>
      <c r="AA51" s="38">
        <v>40</v>
      </c>
      <c r="AB51" s="38">
        <v>2.7100271002710001</v>
      </c>
      <c r="AC51" s="13"/>
      <c r="AD51" s="141" t="s">
        <v>109</v>
      </c>
      <c r="AE51" s="38">
        <v>54</v>
      </c>
      <c r="AF51" s="38">
        <v>3.36</v>
      </c>
      <c r="AG51" s="13"/>
      <c r="AH51" s="141" t="s">
        <v>109</v>
      </c>
      <c r="AI51" s="38">
        <v>56</v>
      </c>
      <c r="AJ51" s="53">
        <v>3.88619014573213</v>
      </c>
      <c r="AK51" s="13"/>
      <c r="AL51" s="141" t="s">
        <v>109</v>
      </c>
      <c r="AM51" s="38">
        <v>55</v>
      </c>
      <c r="AN51" s="53">
        <v>3.9034776437189498</v>
      </c>
      <c r="AO51" s="13"/>
      <c r="AP51" s="141" t="s">
        <v>109</v>
      </c>
      <c r="AQ51" s="38">
        <v>28</v>
      </c>
      <c r="AR51" s="53">
        <v>3.0837004405286299</v>
      </c>
      <c r="AS51" s="13"/>
      <c r="AT51" s="141" t="s">
        <v>109</v>
      </c>
      <c r="AU51" s="38">
        <v>58</v>
      </c>
      <c r="AV51" s="53">
        <v>4.3839758125472406</v>
      </c>
      <c r="AW51" s="13"/>
      <c r="AX51" s="141" t="s">
        <v>109</v>
      </c>
      <c r="AY51" s="38">
        <v>45</v>
      </c>
      <c r="AZ51" s="53">
        <v>3.0591434398368502</v>
      </c>
      <c r="BA51" s="23"/>
      <c r="BB51" s="141" t="s">
        <v>109</v>
      </c>
      <c r="BC51" s="38">
        <v>40</v>
      </c>
      <c r="BD51" s="53">
        <v>3.0651340996168601</v>
      </c>
      <c r="BE51" s="13"/>
      <c r="BF51" s="58" t="s">
        <v>109</v>
      </c>
      <c r="BG51" s="58">
        <v>35</v>
      </c>
      <c r="BH51" s="59">
        <v>3.3816425120772902</v>
      </c>
      <c r="BI51" s="23"/>
      <c r="BJ51" s="159" t="s">
        <v>109</v>
      </c>
      <c r="BK51" s="160">
        <v>43</v>
      </c>
      <c r="BL51" s="161">
        <v>0.03</v>
      </c>
      <c r="BM51" s="13"/>
      <c r="BN51" s="58" t="s">
        <v>109</v>
      </c>
      <c r="BO51" s="60">
        <v>55</v>
      </c>
      <c r="BP51" s="61">
        <v>3.4526051475204018</v>
      </c>
      <c r="BQ51" s="13"/>
      <c r="BR51" s="58" t="s">
        <v>109</v>
      </c>
      <c r="BS51" s="60">
        <v>32</v>
      </c>
      <c r="BT51" s="61">
        <v>2.570281124497992</v>
      </c>
      <c r="BU51" s="13"/>
      <c r="BV51" s="13"/>
    </row>
    <row r="52" spans="1:74" ht="15">
      <c r="A52" s="19" t="s">
        <v>110</v>
      </c>
      <c r="B52" s="28">
        <v>70</v>
      </c>
      <c r="C52" s="29">
        <v>3.8503850385038501</v>
      </c>
      <c r="D52" s="28">
        <v>56</v>
      </c>
      <c r="E52" s="30">
        <v>3.3573141486810498</v>
      </c>
      <c r="F52" s="28">
        <v>25</v>
      </c>
      <c r="G52" s="30">
        <v>1.7205781142463901</v>
      </c>
      <c r="H52" s="31"/>
      <c r="I52" s="140" t="s">
        <v>110</v>
      </c>
      <c r="J52" s="38">
        <v>48</v>
      </c>
      <c r="K52" s="39">
        <v>3.3519553072625698</v>
      </c>
      <c r="L52" s="13"/>
      <c r="M52" s="141" t="s">
        <v>110</v>
      </c>
      <c r="N52" s="38">
        <v>35</v>
      </c>
      <c r="O52" s="38">
        <v>2.1186440677966099</v>
      </c>
      <c r="P52" s="13"/>
      <c r="Q52" s="141" t="s">
        <v>110</v>
      </c>
      <c r="R52" s="38">
        <v>68</v>
      </c>
      <c r="S52" s="38">
        <v>4</v>
      </c>
      <c r="T52" s="13"/>
      <c r="U52" s="13"/>
      <c r="V52" s="141" t="s">
        <v>110</v>
      </c>
      <c r="W52" s="38">
        <v>50</v>
      </c>
      <c r="X52" s="38">
        <v>3.2509752925877802</v>
      </c>
      <c r="Y52" s="13"/>
      <c r="Z52" s="141" t="s">
        <v>111</v>
      </c>
      <c r="AA52" s="38">
        <v>104</v>
      </c>
      <c r="AB52" s="38">
        <v>7.0460704607046099</v>
      </c>
      <c r="AC52" s="13"/>
      <c r="AD52" s="141" t="s">
        <v>111</v>
      </c>
      <c r="AE52" s="38">
        <v>43</v>
      </c>
      <c r="AF52" s="38">
        <v>2.67</v>
      </c>
      <c r="AG52" s="13"/>
      <c r="AH52" s="141" t="s">
        <v>110</v>
      </c>
      <c r="AI52" s="38">
        <v>33</v>
      </c>
      <c r="AJ52" s="53">
        <v>2.2900763358778602</v>
      </c>
      <c r="AK52" s="13"/>
      <c r="AL52" s="141" t="s">
        <v>110</v>
      </c>
      <c r="AM52" s="38">
        <v>46</v>
      </c>
      <c r="AN52" s="53">
        <v>3.26472675656494</v>
      </c>
      <c r="AO52" s="13"/>
      <c r="AP52" s="141" t="s">
        <v>110</v>
      </c>
      <c r="AQ52" s="38">
        <v>20</v>
      </c>
      <c r="AR52" s="53">
        <v>2.2026431718061699</v>
      </c>
      <c r="AS52" s="13"/>
      <c r="AT52" s="141" t="s">
        <v>111</v>
      </c>
      <c r="AU52" s="38">
        <v>46</v>
      </c>
      <c r="AV52" s="53">
        <v>3.4769463340891913</v>
      </c>
      <c r="AW52" s="13"/>
      <c r="AX52" s="141" t="s">
        <v>111</v>
      </c>
      <c r="AY52" s="38">
        <v>41</v>
      </c>
      <c r="AZ52" s="53">
        <v>2.7872195785180098</v>
      </c>
      <c r="BA52" s="23"/>
      <c r="BB52" s="141" t="s">
        <v>111</v>
      </c>
      <c r="BC52" s="38">
        <v>43</v>
      </c>
      <c r="BD52" s="53">
        <v>3.2950191570881202</v>
      </c>
      <c r="BE52" s="13"/>
      <c r="BF52" s="58" t="s">
        <v>111</v>
      </c>
      <c r="BG52" s="58">
        <v>34</v>
      </c>
      <c r="BH52" s="59">
        <v>3.2850241545893701</v>
      </c>
      <c r="BI52" s="23"/>
      <c r="BJ52" s="159" t="s">
        <v>111</v>
      </c>
      <c r="BK52" s="160">
        <v>53</v>
      </c>
      <c r="BL52" s="161">
        <v>0.03</v>
      </c>
      <c r="BM52" s="13"/>
      <c r="BN52" s="58" t="s">
        <v>111</v>
      </c>
      <c r="BO52" s="60">
        <v>73</v>
      </c>
      <c r="BP52" s="61">
        <v>4.5825486503452604</v>
      </c>
      <c r="BQ52" s="13"/>
      <c r="BR52" s="58" t="s">
        <v>111</v>
      </c>
      <c r="BS52" s="60">
        <v>46</v>
      </c>
      <c r="BT52" s="61">
        <v>3.6947791164658637</v>
      </c>
      <c r="BU52" s="13"/>
      <c r="BV52" s="150"/>
    </row>
    <row r="53" spans="1:74" ht="15">
      <c r="A53" s="17" t="s">
        <v>97</v>
      </c>
      <c r="B53" s="27">
        <v>1818</v>
      </c>
      <c r="C53" s="27" t="s">
        <v>112</v>
      </c>
      <c r="D53" s="27">
        <v>1668</v>
      </c>
      <c r="E53" s="142" t="s">
        <v>112</v>
      </c>
      <c r="F53" s="27">
        <v>1453</v>
      </c>
      <c r="G53" s="143" t="s">
        <v>112</v>
      </c>
      <c r="H53" s="32"/>
      <c r="I53" s="139" t="s">
        <v>97</v>
      </c>
      <c r="J53" s="36">
        <v>1432</v>
      </c>
      <c r="K53" s="40">
        <v>100.00000000000001</v>
      </c>
      <c r="L53" s="14"/>
      <c r="M53" s="138" t="s">
        <v>97</v>
      </c>
      <c r="N53" s="36">
        <v>1652</v>
      </c>
      <c r="O53" s="36">
        <v>100</v>
      </c>
      <c r="P53" s="13"/>
      <c r="Q53" s="138" t="s">
        <v>97</v>
      </c>
      <c r="R53" s="36">
        <v>1834</v>
      </c>
      <c r="S53" s="36">
        <v>100</v>
      </c>
      <c r="T53" s="13"/>
      <c r="U53" s="13"/>
      <c r="V53" s="138" t="s">
        <v>97</v>
      </c>
      <c r="W53" s="36">
        <v>1538</v>
      </c>
      <c r="X53" s="36">
        <v>100</v>
      </c>
      <c r="Y53" s="13"/>
      <c r="Z53" s="138" t="s">
        <v>113</v>
      </c>
      <c r="AA53" s="36">
        <v>1476</v>
      </c>
      <c r="AB53" s="36">
        <v>100</v>
      </c>
      <c r="AC53" s="13"/>
      <c r="AD53" s="138" t="s">
        <v>113</v>
      </c>
      <c r="AE53" s="36">
        <v>1608</v>
      </c>
      <c r="AF53" s="36">
        <v>100</v>
      </c>
      <c r="AG53" s="13"/>
      <c r="AH53" s="138" t="s">
        <v>97</v>
      </c>
      <c r="AI53" s="36">
        <v>1441</v>
      </c>
      <c r="AJ53" s="37">
        <v>100</v>
      </c>
      <c r="AK53" s="13"/>
      <c r="AL53" s="138" t="s">
        <v>97</v>
      </c>
      <c r="AM53" s="36">
        <v>1409</v>
      </c>
      <c r="AN53" s="37">
        <v>100</v>
      </c>
      <c r="AO53" s="13"/>
      <c r="AP53" s="138" t="s">
        <v>97</v>
      </c>
      <c r="AQ53" s="36">
        <v>908</v>
      </c>
      <c r="AR53" s="37">
        <v>100</v>
      </c>
      <c r="AS53" s="13"/>
      <c r="AT53" s="138" t="s">
        <v>97</v>
      </c>
      <c r="AU53" s="36">
        <v>1323</v>
      </c>
      <c r="AV53" s="37">
        <v>100</v>
      </c>
      <c r="AW53" s="13"/>
      <c r="AX53" s="138" t="s">
        <v>97</v>
      </c>
      <c r="AY53" s="36">
        <v>1471</v>
      </c>
      <c r="AZ53" s="37">
        <v>99.999999999999943</v>
      </c>
      <c r="BA53" s="13"/>
      <c r="BB53" s="138" t="s">
        <v>97</v>
      </c>
      <c r="BC53" s="36">
        <v>1305</v>
      </c>
      <c r="BD53" s="37">
        <v>99.999999999999972</v>
      </c>
      <c r="BE53" s="13"/>
      <c r="BF53" s="57" t="s">
        <v>113</v>
      </c>
      <c r="BG53" s="57">
        <v>1035</v>
      </c>
      <c r="BH53" s="62">
        <v>100</v>
      </c>
      <c r="BI53" s="23"/>
      <c r="BJ53" s="162" t="s">
        <v>113</v>
      </c>
      <c r="BK53" s="160">
        <v>1610</v>
      </c>
      <c r="BL53" s="161">
        <v>1</v>
      </c>
      <c r="BM53" s="13"/>
      <c r="BN53" s="57" t="s">
        <v>113</v>
      </c>
      <c r="BO53" s="60">
        <v>1593</v>
      </c>
      <c r="BP53" s="61">
        <v>100</v>
      </c>
      <c r="BQ53" s="13"/>
      <c r="BR53" s="57" t="s">
        <v>113</v>
      </c>
      <c r="BS53" s="60">
        <v>1245</v>
      </c>
      <c r="BT53" s="61">
        <v>100</v>
      </c>
      <c r="BU53" s="13"/>
      <c r="BV53" s="13"/>
    </row>
    <row r="54" spans="1:74">
      <c r="A54" s="22" t="s">
        <v>98</v>
      </c>
      <c r="B54" s="13"/>
      <c r="C54" s="33"/>
      <c r="D54" s="13"/>
      <c r="E54" s="33"/>
      <c r="F54" s="13"/>
      <c r="G54" s="3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43"/>
      <c r="S54" s="13"/>
      <c r="T54" s="13"/>
      <c r="U54" s="13"/>
      <c r="V54" s="13"/>
      <c r="W54" s="13"/>
      <c r="X54" s="13"/>
      <c r="Y54" s="13"/>
      <c r="Z54" s="13"/>
      <c r="AA54" s="43"/>
      <c r="AB54" s="23"/>
      <c r="AC54" s="13"/>
      <c r="AD54" s="13"/>
      <c r="AE54" s="43"/>
      <c r="AF54" s="23"/>
      <c r="AG54" s="15"/>
      <c r="AH54" s="13"/>
      <c r="AI54" s="43"/>
      <c r="AJ54" s="23"/>
      <c r="AK54" s="13"/>
      <c r="AL54" s="13"/>
      <c r="AM54" s="43"/>
      <c r="AN54" s="23"/>
      <c r="AO54" s="13"/>
      <c r="AP54" s="13"/>
      <c r="AQ54" s="43"/>
      <c r="AR54" s="2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50"/>
      <c r="BK54" s="150"/>
      <c r="BL54" s="150"/>
      <c r="BM54" s="13"/>
      <c r="BN54" s="13"/>
      <c r="BO54" s="13"/>
      <c r="BP54" s="13"/>
      <c r="BQ54" s="13"/>
      <c r="BR54" s="13"/>
      <c r="BS54" s="13"/>
      <c r="BT54" s="13"/>
      <c r="BU54" s="13"/>
      <c r="BV54" s="13"/>
    </row>
    <row r="55" spans="1:74">
      <c r="A55" s="13"/>
      <c r="B55" s="13"/>
      <c r="C55" s="33"/>
      <c r="D55" s="13"/>
      <c r="E55" s="33"/>
      <c r="F55" s="13"/>
      <c r="G55" s="3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43"/>
      <c r="AB55" s="23"/>
      <c r="AC55" s="13"/>
      <c r="AD55" s="13"/>
      <c r="AE55" s="43"/>
      <c r="AF55" s="23"/>
      <c r="AG55" s="15"/>
      <c r="AH55" s="13"/>
      <c r="AI55" s="43"/>
      <c r="AJ55" s="23"/>
      <c r="AK55" s="13"/>
      <c r="AL55" s="13"/>
      <c r="AM55" s="43"/>
      <c r="AN55" s="23"/>
      <c r="AO55" s="13"/>
      <c r="AP55" s="13"/>
      <c r="AQ55" s="43"/>
      <c r="AR55" s="2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50"/>
      <c r="BK55" s="150"/>
      <c r="BL55" s="150"/>
      <c r="BM55" s="13"/>
      <c r="BN55" s="13"/>
      <c r="BO55" s="13"/>
      <c r="BP55" s="13"/>
      <c r="BQ55" s="13"/>
      <c r="BR55" s="13"/>
      <c r="BS55" s="13"/>
      <c r="BT55" s="13"/>
      <c r="BU55" s="13"/>
      <c r="BV55" s="13"/>
    </row>
    <row r="56" spans="1:74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5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50"/>
      <c r="BK56" s="150"/>
      <c r="BL56" s="150"/>
      <c r="BM56" s="13"/>
      <c r="BN56" s="13"/>
      <c r="BO56" s="13"/>
      <c r="BP56" s="13"/>
      <c r="BQ56" s="13"/>
      <c r="BR56" s="13"/>
      <c r="BS56" s="13"/>
      <c r="BT56" s="13"/>
      <c r="BU56" s="13"/>
      <c r="BV56" s="13"/>
    </row>
    <row r="57" spans="1:74">
      <c r="A57" s="24" t="s">
        <v>114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50"/>
      <c r="BK57" s="150"/>
      <c r="BL57" s="150"/>
      <c r="BM57" s="13"/>
      <c r="BN57" s="13"/>
      <c r="BO57" s="13"/>
      <c r="BP57" s="13"/>
      <c r="BQ57" s="13"/>
      <c r="BR57" s="13"/>
      <c r="BS57" s="13"/>
      <c r="BT57" s="13"/>
      <c r="BU57" s="13"/>
      <c r="BV57" s="13"/>
    </row>
    <row r="58" spans="1:74">
      <c r="A58" s="34"/>
      <c r="B58" s="195" t="s">
        <v>73</v>
      </c>
      <c r="C58" s="195"/>
      <c r="D58" s="195" t="s">
        <v>74</v>
      </c>
      <c r="E58" s="195"/>
      <c r="F58" s="195" t="s">
        <v>75</v>
      </c>
      <c r="G58" s="195"/>
      <c r="H58" s="13"/>
      <c r="I58" s="13"/>
      <c r="J58" s="14" t="s">
        <v>76</v>
      </c>
      <c r="K58" s="13"/>
      <c r="L58" s="13"/>
      <c r="M58" s="13"/>
      <c r="N58" s="14" t="s">
        <v>77</v>
      </c>
      <c r="O58" s="13"/>
      <c r="P58" s="13"/>
      <c r="Q58" s="13"/>
      <c r="R58" s="14" t="s">
        <v>78</v>
      </c>
      <c r="S58" s="13"/>
      <c r="T58" s="13"/>
      <c r="U58" s="13"/>
      <c r="V58" s="13"/>
      <c r="W58" s="14" t="s">
        <v>79</v>
      </c>
      <c r="X58" s="13"/>
      <c r="Y58" s="13"/>
      <c r="Z58" s="13"/>
      <c r="AA58" s="14" t="s">
        <v>80</v>
      </c>
      <c r="AB58" s="13"/>
      <c r="AC58" s="13"/>
      <c r="AD58" s="13"/>
      <c r="AE58" s="14" t="s">
        <v>81</v>
      </c>
      <c r="AF58" s="13"/>
      <c r="AG58" s="13"/>
      <c r="AH58" s="185" t="s">
        <v>82</v>
      </c>
      <c r="AI58" s="185"/>
      <c r="AJ58" s="185"/>
      <c r="AK58" s="13"/>
      <c r="AL58" s="185" t="s">
        <v>83</v>
      </c>
      <c r="AM58" s="185"/>
      <c r="AN58" s="185"/>
      <c r="AO58" s="13"/>
      <c r="AP58" s="185" t="s">
        <v>84</v>
      </c>
      <c r="AQ58" s="185"/>
      <c r="AR58" s="185"/>
      <c r="AS58" s="13"/>
      <c r="AT58" s="185" t="s">
        <v>85</v>
      </c>
      <c r="AU58" s="185"/>
      <c r="AV58" s="185"/>
      <c r="AW58" s="13"/>
      <c r="AX58" s="185" t="s">
        <v>86</v>
      </c>
      <c r="AY58" s="185"/>
      <c r="AZ58" s="185"/>
      <c r="BA58" s="13"/>
      <c r="BB58" s="185" t="s">
        <v>87</v>
      </c>
      <c r="BC58" s="185"/>
      <c r="BD58" s="185"/>
      <c r="BE58" s="13"/>
      <c r="BF58" s="185" t="s">
        <v>88</v>
      </c>
      <c r="BG58" s="185"/>
      <c r="BH58" s="185"/>
      <c r="BI58" s="13"/>
      <c r="BJ58" s="148" t="s">
        <v>89</v>
      </c>
      <c r="BK58" s="150"/>
      <c r="BL58" s="150"/>
      <c r="BM58" s="13"/>
      <c r="BN58" s="14" t="s">
        <v>100</v>
      </c>
      <c r="BO58" s="13"/>
      <c r="BP58" s="13"/>
      <c r="BQ58" s="13"/>
      <c r="BR58" s="14" t="s">
        <v>91</v>
      </c>
      <c r="BS58" s="13"/>
      <c r="BT58" s="13"/>
      <c r="BU58" s="13"/>
      <c r="BV58" s="13"/>
    </row>
    <row r="59" spans="1:74">
      <c r="A59" s="190" t="s">
        <v>101</v>
      </c>
      <c r="B59" s="190" t="s">
        <v>115</v>
      </c>
      <c r="C59" s="190"/>
      <c r="D59" s="190" t="s">
        <v>115</v>
      </c>
      <c r="E59" s="190"/>
      <c r="F59" s="190" t="s">
        <v>115</v>
      </c>
      <c r="G59" s="190"/>
      <c r="H59" s="13"/>
      <c r="I59" s="204" t="s">
        <v>101</v>
      </c>
      <c r="J59" s="198" t="s">
        <v>115</v>
      </c>
      <c r="K59" s="199"/>
      <c r="L59" s="13"/>
      <c r="M59" s="138" t="s">
        <v>101</v>
      </c>
      <c r="N59" s="193" t="s">
        <v>115</v>
      </c>
      <c r="O59" s="194"/>
      <c r="P59" s="13"/>
      <c r="Q59" s="138" t="s">
        <v>101</v>
      </c>
      <c r="R59" s="193" t="s">
        <v>115</v>
      </c>
      <c r="S59" s="194"/>
      <c r="T59" s="13"/>
      <c r="U59" s="13"/>
      <c r="V59" s="138" t="s">
        <v>101</v>
      </c>
      <c r="W59" s="193" t="s">
        <v>115</v>
      </c>
      <c r="X59" s="194"/>
      <c r="Y59" s="13"/>
      <c r="Z59" s="138" t="s">
        <v>101</v>
      </c>
      <c r="AA59" s="193" t="s">
        <v>116</v>
      </c>
      <c r="AB59" s="194"/>
      <c r="AC59" s="13"/>
      <c r="AD59" s="138" t="s">
        <v>101</v>
      </c>
      <c r="AE59" s="193" t="s">
        <v>116</v>
      </c>
      <c r="AF59" s="194"/>
      <c r="AG59" s="13"/>
      <c r="AH59" s="138" t="s">
        <v>101</v>
      </c>
      <c r="AI59" s="193" t="s">
        <v>115</v>
      </c>
      <c r="AJ59" s="194"/>
      <c r="AK59" s="13"/>
      <c r="AL59" s="138" t="s">
        <v>101</v>
      </c>
      <c r="AM59" s="193" t="s">
        <v>115</v>
      </c>
      <c r="AN59" s="194"/>
      <c r="AO59" s="13"/>
      <c r="AP59" s="138" t="s">
        <v>101</v>
      </c>
      <c r="AQ59" s="193" t="s">
        <v>115</v>
      </c>
      <c r="AR59" s="194"/>
      <c r="AS59" s="13"/>
      <c r="AT59" s="138" t="s">
        <v>101</v>
      </c>
      <c r="AU59" s="193" t="s">
        <v>116</v>
      </c>
      <c r="AV59" s="194"/>
      <c r="AW59" s="13"/>
      <c r="AX59" s="138" t="s">
        <v>101</v>
      </c>
      <c r="AY59" s="193" t="s">
        <v>116</v>
      </c>
      <c r="AZ59" s="194"/>
      <c r="BA59" s="13"/>
      <c r="BB59" s="138" t="s">
        <v>101</v>
      </c>
      <c r="BC59" s="193" t="s">
        <v>116</v>
      </c>
      <c r="BD59" s="194"/>
      <c r="BE59" s="13"/>
      <c r="BF59" s="138" t="s">
        <v>101</v>
      </c>
      <c r="BG59" s="193" t="s">
        <v>116</v>
      </c>
      <c r="BH59" s="194"/>
      <c r="BI59" s="13"/>
      <c r="BJ59" s="163" t="s">
        <v>101</v>
      </c>
      <c r="BK59" s="206" t="s">
        <v>116</v>
      </c>
      <c r="BL59" s="207"/>
      <c r="BM59" s="13"/>
      <c r="BN59" s="138" t="s">
        <v>101</v>
      </c>
      <c r="BO59" s="153" t="s">
        <v>116</v>
      </c>
      <c r="BP59" s="154"/>
      <c r="BQ59" s="13"/>
      <c r="BR59" s="138" t="s">
        <v>101</v>
      </c>
      <c r="BS59" s="153" t="s">
        <v>116</v>
      </c>
      <c r="BT59" s="155"/>
      <c r="BU59" s="13"/>
      <c r="BV59" s="13"/>
    </row>
    <row r="60" spans="1:74">
      <c r="A60" s="190"/>
      <c r="B60" s="27" t="s">
        <v>104</v>
      </c>
      <c r="C60" s="27" t="s">
        <v>105</v>
      </c>
      <c r="D60" s="27" t="s">
        <v>104</v>
      </c>
      <c r="E60" s="27" t="s">
        <v>105</v>
      </c>
      <c r="F60" s="27" t="s">
        <v>104</v>
      </c>
      <c r="G60" s="27" t="s">
        <v>105</v>
      </c>
      <c r="H60" s="13"/>
      <c r="I60" s="205"/>
      <c r="J60" s="41" t="s">
        <v>104</v>
      </c>
      <c r="K60" s="41" t="s">
        <v>105</v>
      </c>
      <c r="L60" s="13"/>
      <c r="M60" s="36"/>
      <c r="N60" s="138" t="s">
        <v>104</v>
      </c>
      <c r="O60" s="138" t="s">
        <v>106</v>
      </c>
      <c r="P60" s="13"/>
      <c r="Q60" s="36"/>
      <c r="R60" s="138" t="s">
        <v>104</v>
      </c>
      <c r="S60" s="138" t="s">
        <v>106</v>
      </c>
      <c r="T60" s="13"/>
      <c r="U60" s="13"/>
      <c r="V60" s="38"/>
      <c r="W60" s="138" t="s">
        <v>104</v>
      </c>
      <c r="X60" s="138" t="s">
        <v>106</v>
      </c>
      <c r="Y60" s="13"/>
      <c r="Z60" s="38"/>
      <c r="AA60" s="138" t="s">
        <v>104</v>
      </c>
      <c r="AB60" s="138" t="s">
        <v>106</v>
      </c>
      <c r="AC60" s="13"/>
      <c r="AD60" s="38"/>
      <c r="AE60" s="138" t="s">
        <v>104</v>
      </c>
      <c r="AF60" s="138" t="s">
        <v>106</v>
      </c>
      <c r="AG60" s="13"/>
      <c r="AH60" s="38"/>
      <c r="AI60" s="138" t="s">
        <v>104</v>
      </c>
      <c r="AJ60" s="138" t="s">
        <v>106</v>
      </c>
      <c r="AK60" s="13"/>
      <c r="AL60" s="38"/>
      <c r="AM60" s="138" t="s">
        <v>104</v>
      </c>
      <c r="AN60" s="138" t="s">
        <v>106</v>
      </c>
      <c r="AO60" s="13"/>
      <c r="AP60" s="38"/>
      <c r="AQ60" s="138" t="s">
        <v>104</v>
      </c>
      <c r="AR60" s="138" t="s">
        <v>106</v>
      </c>
      <c r="AS60" s="13"/>
      <c r="AT60" s="38"/>
      <c r="AU60" s="138" t="s">
        <v>104</v>
      </c>
      <c r="AV60" s="138" t="s">
        <v>106</v>
      </c>
      <c r="AW60" s="13"/>
      <c r="AX60" s="38"/>
      <c r="AY60" s="138" t="s">
        <v>104</v>
      </c>
      <c r="AZ60" s="138" t="s">
        <v>106</v>
      </c>
      <c r="BA60" s="13"/>
      <c r="BB60" s="38"/>
      <c r="BC60" s="138" t="s">
        <v>104</v>
      </c>
      <c r="BD60" s="138" t="s">
        <v>106</v>
      </c>
      <c r="BE60" s="13"/>
      <c r="BF60" s="38"/>
      <c r="BG60" s="138" t="s">
        <v>104</v>
      </c>
      <c r="BH60" s="138" t="s">
        <v>106</v>
      </c>
      <c r="BI60" s="13"/>
      <c r="BJ60" s="164"/>
      <c r="BK60" s="163" t="s">
        <v>104</v>
      </c>
      <c r="BL60" s="163" t="s">
        <v>106</v>
      </c>
      <c r="BM60" s="13"/>
      <c r="BN60" s="38"/>
      <c r="BO60" s="138" t="s">
        <v>104</v>
      </c>
      <c r="BP60" s="138" t="s">
        <v>106</v>
      </c>
      <c r="BQ60" s="13"/>
      <c r="BR60" s="38"/>
      <c r="BS60" s="138" t="s">
        <v>104</v>
      </c>
      <c r="BT60" s="138" t="s">
        <v>106</v>
      </c>
      <c r="BU60" s="13"/>
      <c r="BV60" s="13"/>
    </row>
    <row r="61" spans="1:74">
      <c r="A61" s="19" t="s">
        <v>107</v>
      </c>
      <c r="B61" s="28">
        <v>7027</v>
      </c>
      <c r="C61" s="29">
        <v>72.428365285508093</v>
      </c>
      <c r="D61" s="28">
        <v>7260</v>
      </c>
      <c r="E61" s="29">
        <v>72.188525405190404</v>
      </c>
      <c r="F61" s="28">
        <v>6851</v>
      </c>
      <c r="G61" s="29">
        <v>75.970281658904398</v>
      </c>
      <c r="H61" s="13"/>
      <c r="I61" s="29" t="s">
        <v>107</v>
      </c>
      <c r="J61" s="42">
        <v>6706</v>
      </c>
      <c r="K61" s="39">
        <v>75.971451229183188</v>
      </c>
      <c r="L61" s="13"/>
      <c r="M61" s="141" t="s">
        <v>107</v>
      </c>
      <c r="N61" s="38">
        <v>7406</v>
      </c>
      <c r="O61" s="38">
        <v>72.814865794907092</v>
      </c>
      <c r="P61" s="13"/>
      <c r="Q61" s="141" t="s">
        <v>107</v>
      </c>
      <c r="R61" s="38">
        <v>7489</v>
      </c>
      <c r="S61" s="38">
        <v>73</v>
      </c>
      <c r="T61" s="13"/>
      <c r="U61" s="13"/>
      <c r="V61" s="141" t="s">
        <v>107</v>
      </c>
      <c r="W61" s="38">
        <v>6787</v>
      </c>
      <c r="X61" s="38">
        <v>74.207303739339594</v>
      </c>
      <c r="Y61" s="13"/>
      <c r="Z61" s="141" t="s">
        <v>107</v>
      </c>
      <c r="AA61" s="38">
        <v>6837</v>
      </c>
      <c r="AB61" s="38">
        <v>73.849643551523002</v>
      </c>
      <c r="AC61" s="13"/>
      <c r="AD61" s="141" t="s">
        <v>107</v>
      </c>
      <c r="AE61" s="38">
        <v>7499</v>
      </c>
      <c r="AF61" s="38">
        <v>73.290000000000006</v>
      </c>
      <c r="AG61" s="13"/>
      <c r="AH61" s="141" t="s">
        <v>107</v>
      </c>
      <c r="AI61" s="38">
        <v>6119</v>
      </c>
      <c r="AJ61" s="53">
        <v>73.378102890034796</v>
      </c>
      <c r="AK61" s="13"/>
      <c r="AL61" s="141" t="s">
        <v>107</v>
      </c>
      <c r="AM61" s="38">
        <v>6083</v>
      </c>
      <c r="AN61" s="53">
        <v>72.615494807210197</v>
      </c>
      <c r="AO61" s="13"/>
      <c r="AP61" s="141" t="s">
        <v>107</v>
      </c>
      <c r="AQ61" s="38">
        <v>4501</v>
      </c>
      <c r="AR61" s="53">
        <v>74.507531865585193</v>
      </c>
      <c r="AS61" s="13"/>
      <c r="AT61" s="141" t="s">
        <v>107</v>
      </c>
      <c r="AU61" s="38">
        <v>6660</v>
      </c>
      <c r="AV61" s="53">
        <v>73.058358929354981</v>
      </c>
      <c r="AW61" s="13"/>
      <c r="AX61" s="141" t="s">
        <v>107</v>
      </c>
      <c r="AY61" s="55">
        <v>6493</v>
      </c>
      <c r="AZ61" s="53">
        <v>74.985564152904502</v>
      </c>
      <c r="BA61" s="23"/>
      <c r="BB61" s="141" t="s">
        <v>107</v>
      </c>
      <c r="BC61" s="55">
        <v>5601</v>
      </c>
      <c r="BD61" s="53">
        <v>73.215686274509807</v>
      </c>
      <c r="BE61" s="13"/>
      <c r="BF61" s="141" t="s">
        <v>107</v>
      </c>
      <c r="BG61" s="55">
        <v>4581</v>
      </c>
      <c r="BH61" s="53">
        <v>75.544195250659598</v>
      </c>
      <c r="BI61" s="23"/>
      <c r="BJ61" s="164" t="s">
        <v>107</v>
      </c>
      <c r="BK61" s="160">
        <v>6285</v>
      </c>
      <c r="BL61" s="161">
        <v>0.72</v>
      </c>
      <c r="BM61" s="13"/>
      <c r="BN61" s="141" t="s">
        <v>107</v>
      </c>
      <c r="BO61" s="60">
        <v>6923</v>
      </c>
      <c r="BP61" s="61">
        <v>74.456872445687253</v>
      </c>
      <c r="BQ61" s="13"/>
      <c r="BR61" s="141" t="s">
        <v>107</v>
      </c>
      <c r="BS61" s="60">
        <v>6311</v>
      </c>
      <c r="BT61" s="61">
        <v>74.072769953051647</v>
      </c>
      <c r="BU61" s="13"/>
      <c r="BV61" s="33"/>
    </row>
    <row r="62" spans="1:74">
      <c r="A62" s="19" t="s">
        <v>108</v>
      </c>
      <c r="B62" s="28">
        <v>2038</v>
      </c>
      <c r="C62" s="29">
        <v>21.0059781488353</v>
      </c>
      <c r="D62" s="28">
        <v>2239</v>
      </c>
      <c r="E62" s="29">
        <v>22.263100328129699</v>
      </c>
      <c r="F62" s="28">
        <v>1768</v>
      </c>
      <c r="G62" s="29">
        <v>19.605233976491501</v>
      </c>
      <c r="H62" s="13"/>
      <c r="I62" s="29" t="s">
        <v>108</v>
      </c>
      <c r="J62" s="42">
        <v>1743</v>
      </c>
      <c r="K62" s="39">
        <v>19.746233148295005</v>
      </c>
      <c r="L62" s="13"/>
      <c r="M62" s="141" t="s">
        <v>108</v>
      </c>
      <c r="N62" s="38">
        <v>2178</v>
      </c>
      <c r="O62" s="38">
        <v>21.413823616163601</v>
      </c>
      <c r="P62" s="13"/>
      <c r="Q62" s="141" t="s">
        <v>108</v>
      </c>
      <c r="R62" s="38">
        <v>2169</v>
      </c>
      <c r="S62" s="38">
        <v>21.325336741716647</v>
      </c>
      <c r="T62" s="13"/>
      <c r="U62" s="13"/>
      <c r="V62" s="141" t="s">
        <v>108</v>
      </c>
      <c r="W62" s="38">
        <v>1905</v>
      </c>
      <c r="X62" s="38">
        <v>20.8287776076974</v>
      </c>
      <c r="Y62" s="13"/>
      <c r="Z62" s="141" t="s">
        <v>108</v>
      </c>
      <c r="AA62" s="38">
        <v>1984</v>
      </c>
      <c r="AB62" s="38">
        <v>21.430114495571399</v>
      </c>
      <c r="AC62" s="13"/>
      <c r="AD62" s="141" t="s">
        <v>108</v>
      </c>
      <c r="AE62" s="38">
        <v>2164</v>
      </c>
      <c r="AF62" s="38">
        <v>21.15</v>
      </c>
      <c r="AG62" s="13"/>
      <c r="AH62" s="141" t="s">
        <v>108</v>
      </c>
      <c r="AI62" s="38">
        <v>1727</v>
      </c>
      <c r="AJ62" s="53">
        <v>20.709917256265701</v>
      </c>
      <c r="AK62" s="13"/>
      <c r="AL62" s="141" t="s">
        <v>108</v>
      </c>
      <c r="AM62" s="38">
        <v>1735</v>
      </c>
      <c r="AN62" s="53">
        <v>20.711471887310498</v>
      </c>
      <c r="AO62" s="13"/>
      <c r="AP62" s="141" t="s">
        <v>108</v>
      </c>
      <c r="AQ62" s="38">
        <v>1293</v>
      </c>
      <c r="AR62" s="53">
        <v>21.403741102466501</v>
      </c>
      <c r="AS62" s="13"/>
      <c r="AT62" s="141" t="s">
        <v>108</v>
      </c>
      <c r="AU62" s="38">
        <v>1939</v>
      </c>
      <c r="AV62" s="53">
        <v>21.270293988591487</v>
      </c>
      <c r="AW62" s="13"/>
      <c r="AX62" s="141" t="s">
        <v>108</v>
      </c>
      <c r="AY62" s="55">
        <v>1692</v>
      </c>
      <c r="AZ62" s="53">
        <v>19.540362628478999</v>
      </c>
      <c r="BA62" s="23"/>
      <c r="BB62" s="141" t="s">
        <v>108</v>
      </c>
      <c r="BC62" s="55">
        <v>1614</v>
      </c>
      <c r="BD62" s="53">
        <v>21.098039215686299</v>
      </c>
      <c r="BE62" s="13"/>
      <c r="BF62" s="141" t="s">
        <v>108</v>
      </c>
      <c r="BG62" s="55">
        <v>1179</v>
      </c>
      <c r="BH62" s="53">
        <v>19.442612137203199</v>
      </c>
      <c r="BI62" s="23"/>
      <c r="BJ62" s="164" t="s">
        <v>108</v>
      </c>
      <c r="BK62" s="160">
        <v>1926</v>
      </c>
      <c r="BL62" s="161">
        <v>0.22</v>
      </c>
      <c r="BM62" s="13"/>
      <c r="BN62" s="141" t="s">
        <v>108</v>
      </c>
      <c r="BO62" s="60">
        <v>1782</v>
      </c>
      <c r="BP62" s="61">
        <v>19.165411916541192</v>
      </c>
      <c r="BQ62" s="13"/>
      <c r="BR62" s="141" t="s">
        <v>108</v>
      </c>
      <c r="BS62" s="60">
        <v>1665</v>
      </c>
      <c r="BT62" s="61">
        <v>19.54225352112676</v>
      </c>
      <c r="BU62" s="13"/>
      <c r="BV62" s="33"/>
    </row>
    <row r="63" spans="1:74">
      <c r="A63" s="19" t="s">
        <v>109</v>
      </c>
      <c r="B63" s="28">
        <v>343</v>
      </c>
      <c r="C63" s="29">
        <v>3.5353535353535301</v>
      </c>
      <c r="D63" s="28">
        <v>290</v>
      </c>
      <c r="E63" s="29">
        <v>2.8835636869841901</v>
      </c>
      <c r="F63" s="28">
        <v>208</v>
      </c>
      <c r="G63" s="29">
        <v>2.3064981148813501</v>
      </c>
      <c r="H63" s="13"/>
      <c r="I63" s="29" t="s">
        <v>109</v>
      </c>
      <c r="J63" s="42">
        <v>224</v>
      </c>
      <c r="K63" s="39">
        <v>2.5376685170499602</v>
      </c>
      <c r="L63" s="13"/>
      <c r="M63" s="141" t="s">
        <v>109</v>
      </c>
      <c r="N63" s="38">
        <v>325</v>
      </c>
      <c r="O63" s="38">
        <v>3.1953593550290038</v>
      </c>
      <c r="P63" s="13"/>
      <c r="Q63" s="141" t="s">
        <v>109</v>
      </c>
      <c r="R63" s="38">
        <v>353</v>
      </c>
      <c r="S63" s="38">
        <v>3</v>
      </c>
      <c r="T63" s="13"/>
      <c r="U63" s="13"/>
      <c r="V63" s="141" t="s">
        <v>109</v>
      </c>
      <c r="W63" s="38">
        <v>216</v>
      </c>
      <c r="X63" s="38">
        <v>2.3616881696916701</v>
      </c>
      <c r="Y63" s="13"/>
      <c r="Z63" s="141" t="s">
        <v>109</v>
      </c>
      <c r="AA63" s="38">
        <v>225</v>
      </c>
      <c r="AB63" s="38">
        <v>2.43033052495139</v>
      </c>
      <c r="AC63" s="13"/>
      <c r="AD63" s="141" t="s">
        <v>109</v>
      </c>
      <c r="AE63" s="38">
        <v>290</v>
      </c>
      <c r="AF63" s="38">
        <v>2.83</v>
      </c>
      <c r="AG63" s="13"/>
      <c r="AH63" s="141" t="s">
        <v>109</v>
      </c>
      <c r="AI63" s="38">
        <v>267</v>
      </c>
      <c r="AJ63" s="53">
        <v>3.2018227605228402</v>
      </c>
      <c r="AK63" s="13"/>
      <c r="AL63" s="141" t="s">
        <v>109</v>
      </c>
      <c r="AM63" s="38">
        <v>347</v>
      </c>
      <c r="AN63" s="53">
        <v>4.1422943774621004</v>
      </c>
      <c r="AO63" s="13"/>
      <c r="AP63" s="141" t="s">
        <v>109</v>
      </c>
      <c r="AQ63" s="38">
        <v>124</v>
      </c>
      <c r="AR63" s="53">
        <v>2.0526402913424899</v>
      </c>
      <c r="AS63" s="13"/>
      <c r="AT63" s="141" t="s">
        <v>109</v>
      </c>
      <c r="AU63" s="38">
        <v>269</v>
      </c>
      <c r="AV63" s="53">
        <v>2.9508556384379112</v>
      </c>
      <c r="AW63" s="13"/>
      <c r="AX63" s="141" t="s">
        <v>109</v>
      </c>
      <c r="AY63" s="55">
        <v>256</v>
      </c>
      <c r="AZ63" s="53">
        <v>2.95646148515995</v>
      </c>
      <c r="BA63" s="23"/>
      <c r="BB63" s="141" t="s">
        <v>109</v>
      </c>
      <c r="BC63" s="55">
        <v>236</v>
      </c>
      <c r="BD63" s="53">
        <v>3.0849673202614398</v>
      </c>
      <c r="BE63" s="13"/>
      <c r="BF63" s="141" t="s">
        <v>109</v>
      </c>
      <c r="BG63" s="55">
        <v>149</v>
      </c>
      <c r="BH63" s="53">
        <v>2.4571240105540899</v>
      </c>
      <c r="BI63" s="23"/>
      <c r="BJ63" s="164" t="s">
        <v>109</v>
      </c>
      <c r="BK63" s="160">
        <v>281</v>
      </c>
      <c r="BL63" s="161">
        <v>0.03</v>
      </c>
      <c r="BM63" s="13"/>
      <c r="BN63" s="141" t="s">
        <v>109</v>
      </c>
      <c r="BO63" s="60">
        <v>248</v>
      </c>
      <c r="BP63" s="61">
        <v>2.6672402667240269</v>
      </c>
      <c r="BQ63" s="13"/>
      <c r="BR63" s="141" t="s">
        <v>109</v>
      </c>
      <c r="BS63" s="60">
        <v>318</v>
      </c>
      <c r="BT63" s="61">
        <v>3.732394366197183</v>
      </c>
      <c r="BU63" s="13"/>
      <c r="BV63" s="13"/>
    </row>
    <row r="64" spans="1:74">
      <c r="A64" s="19" t="s">
        <v>110</v>
      </c>
      <c r="B64" s="28">
        <v>294</v>
      </c>
      <c r="C64" s="29">
        <v>3.0303030303030298</v>
      </c>
      <c r="D64" s="28">
        <v>268</v>
      </c>
      <c r="E64" s="29">
        <v>2.6648105796957302</v>
      </c>
      <c r="F64" s="28">
        <v>191</v>
      </c>
      <c r="G64" s="29">
        <v>2.1179862497227799</v>
      </c>
      <c r="H64" s="13"/>
      <c r="I64" s="29" t="s">
        <v>110</v>
      </c>
      <c r="J64" s="42">
        <v>154</v>
      </c>
      <c r="K64" s="39">
        <v>1.7446471054718478</v>
      </c>
      <c r="L64" s="13"/>
      <c r="M64" s="141" t="s">
        <v>110</v>
      </c>
      <c r="N64" s="38">
        <v>262</v>
      </c>
      <c r="O64" s="38">
        <v>2.5759512339003048</v>
      </c>
      <c r="P64" s="13"/>
      <c r="Q64" s="141" t="s">
        <v>110</v>
      </c>
      <c r="R64" s="38">
        <v>283</v>
      </c>
      <c r="S64" s="38">
        <v>3</v>
      </c>
      <c r="T64" s="13"/>
      <c r="U64" s="13"/>
      <c r="V64" s="141" t="s">
        <v>110</v>
      </c>
      <c r="W64" s="38">
        <v>238</v>
      </c>
      <c r="X64" s="38">
        <v>2.6022304832713798</v>
      </c>
      <c r="Y64" s="13"/>
      <c r="Z64" s="141" t="s">
        <v>111</v>
      </c>
      <c r="AA64" s="38">
        <v>212</v>
      </c>
      <c r="AB64" s="38">
        <v>2.2899114279542001</v>
      </c>
      <c r="AC64" s="13"/>
      <c r="AD64" s="141" t="s">
        <v>111</v>
      </c>
      <c r="AE64" s="38">
        <v>279</v>
      </c>
      <c r="AF64" s="38">
        <v>2.73</v>
      </c>
      <c r="AG64" s="13"/>
      <c r="AH64" s="141" t="s">
        <v>110</v>
      </c>
      <c r="AI64" s="38">
        <v>226</v>
      </c>
      <c r="AJ64" s="53">
        <v>2.7101570931766399</v>
      </c>
      <c r="AK64" s="13"/>
      <c r="AL64" s="141" t="s">
        <v>110</v>
      </c>
      <c r="AM64" s="38">
        <v>212</v>
      </c>
      <c r="AN64" s="53">
        <v>2.5307389280171901</v>
      </c>
      <c r="AO64" s="13"/>
      <c r="AP64" s="141" t="s">
        <v>110</v>
      </c>
      <c r="AQ64" s="38">
        <v>123</v>
      </c>
      <c r="AR64" s="53">
        <v>2.0360867406058598</v>
      </c>
      <c r="AS64" s="13"/>
      <c r="AT64" s="141" t="s">
        <v>110</v>
      </c>
      <c r="AU64" s="38">
        <v>248</v>
      </c>
      <c r="AV64" s="53">
        <v>2.7204914436156207</v>
      </c>
      <c r="AW64" s="13"/>
      <c r="AX64" s="141" t="s">
        <v>110</v>
      </c>
      <c r="AY64" s="55">
        <v>218</v>
      </c>
      <c r="AZ64" s="53">
        <v>2.51761173345652</v>
      </c>
      <c r="BA64" s="23"/>
      <c r="BB64" s="141" t="s">
        <v>110</v>
      </c>
      <c r="BC64" s="55">
        <v>199</v>
      </c>
      <c r="BD64" s="53">
        <v>2.6013071895424802</v>
      </c>
      <c r="BE64" s="13"/>
      <c r="BF64" s="141" t="s">
        <v>110</v>
      </c>
      <c r="BG64" s="55">
        <v>155</v>
      </c>
      <c r="BH64" s="53">
        <v>2.5560686015831098</v>
      </c>
      <c r="BI64" s="23"/>
      <c r="BJ64" s="164" t="s">
        <v>110</v>
      </c>
      <c r="BK64" s="160">
        <v>289</v>
      </c>
      <c r="BL64" s="161">
        <v>0.03</v>
      </c>
      <c r="BM64" s="13"/>
      <c r="BN64" s="141" t="s">
        <v>110</v>
      </c>
      <c r="BO64" s="60">
        <v>345</v>
      </c>
      <c r="BP64" s="61">
        <v>3.7104753710475369</v>
      </c>
      <c r="BQ64" s="13"/>
      <c r="BR64" s="141" t="s">
        <v>110</v>
      </c>
      <c r="BS64" s="60">
        <v>226</v>
      </c>
      <c r="BT64" s="61">
        <v>2.652582159624413</v>
      </c>
      <c r="BU64" s="13"/>
      <c r="BV64" s="13"/>
    </row>
    <row r="65" spans="1:72">
      <c r="A65" s="17" t="s">
        <v>97</v>
      </c>
      <c r="B65" s="27">
        <v>9702</v>
      </c>
      <c r="C65" s="142" t="s">
        <v>112</v>
      </c>
      <c r="D65" s="27">
        <v>10057</v>
      </c>
      <c r="E65" s="142" t="s">
        <v>112</v>
      </c>
      <c r="F65" s="27">
        <v>9018</v>
      </c>
      <c r="G65" s="142" t="s">
        <v>112</v>
      </c>
      <c r="H65" s="13"/>
      <c r="I65" s="41" t="s">
        <v>97</v>
      </c>
      <c r="J65" s="90">
        <v>8827</v>
      </c>
      <c r="K65" s="41">
        <v>100</v>
      </c>
      <c r="L65" s="14"/>
      <c r="M65" s="138" t="s">
        <v>97</v>
      </c>
      <c r="N65" s="36">
        <v>10171</v>
      </c>
      <c r="O65" s="36">
        <v>99.999999999999986</v>
      </c>
      <c r="P65" s="13"/>
      <c r="Q65" s="138" t="s">
        <v>97</v>
      </c>
      <c r="R65" s="36">
        <v>10294</v>
      </c>
      <c r="S65" s="36">
        <v>100.32533674171665</v>
      </c>
      <c r="T65" s="13"/>
      <c r="U65" s="13"/>
      <c r="V65" s="138" t="s">
        <v>97</v>
      </c>
      <c r="W65" s="36">
        <v>9146</v>
      </c>
      <c r="X65" s="36">
        <v>100</v>
      </c>
      <c r="Y65" s="13"/>
      <c r="Z65" s="138" t="s">
        <v>113</v>
      </c>
      <c r="AA65" s="36">
        <v>9258</v>
      </c>
      <c r="AB65" s="36">
        <v>100</v>
      </c>
      <c r="AC65" s="13"/>
      <c r="AD65" s="138" t="s">
        <v>113</v>
      </c>
      <c r="AE65" s="36">
        <v>10232</v>
      </c>
      <c r="AF65" s="36">
        <v>100</v>
      </c>
      <c r="AG65" s="13"/>
      <c r="AH65" s="138" t="s">
        <v>97</v>
      </c>
      <c r="AI65" s="36">
        <v>8339</v>
      </c>
      <c r="AJ65" s="37">
        <v>99.999999999999972</v>
      </c>
      <c r="AK65" s="13"/>
      <c r="AL65" s="138" t="s">
        <v>97</v>
      </c>
      <c r="AM65" s="36">
        <v>8377</v>
      </c>
      <c r="AN65" s="37">
        <v>99.999999999999986</v>
      </c>
      <c r="AO65" s="13"/>
      <c r="AP65" s="138" t="s">
        <v>97</v>
      </c>
      <c r="AQ65" s="36">
        <v>6041</v>
      </c>
      <c r="AR65" s="37">
        <v>100</v>
      </c>
      <c r="AS65" s="13"/>
      <c r="AT65" s="138" t="s">
        <v>97</v>
      </c>
      <c r="AU65" s="36">
        <v>9116</v>
      </c>
      <c r="AV65" s="37">
        <v>100</v>
      </c>
      <c r="AW65" s="13"/>
      <c r="AX65" s="138" t="s">
        <v>97</v>
      </c>
      <c r="AY65" s="110">
        <v>8659</v>
      </c>
      <c r="AZ65" s="37">
        <v>100</v>
      </c>
      <c r="BA65" s="23"/>
      <c r="BB65" s="138" t="s">
        <v>97</v>
      </c>
      <c r="BC65" s="110">
        <v>7650</v>
      </c>
      <c r="BD65" s="37">
        <v>100</v>
      </c>
      <c r="BE65" s="13"/>
      <c r="BF65" s="138" t="s">
        <v>113</v>
      </c>
      <c r="BG65" s="110">
        <v>6064</v>
      </c>
      <c r="BH65" s="37">
        <v>100</v>
      </c>
      <c r="BI65" s="23"/>
      <c r="BJ65" s="163" t="s">
        <v>113</v>
      </c>
      <c r="BK65" s="160">
        <v>8781</v>
      </c>
      <c r="BL65" s="161">
        <v>1</v>
      </c>
      <c r="BM65" s="13"/>
      <c r="BN65" s="138" t="s">
        <v>113</v>
      </c>
      <c r="BO65" s="60">
        <v>9298</v>
      </c>
      <c r="BP65" s="61">
        <v>100</v>
      </c>
      <c r="BQ65" s="13"/>
      <c r="BR65" s="138" t="s">
        <v>113</v>
      </c>
      <c r="BS65" s="60">
        <v>8520</v>
      </c>
      <c r="BT65" s="61">
        <v>100</v>
      </c>
    </row>
    <row r="66" spans="1:72">
      <c r="A66" s="13"/>
      <c r="B66" s="13"/>
      <c r="C66" s="33"/>
      <c r="D66" s="13"/>
      <c r="E66" s="33"/>
      <c r="F66" s="13"/>
      <c r="G66" s="3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43"/>
      <c r="AB66" s="23"/>
      <c r="AC66" s="13"/>
      <c r="AD66" s="13"/>
      <c r="AE66" s="43"/>
      <c r="AF66" s="23"/>
      <c r="AG66" s="13"/>
      <c r="AH66" s="13"/>
      <c r="AI66" s="43"/>
      <c r="AJ66" s="23"/>
      <c r="AK66" s="13"/>
      <c r="AL66" s="13"/>
      <c r="AM66" s="43"/>
      <c r="AN66" s="2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50"/>
      <c r="BK66" s="150"/>
      <c r="BL66" s="150"/>
      <c r="BM66" s="13"/>
      <c r="BN66" s="13"/>
      <c r="BO66" s="13"/>
      <c r="BP66" s="13"/>
      <c r="BQ66" s="13"/>
      <c r="BR66" s="13"/>
      <c r="BS66" s="13"/>
      <c r="BT66" s="13"/>
    </row>
    <row r="67" spans="1:72">
      <c r="A67" s="13"/>
      <c r="B67" s="13"/>
      <c r="C67" s="33"/>
      <c r="D67" s="13"/>
      <c r="E67" s="33"/>
      <c r="F67" s="13"/>
      <c r="G67" s="3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43"/>
      <c r="AB67" s="23"/>
      <c r="AC67" s="13"/>
      <c r="AD67" s="13"/>
      <c r="AE67" s="43"/>
      <c r="AF67" s="23"/>
      <c r="AG67" s="13"/>
      <c r="AH67" s="13"/>
      <c r="AI67" s="13"/>
      <c r="AJ67" s="13"/>
      <c r="AK67" s="13"/>
      <c r="AL67" s="13"/>
      <c r="AM67" s="13"/>
      <c r="AN67" s="13"/>
      <c r="AO67" s="4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50"/>
      <c r="BK67" s="150"/>
      <c r="BL67" s="150"/>
      <c r="BM67" s="13"/>
      <c r="BN67" s="13"/>
      <c r="BO67" s="13"/>
      <c r="BP67" s="13"/>
      <c r="BQ67" s="13"/>
      <c r="BR67" s="13"/>
      <c r="BS67" s="13"/>
      <c r="BT67" s="13"/>
    </row>
    <row r="68" spans="1:7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43"/>
      <c r="X68" s="13"/>
      <c r="Y68" s="13"/>
      <c r="Z68" s="13"/>
      <c r="AA68" s="43"/>
      <c r="AB68" s="13"/>
      <c r="AC68" s="13"/>
      <c r="AD68" s="13"/>
      <c r="AE68" s="4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50"/>
      <c r="BK68" s="150"/>
      <c r="BL68" s="150"/>
      <c r="BM68" s="13"/>
      <c r="BN68" s="13"/>
      <c r="BO68" s="13"/>
      <c r="BP68" s="13"/>
      <c r="BQ68" s="13"/>
      <c r="BR68" s="13"/>
      <c r="BS68" s="13"/>
      <c r="BT68" s="13"/>
    </row>
    <row r="69" spans="1:72">
      <c r="A69" s="24" t="s">
        <v>117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50"/>
      <c r="BK69" s="150"/>
      <c r="BL69" s="150"/>
      <c r="BM69" s="13"/>
      <c r="BN69" s="13"/>
      <c r="BO69" s="13"/>
      <c r="BP69" s="13"/>
      <c r="BQ69" s="13"/>
      <c r="BR69" s="13"/>
      <c r="BS69" s="13"/>
      <c r="BT69" s="13"/>
    </row>
    <row r="70" spans="1:72">
      <c r="A70" s="76"/>
      <c r="B70" s="195" t="s">
        <v>73</v>
      </c>
      <c r="C70" s="195"/>
      <c r="D70" s="195" t="s">
        <v>74</v>
      </c>
      <c r="E70" s="195"/>
      <c r="F70" s="195" t="s">
        <v>75</v>
      </c>
      <c r="G70" s="195"/>
      <c r="H70" s="13"/>
      <c r="I70" s="76"/>
      <c r="J70" s="195" t="s">
        <v>76</v>
      </c>
      <c r="K70" s="195"/>
      <c r="L70" s="13"/>
      <c r="M70" s="76"/>
      <c r="N70" s="35" t="s">
        <v>77</v>
      </c>
      <c r="O70" s="35"/>
      <c r="P70" s="13"/>
      <c r="Q70" s="76"/>
      <c r="R70" s="35" t="s">
        <v>78</v>
      </c>
      <c r="S70" s="35"/>
      <c r="T70" s="13"/>
      <c r="U70" s="13"/>
      <c r="V70" s="76"/>
      <c r="W70" s="98" t="s">
        <v>79</v>
      </c>
      <c r="X70" s="99"/>
      <c r="Y70" s="13"/>
      <c r="Z70" s="76"/>
      <c r="AA70" s="35" t="s">
        <v>80</v>
      </c>
      <c r="AB70" s="35"/>
      <c r="AC70" s="13"/>
      <c r="AD70" s="76"/>
      <c r="AE70" s="35" t="s">
        <v>81</v>
      </c>
      <c r="AF70" s="35"/>
      <c r="AG70" s="13"/>
      <c r="AH70" s="76"/>
      <c r="AI70" s="35" t="s">
        <v>82</v>
      </c>
      <c r="AJ70" s="35"/>
      <c r="AK70" s="13"/>
      <c r="AL70" s="76"/>
      <c r="AM70" s="35" t="s">
        <v>83</v>
      </c>
      <c r="AN70" s="35"/>
      <c r="AO70" s="13"/>
      <c r="AP70" s="76"/>
      <c r="AQ70" s="35" t="s">
        <v>84</v>
      </c>
      <c r="AR70" s="35"/>
      <c r="AS70" s="13"/>
      <c r="AT70" s="76"/>
      <c r="AU70" s="35" t="s">
        <v>85</v>
      </c>
      <c r="AV70" s="35"/>
      <c r="AW70" s="13"/>
      <c r="AX70" s="76"/>
      <c r="AY70" s="35" t="s">
        <v>86</v>
      </c>
      <c r="AZ70" s="35"/>
      <c r="BA70" s="13"/>
      <c r="BB70" s="76"/>
      <c r="BC70" s="35" t="s">
        <v>87</v>
      </c>
      <c r="BD70" s="35"/>
      <c r="BE70" s="13"/>
      <c r="BF70" s="76"/>
      <c r="BG70" s="35" t="s">
        <v>88</v>
      </c>
      <c r="BH70" s="35"/>
      <c r="BI70" s="13"/>
      <c r="BJ70" s="165"/>
      <c r="BK70" s="166" t="s">
        <v>89</v>
      </c>
      <c r="BL70" s="166"/>
      <c r="BM70" s="13"/>
      <c r="BN70" s="76"/>
      <c r="BO70" s="35" t="s">
        <v>90</v>
      </c>
      <c r="BP70" s="35"/>
      <c r="BQ70" s="13"/>
      <c r="BR70" s="76"/>
      <c r="BS70" s="35" t="s">
        <v>91</v>
      </c>
      <c r="BT70" s="35"/>
    </row>
    <row r="71" spans="1:72">
      <c r="A71" s="77" t="s">
        <v>118</v>
      </c>
      <c r="B71" s="35" t="s">
        <v>97</v>
      </c>
      <c r="C71" s="35" t="s">
        <v>105</v>
      </c>
      <c r="D71" s="35" t="s">
        <v>97</v>
      </c>
      <c r="E71" s="35" t="s">
        <v>105</v>
      </c>
      <c r="F71" s="35" t="s">
        <v>97</v>
      </c>
      <c r="G71" s="35" t="s">
        <v>105</v>
      </c>
      <c r="H71" s="13"/>
      <c r="I71" s="77" t="s">
        <v>118</v>
      </c>
      <c r="J71" s="78" t="s">
        <v>97</v>
      </c>
      <c r="K71" s="35" t="s">
        <v>105</v>
      </c>
      <c r="L71" s="13"/>
      <c r="M71" s="77" t="s">
        <v>118</v>
      </c>
      <c r="N71" s="78" t="s">
        <v>97</v>
      </c>
      <c r="O71" s="35" t="s">
        <v>105</v>
      </c>
      <c r="P71" s="13"/>
      <c r="Q71" s="77" t="s">
        <v>118</v>
      </c>
      <c r="R71" s="78" t="s">
        <v>97</v>
      </c>
      <c r="S71" s="35" t="s">
        <v>105</v>
      </c>
      <c r="T71" s="13"/>
      <c r="U71" s="13"/>
      <c r="V71" s="77" t="s">
        <v>118</v>
      </c>
      <c r="W71" s="78" t="s">
        <v>97</v>
      </c>
      <c r="X71" s="35" t="s">
        <v>105</v>
      </c>
      <c r="Y71" s="13"/>
      <c r="Z71" s="77" t="s">
        <v>118</v>
      </c>
      <c r="AA71" s="78" t="s">
        <v>97</v>
      </c>
      <c r="AB71" s="35" t="s">
        <v>105</v>
      </c>
      <c r="AC71" s="13"/>
      <c r="AD71" s="77" t="s">
        <v>118</v>
      </c>
      <c r="AE71" s="78" t="s">
        <v>97</v>
      </c>
      <c r="AF71" s="35" t="s">
        <v>105</v>
      </c>
      <c r="AG71" s="13"/>
      <c r="AH71" s="77" t="s">
        <v>118</v>
      </c>
      <c r="AI71" s="78" t="s">
        <v>97</v>
      </c>
      <c r="AJ71" s="35" t="s">
        <v>105</v>
      </c>
      <c r="AK71" s="13"/>
      <c r="AL71" s="77" t="s">
        <v>118</v>
      </c>
      <c r="AM71" s="78" t="s">
        <v>97</v>
      </c>
      <c r="AN71" s="35" t="s">
        <v>105</v>
      </c>
      <c r="AO71" s="13"/>
      <c r="AP71" s="77" t="s">
        <v>118</v>
      </c>
      <c r="AQ71" s="78" t="s">
        <v>97</v>
      </c>
      <c r="AR71" s="35" t="s">
        <v>105</v>
      </c>
      <c r="AS71" s="13"/>
      <c r="AT71" s="77" t="s">
        <v>118</v>
      </c>
      <c r="AU71" s="78" t="s">
        <v>97</v>
      </c>
      <c r="AV71" s="35" t="s">
        <v>105</v>
      </c>
      <c r="AW71" s="13"/>
      <c r="AX71" s="77" t="s">
        <v>118</v>
      </c>
      <c r="AY71" s="78" t="s">
        <v>97</v>
      </c>
      <c r="AZ71" s="35" t="s">
        <v>105</v>
      </c>
      <c r="BA71" s="13"/>
      <c r="BB71" s="77" t="s">
        <v>118</v>
      </c>
      <c r="BC71" s="78" t="s">
        <v>97</v>
      </c>
      <c r="BD71" s="35" t="s">
        <v>105</v>
      </c>
      <c r="BE71" s="13"/>
      <c r="BF71" s="77" t="s">
        <v>118</v>
      </c>
      <c r="BG71" s="78" t="s">
        <v>97</v>
      </c>
      <c r="BH71" s="35" t="s">
        <v>105</v>
      </c>
      <c r="BI71" s="13"/>
      <c r="BJ71" s="167" t="s">
        <v>118</v>
      </c>
      <c r="BK71" s="168" t="s">
        <v>97</v>
      </c>
      <c r="BL71" s="166" t="s">
        <v>105</v>
      </c>
      <c r="BM71" s="13"/>
      <c r="BN71" s="77" t="s">
        <v>118</v>
      </c>
      <c r="BO71" s="78" t="s">
        <v>97</v>
      </c>
      <c r="BP71" s="35" t="s">
        <v>105</v>
      </c>
      <c r="BQ71" s="13"/>
      <c r="BR71" s="77" t="s">
        <v>118</v>
      </c>
      <c r="BS71" s="78" t="s">
        <v>97</v>
      </c>
      <c r="BT71" s="35" t="s">
        <v>105</v>
      </c>
    </row>
    <row r="72" spans="1:72" ht="15">
      <c r="A72" s="78" t="s">
        <v>119</v>
      </c>
      <c r="B72" s="79">
        <v>14</v>
      </c>
      <c r="C72" s="29">
        <v>0.267686424474187</v>
      </c>
      <c r="D72" s="79">
        <v>11</v>
      </c>
      <c r="E72" s="80">
        <v>0.211823608704025</v>
      </c>
      <c r="F72" s="79">
        <v>10</v>
      </c>
      <c r="G72" s="80">
        <v>0.194779898714453</v>
      </c>
      <c r="H72" s="13"/>
      <c r="I72" s="78" t="s">
        <v>119</v>
      </c>
      <c r="J72" s="78">
        <v>9</v>
      </c>
      <c r="K72" s="39">
        <v>0.1819652244237768</v>
      </c>
      <c r="L72" s="13"/>
      <c r="M72" s="78" t="s">
        <v>119</v>
      </c>
      <c r="N72" s="78">
        <v>10</v>
      </c>
      <c r="O72" s="91">
        <v>0.18786398647379299</v>
      </c>
      <c r="P72" s="13"/>
      <c r="Q72" s="78" t="s">
        <v>119</v>
      </c>
      <c r="R72" s="78">
        <v>6</v>
      </c>
      <c r="S72" s="91">
        <v>0.11286681715575619</v>
      </c>
      <c r="T72" s="13"/>
      <c r="U72" s="13"/>
      <c r="V72" s="78" t="s">
        <v>119</v>
      </c>
      <c r="W72" s="78">
        <v>10</v>
      </c>
      <c r="X72" s="91">
        <v>0.19000570017100499</v>
      </c>
      <c r="Y72" s="13"/>
      <c r="Z72" s="78" t="s">
        <v>119</v>
      </c>
      <c r="AA72" s="78">
        <v>6</v>
      </c>
      <c r="AB72" s="91">
        <v>0.110680686220255</v>
      </c>
      <c r="AC72" s="13"/>
      <c r="AD72" s="78" t="s">
        <v>119</v>
      </c>
      <c r="AE72" s="78">
        <v>17</v>
      </c>
      <c r="AF72" s="105">
        <v>0.31440724986129098</v>
      </c>
      <c r="AG72" s="13"/>
      <c r="AH72" s="78" t="s">
        <v>119</v>
      </c>
      <c r="AI72" s="78">
        <v>5</v>
      </c>
      <c r="AJ72" s="105">
        <v>0.122100122100122</v>
      </c>
      <c r="AK72" s="13"/>
      <c r="AL72" s="78" t="s">
        <v>119</v>
      </c>
      <c r="AM72" s="78">
        <v>12</v>
      </c>
      <c r="AN72" s="105">
        <v>0.26002166847237301</v>
      </c>
      <c r="AO72" s="13"/>
      <c r="AP72" s="78" t="s">
        <v>119</v>
      </c>
      <c r="AQ72" s="78">
        <v>17</v>
      </c>
      <c r="AR72" s="105">
        <v>0.50430139424503095</v>
      </c>
      <c r="AS72" s="13"/>
      <c r="AT72" s="78" t="s">
        <v>119</v>
      </c>
      <c r="AU72" s="78">
        <v>9</v>
      </c>
      <c r="AV72" s="105">
        <v>0.21454112038140644</v>
      </c>
      <c r="AW72" s="13"/>
      <c r="AX72" s="78" t="s">
        <v>119</v>
      </c>
      <c r="AY72" s="78">
        <v>13</v>
      </c>
      <c r="AZ72" s="91">
        <v>0.32894736842105299</v>
      </c>
      <c r="BA72" s="23"/>
      <c r="BB72" s="78" t="s">
        <v>119</v>
      </c>
      <c r="BC72" s="78">
        <v>4</v>
      </c>
      <c r="BD72" s="91">
        <v>0.11074197120708699</v>
      </c>
      <c r="BE72" s="13"/>
      <c r="BF72" s="78" t="s">
        <v>119</v>
      </c>
      <c r="BG72" s="111">
        <v>16</v>
      </c>
      <c r="BH72" s="91">
        <v>0.56278578965881099</v>
      </c>
      <c r="BI72" s="23"/>
      <c r="BJ72" s="168" t="s">
        <v>119</v>
      </c>
      <c r="BK72" s="169">
        <v>10</v>
      </c>
      <c r="BL72" s="170">
        <v>3.0000000000000001E-3</v>
      </c>
      <c r="BM72" s="13"/>
      <c r="BN72" s="78" t="s">
        <v>119</v>
      </c>
      <c r="BO72" s="111">
        <v>14</v>
      </c>
      <c r="BP72" s="112">
        <v>0.36</v>
      </c>
      <c r="BQ72" s="13"/>
      <c r="BR72" s="78" t="s">
        <v>119</v>
      </c>
      <c r="BS72" s="111">
        <v>17</v>
      </c>
      <c r="BT72" s="61">
        <v>0.44666316342616924</v>
      </c>
    </row>
    <row r="73" spans="1:72" ht="15">
      <c r="A73" s="78" t="s">
        <v>120</v>
      </c>
      <c r="B73" s="79">
        <v>1090</v>
      </c>
      <c r="C73" s="29">
        <v>20.841300191204599</v>
      </c>
      <c r="D73" s="79">
        <v>1083</v>
      </c>
      <c r="E73" s="80">
        <v>20.8549971114962</v>
      </c>
      <c r="F73" s="79">
        <v>1154</v>
      </c>
      <c r="G73" s="80">
        <v>22.477600311647802</v>
      </c>
      <c r="H73" s="13"/>
      <c r="I73" s="78" t="s">
        <v>120</v>
      </c>
      <c r="J73" s="78">
        <v>1045</v>
      </c>
      <c r="K73" s="39">
        <v>21.128184391427414</v>
      </c>
      <c r="L73" s="13"/>
      <c r="M73" s="78" t="s">
        <v>120</v>
      </c>
      <c r="N73" s="78">
        <v>1146</v>
      </c>
      <c r="O73" s="91">
        <v>21.529212849896677</v>
      </c>
      <c r="P73" s="13"/>
      <c r="Q73" s="78" t="s">
        <v>120</v>
      </c>
      <c r="R73" s="78">
        <v>1100</v>
      </c>
      <c r="S73" s="91">
        <v>20.692249811888637</v>
      </c>
      <c r="T73" s="13"/>
      <c r="U73" s="13"/>
      <c r="V73" s="78" t="s">
        <v>120</v>
      </c>
      <c r="W73" s="78">
        <v>1133</v>
      </c>
      <c r="X73" s="91">
        <v>21.527645829374901</v>
      </c>
      <c r="Y73" s="13"/>
      <c r="Z73" s="78" t="s">
        <v>120</v>
      </c>
      <c r="AA73" s="78">
        <v>1247</v>
      </c>
      <c r="AB73" s="91">
        <v>23.003135952776201</v>
      </c>
      <c r="AC73" s="13"/>
      <c r="AD73" s="78" t="s">
        <v>120</v>
      </c>
      <c r="AE73" s="78">
        <v>1205</v>
      </c>
      <c r="AF73" s="105">
        <v>22.2859256519327</v>
      </c>
      <c r="AG73" s="13"/>
      <c r="AH73" s="78" t="s">
        <v>120</v>
      </c>
      <c r="AI73" s="78">
        <v>842</v>
      </c>
      <c r="AJ73" s="105">
        <v>20.561660561660599</v>
      </c>
      <c r="AK73" s="13"/>
      <c r="AL73" s="78" t="s">
        <v>120</v>
      </c>
      <c r="AM73" s="78">
        <v>946</v>
      </c>
      <c r="AN73" s="105">
        <v>20.498374864572</v>
      </c>
      <c r="AO73" s="13"/>
      <c r="AP73" s="78" t="s">
        <v>120</v>
      </c>
      <c r="AQ73" s="78">
        <v>651</v>
      </c>
      <c r="AR73" s="105">
        <v>19.311776920795001</v>
      </c>
      <c r="AS73" s="13"/>
      <c r="AT73" s="78" t="s">
        <v>120</v>
      </c>
      <c r="AU73" s="78">
        <v>997</v>
      </c>
      <c r="AV73" s="105">
        <v>23.766388557806913</v>
      </c>
      <c r="AW73" s="13"/>
      <c r="AX73" s="78" t="s">
        <v>120</v>
      </c>
      <c r="AY73" s="78">
        <v>800</v>
      </c>
      <c r="AZ73" s="91">
        <v>20.242914979757099</v>
      </c>
      <c r="BA73" s="23"/>
      <c r="BB73" s="78" t="s">
        <v>120</v>
      </c>
      <c r="BC73" s="78">
        <v>743</v>
      </c>
      <c r="BD73" s="91">
        <v>20.570321151716499</v>
      </c>
      <c r="BE73" s="13"/>
      <c r="BF73" s="78" t="s">
        <v>120</v>
      </c>
      <c r="BG73" s="111">
        <v>612</v>
      </c>
      <c r="BH73" s="91">
        <v>21.526556454449501</v>
      </c>
      <c r="BI73" s="23"/>
      <c r="BJ73" s="168" t="s">
        <v>120</v>
      </c>
      <c r="BK73" s="169">
        <v>748</v>
      </c>
      <c r="BL73" s="161">
        <v>0.19700000000000001</v>
      </c>
      <c r="BM73" s="13"/>
      <c r="BN73" s="78" t="s">
        <v>120</v>
      </c>
      <c r="BO73" s="111">
        <v>798</v>
      </c>
      <c r="BP73" s="61">
        <v>20.487804878048781</v>
      </c>
      <c r="BQ73" s="13"/>
      <c r="BR73" s="78" t="s">
        <v>120</v>
      </c>
      <c r="BS73" s="111">
        <v>748</v>
      </c>
      <c r="BT73" s="61">
        <v>19.653179190751445</v>
      </c>
    </row>
    <row r="74" spans="1:72" ht="15">
      <c r="A74" s="78" t="s">
        <v>121</v>
      </c>
      <c r="B74" s="79">
        <v>205</v>
      </c>
      <c r="C74" s="29">
        <v>3.9196940726577401</v>
      </c>
      <c r="D74" s="79">
        <v>210</v>
      </c>
      <c r="E74" s="80">
        <v>4.0439052570768297</v>
      </c>
      <c r="F74" s="79">
        <v>222</v>
      </c>
      <c r="G74" s="80">
        <v>4.3241137514608496</v>
      </c>
      <c r="H74" s="13"/>
      <c r="I74" s="78" t="s">
        <v>121</v>
      </c>
      <c r="J74" s="78">
        <v>200</v>
      </c>
      <c r="K74" s="39">
        <v>4.0436716538617068</v>
      </c>
      <c r="L74" s="13"/>
      <c r="M74" s="78" t="s">
        <v>121</v>
      </c>
      <c r="N74" s="78">
        <v>218</v>
      </c>
      <c r="O74" s="91">
        <v>4.0954349051286876</v>
      </c>
      <c r="P74" s="13"/>
      <c r="Q74" s="78" t="s">
        <v>121</v>
      </c>
      <c r="R74" s="78">
        <v>176</v>
      </c>
      <c r="S74" s="91">
        <v>3.3107599699021821</v>
      </c>
      <c r="T74" s="13"/>
      <c r="U74" s="13"/>
      <c r="V74" s="78" t="s">
        <v>121</v>
      </c>
      <c r="W74" s="78">
        <v>173</v>
      </c>
      <c r="X74" s="91">
        <v>3.2870986129583901</v>
      </c>
      <c r="Y74" s="13"/>
      <c r="Z74" s="78" t="s">
        <v>121</v>
      </c>
      <c r="AA74" s="78">
        <v>231</v>
      </c>
      <c r="AB74" s="91">
        <v>4.2612064194797998</v>
      </c>
      <c r="AC74" s="13"/>
      <c r="AD74" s="78" t="s">
        <v>121</v>
      </c>
      <c r="AE74" s="78">
        <v>176</v>
      </c>
      <c r="AF74" s="105">
        <v>3.2550397632698398</v>
      </c>
      <c r="AG74" s="13"/>
      <c r="AH74" s="78" t="s">
        <v>121</v>
      </c>
      <c r="AI74" s="78">
        <v>126</v>
      </c>
      <c r="AJ74" s="105">
        <v>3.0769230769230802</v>
      </c>
      <c r="AK74" s="13"/>
      <c r="AL74" s="78" t="s">
        <v>121</v>
      </c>
      <c r="AM74" s="78">
        <v>207</v>
      </c>
      <c r="AN74" s="105">
        <v>4.4853737811484304</v>
      </c>
      <c r="AO74" s="13"/>
      <c r="AP74" s="78" t="s">
        <v>121</v>
      </c>
      <c r="AQ74" s="78">
        <v>127</v>
      </c>
      <c r="AR74" s="105">
        <v>3.7674280628893499</v>
      </c>
      <c r="AS74" s="13"/>
      <c r="AT74" s="78" t="s">
        <v>121</v>
      </c>
      <c r="AU74" s="78">
        <v>168</v>
      </c>
      <c r="AV74" s="105">
        <v>4.0047675804529197</v>
      </c>
      <c r="AW74" s="13"/>
      <c r="AX74" s="78" t="s">
        <v>121</v>
      </c>
      <c r="AY74" s="78">
        <v>148</v>
      </c>
      <c r="AZ74" s="91">
        <v>3.7449392712550602</v>
      </c>
      <c r="BA74" s="23"/>
      <c r="BB74" s="78" t="s">
        <v>121</v>
      </c>
      <c r="BC74" s="78">
        <v>157</v>
      </c>
      <c r="BD74" s="91">
        <v>4.3466223698781796</v>
      </c>
      <c r="BE74" s="13"/>
      <c r="BF74" s="78" t="s">
        <v>121</v>
      </c>
      <c r="BG74" s="111">
        <v>118</v>
      </c>
      <c r="BH74" s="91">
        <v>4.1505451987337301</v>
      </c>
      <c r="BI74" s="23"/>
      <c r="BJ74" s="168" t="s">
        <v>121</v>
      </c>
      <c r="BK74" s="169">
        <v>187</v>
      </c>
      <c r="BL74" s="161">
        <v>4.9000000000000002E-2</v>
      </c>
      <c r="BM74" s="13"/>
      <c r="BN74" s="78" t="s">
        <v>121</v>
      </c>
      <c r="BO74" s="111">
        <v>167</v>
      </c>
      <c r="BP74" s="61">
        <v>4.2875481386392815</v>
      </c>
      <c r="BQ74" s="13"/>
      <c r="BR74" s="78" t="s">
        <v>121</v>
      </c>
      <c r="BS74" s="111">
        <v>188</v>
      </c>
      <c r="BT74" s="61">
        <v>4.9395691014188126</v>
      </c>
    </row>
    <row r="75" spans="1:72" ht="15">
      <c r="A75" s="78" t="s">
        <v>122</v>
      </c>
      <c r="B75" s="79">
        <v>1672</v>
      </c>
      <c r="C75" s="29">
        <v>31.9694072657744</v>
      </c>
      <c r="D75" s="79">
        <v>1604</v>
      </c>
      <c r="E75" s="80">
        <v>30.8877334873869</v>
      </c>
      <c r="F75" s="79">
        <v>1604</v>
      </c>
      <c r="G75" s="80">
        <v>31.242695753798198</v>
      </c>
      <c r="H75" s="13"/>
      <c r="I75" s="78" t="s">
        <v>122</v>
      </c>
      <c r="J75" s="78">
        <v>1566</v>
      </c>
      <c r="K75" s="39">
        <v>31.66194904973716</v>
      </c>
      <c r="L75" s="13"/>
      <c r="M75" s="78" t="s">
        <v>122</v>
      </c>
      <c r="N75" s="78">
        <v>1494</v>
      </c>
      <c r="O75" s="91">
        <v>28.066879579184672</v>
      </c>
      <c r="P75" s="13"/>
      <c r="Q75" s="78" t="s">
        <v>122</v>
      </c>
      <c r="R75" s="78">
        <v>1652</v>
      </c>
      <c r="S75" s="91">
        <v>31.075996990218208</v>
      </c>
      <c r="T75" s="13"/>
      <c r="U75" s="13"/>
      <c r="V75" s="78" t="s">
        <v>122</v>
      </c>
      <c r="W75" s="78">
        <v>1639</v>
      </c>
      <c r="X75" s="91">
        <v>31.1419342580277</v>
      </c>
      <c r="Y75" s="13"/>
      <c r="Z75" s="78" t="s">
        <v>122</v>
      </c>
      <c r="AA75" s="78">
        <v>1682</v>
      </c>
      <c r="AB75" s="91">
        <v>31.027485703744698</v>
      </c>
      <c r="AC75" s="13"/>
      <c r="AD75" s="78" t="s">
        <v>122</v>
      </c>
      <c r="AE75" s="78">
        <v>1693</v>
      </c>
      <c r="AF75" s="105">
        <v>31.311263177362701</v>
      </c>
      <c r="AG75" s="13"/>
      <c r="AH75" s="78" t="s">
        <v>122</v>
      </c>
      <c r="AI75" s="78">
        <v>1366</v>
      </c>
      <c r="AJ75" s="105">
        <v>33.357753357753403</v>
      </c>
      <c r="AK75" s="13"/>
      <c r="AL75" s="78" t="s">
        <v>122</v>
      </c>
      <c r="AM75" s="78">
        <v>1374</v>
      </c>
      <c r="AN75" s="105">
        <v>29.772481040086699</v>
      </c>
      <c r="AO75" s="13"/>
      <c r="AP75" s="78" t="s">
        <v>122</v>
      </c>
      <c r="AQ75" s="78">
        <v>916</v>
      </c>
      <c r="AR75" s="105">
        <v>27.1729457134381</v>
      </c>
      <c r="AS75" s="13"/>
      <c r="AT75" s="78" t="s">
        <v>122</v>
      </c>
      <c r="AU75" s="15">
        <v>1043</v>
      </c>
      <c r="AV75" s="105">
        <v>24.862932061978547</v>
      </c>
      <c r="AW75" s="13"/>
      <c r="AX75" s="78" t="s">
        <v>122</v>
      </c>
      <c r="AY75" s="78">
        <v>1009</v>
      </c>
      <c r="AZ75" s="91">
        <v>25.5313765182186</v>
      </c>
      <c r="BA75" s="23"/>
      <c r="BB75" s="78" t="s">
        <v>122</v>
      </c>
      <c r="BC75" s="78">
        <v>949</v>
      </c>
      <c r="BD75" s="91">
        <v>26.273532668881501</v>
      </c>
      <c r="BE75" s="13"/>
      <c r="BF75" s="78" t="s">
        <v>122</v>
      </c>
      <c r="BG75" s="111">
        <v>665</v>
      </c>
      <c r="BH75" s="91">
        <v>23.390784382694299</v>
      </c>
      <c r="BI75" s="23"/>
      <c r="BJ75" s="168" t="s">
        <v>122</v>
      </c>
      <c r="BK75" s="169">
        <v>846</v>
      </c>
      <c r="BL75" s="161">
        <v>0.223</v>
      </c>
      <c r="BM75" s="13"/>
      <c r="BN75" s="78" t="s">
        <v>122</v>
      </c>
      <c r="BO75" s="111">
        <v>863</v>
      </c>
      <c r="BP75" s="61">
        <v>22.156611039794608</v>
      </c>
      <c r="BQ75" s="13"/>
      <c r="BR75" s="78" t="s">
        <v>122</v>
      </c>
      <c r="BS75" s="111">
        <v>888</v>
      </c>
      <c r="BT75" s="61">
        <v>23.331581713084603</v>
      </c>
    </row>
    <row r="76" spans="1:72" ht="15">
      <c r="A76" s="78" t="s">
        <v>123</v>
      </c>
      <c r="B76" s="79">
        <v>165</v>
      </c>
      <c r="C76" s="29">
        <v>3.1548757170172101</v>
      </c>
      <c r="D76" s="79">
        <v>178</v>
      </c>
      <c r="E76" s="80">
        <v>3.4276911226651299</v>
      </c>
      <c r="F76" s="79">
        <v>149</v>
      </c>
      <c r="G76" s="80">
        <v>2.9022204908453402</v>
      </c>
      <c r="H76" s="13"/>
      <c r="I76" s="78" t="s">
        <v>123</v>
      </c>
      <c r="J76" s="78">
        <v>135</v>
      </c>
      <c r="K76" s="39">
        <v>2.7294783663566515</v>
      </c>
      <c r="L76" s="13"/>
      <c r="M76" s="78" t="s">
        <v>123</v>
      </c>
      <c r="N76" s="78">
        <v>174</v>
      </c>
      <c r="O76" s="91">
        <v>3.268833364643998</v>
      </c>
      <c r="P76" s="13"/>
      <c r="Q76" s="78" t="s">
        <v>123</v>
      </c>
      <c r="R76" s="78">
        <v>161</v>
      </c>
      <c r="S76" s="91">
        <v>3.0285929270127916</v>
      </c>
      <c r="T76" s="13"/>
      <c r="U76" s="13"/>
      <c r="V76" s="78" t="s">
        <v>123</v>
      </c>
      <c r="W76" s="78">
        <v>174</v>
      </c>
      <c r="X76" s="91">
        <v>3.30609918297549</v>
      </c>
      <c r="Y76" s="13"/>
      <c r="Z76" s="78" t="s">
        <v>123</v>
      </c>
      <c r="AA76" s="78">
        <v>156</v>
      </c>
      <c r="AB76" s="91">
        <v>2.8776978417266199</v>
      </c>
      <c r="AC76" s="13"/>
      <c r="AD76" s="78" t="s">
        <v>123</v>
      </c>
      <c r="AE76" s="78">
        <v>174</v>
      </c>
      <c r="AF76" s="105">
        <v>3.21805067505086</v>
      </c>
      <c r="AG76" s="13"/>
      <c r="AH76" s="78" t="s">
        <v>123</v>
      </c>
      <c r="AI76" s="78">
        <v>139</v>
      </c>
      <c r="AJ76" s="105">
        <v>3.3943833943833899</v>
      </c>
      <c r="AK76" s="13"/>
      <c r="AL76" s="78" t="s">
        <v>123</v>
      </c>
      <c r="AM76" s="78">
        <v>166</v>
      </c>
      <c r="AN76" s="105">
        <v>3.5969664138678201</v>
      </c>
      <c r="AO76" s="13"/>
      <c r="AP76" s="78" t="s">
        <v>123</v>
      </c>
      <c r="AQ76" s="78">
        <v>107</v>
      </c>
      <c r="AR76" s="105">
        <v>3.17413230495402</v>
      </c>
      <c r="AS76" s="13"/>
      <c r="AT76" s="78" t="s">
        <v>123</v>
      </c>
      <c r="AU76" s="78">
        <v>156</v>
      </c>
      <c r="AV76" s="105">
        <v>3.7187127532777113</v>
      </c>
      <c r="AW76" s="13"/>
      <c r="AX76" s="78" t="s">
        <v>123</v>
      </c>
      <c r="AY76" s="78">
        <v>110</v>
      </c>
      <c r="AZ76" s="91">
        <v>2.7834008097165999</v>
      </c>
      <c r="BA76" s="23"/>
      <c r="BB76" s="78" t="s">
        <v>123</v>
      </c>
      <c r="BC76" s="78">
        <v>101</v>
      </c>
      <c r="BD76" s="91">
        <v>2.7962347729789601</v>
      </c>
      <c r="BE76" s="13"/>
      <c r="BF76" s="78" t="s">
        <v>123</v>
      </c>
      <c r="BG76" s="111">
        <v>84</v>
      </c>
      <c r="BH76" s="91">
        <v>2.95462539570876</v>
      </c>
      <c r="BI76" s="23"/>
      <c r="BJ76" s="168" t="s">
        <v>123</v>
      </c>
      <c r="BK76" s="169">
        <v>107</v>
      </c>
      <c r="BL76" s="161">
        <v>2.8000000000000001E-2</v>
      </c>
      <c r="BM76" s="13"/>
      <c r="BN76" s="78" t="s">
        <v>123</v>
      </c>
      <c r="BO76" s="111">
        <v>122</v>
      </c>
      <c r="BP76" s="61">
        <v>3.1322207958921697</v>
      </c>
      <c r="BQ76" s="13"/>
      <c r="BR76" s="78" t="s">
        <v>123</v>
      </c>
      <c r="BS76" s="111">
        <v>106</v>
      </c>
      <c r="BT76" s="61">
        <v>2.7850761954808196</v>
      </c>
    </row>
    <row r="77" spans="1:72" ht="15">
      <c r="A77" s="78" t="s">
        <v>124</v>
      </c>
      <c r="B77" s="79">
        <v>31</v>
      </c>
      <c r="C77" s="29">
        <v>0.59273422562141498</v>
      </c>
      <c r="D77" s="79">
        <v>12</v>
      </c>
      <c r="E77" s="80">
        <v>0.23108030040439101</v>
      </c>
      <c r="F77" s="79">
        <v>13</v>
      </c>
      <c r="G77" s="80">
        <v>0.253213868328789</v>
      </c>
      <c r="H77" s="13"/>
      <c r="I77" s="78" t="s">
        <v>124</v>
      </c>
      <c r="J77" s="78">
        <v>8</v>
      </c>
      <c r="K77" s="39">
        <v>0.16174686615446826</v>
      </c>
      <c r="L77" s="13"/>
      <c r="M77" s="78" t="s">
        <v>124</v>
      </c>
      <c r="N77" s="78">
        <v>19</v>
      </c>
      <c r="O77" s="91">
        <v>0.35694157430020662</v>
      </c>
      <c r="P77" s="13"/>
      <c r="Q77" s="78" t="s">
        <v>124</v>
      </c>
      <c r="R77" s="78">
        <v>9</v>
      </c>
      <c r="S77" s="91">
        <v>0.16930022573363432</v>
      </c>
      <c r="T77" s="13"/>
      <c r="U77" s="13"/>
      <c r="V77" s="78" t="s">
        <v>124</v>
      </c>
      <c r="W77" s="78">
        <v>9</v>
      </c>
      <c r="X77" s="91">
        <v>0.17100513015390501</v>
      </c>
      <c r="Y77" s="13"/>
      <c r="Z77" s="78" t="s">
        <v>124</v>
      </c>
      <c r="AA77" s="78">
        <v>30</v>
      </c>
      <c r="AB77" s="91">
        <v>0.55340343110127299</v>
      </c>
      <c r="AC77" s="13"/>
      <c r="AD77" s="78" t="s">
        <v>124</v>
      </c>
      <c r="AE77" s="78">
        <v>17</v>
      </c>
      <c r="AF77" s="105">
        <v>0.31440724986129098</v>
      </c>
      <c r="AG77" s="13"/>
      <c r="AH77" s="78" t="s">
        <v>124</v>
      </c>
      <c r="AI77" s="78">
        <v>7</v>
      </c>
      <c r="AJ77" s="105">
        <v>0.170940170940171</v>
      </c>
      <c r="AK77" s="13"/>
      <c r="AL77" s="78" t="s">
        <v>124</v>
      </c>
      <c r="AM77" s="78">
        <v>25</v>
      </c>
      <c r="AN77" s="105">
        <v>0.541711809317443</v>
      </c>
      <c r="AO77" s="13"/>
      <c r="AP77" s="78" t="s">
        <v>124</v>
      </c>
      <c r="AQ77" s="78">
        <v>11</v>
      </c>
      <c r="AR77" s="105">
        <v>0.326312666864432</v>
      </c>
      <c r="AS77" s="13"/>
      <c r="AT77" s="78" t="s">
        <v>124</v>
      </c>
      <c r="AU77" s="78">
        <v>18</v>
      </c>
      <c r="AV77" s="105">
        <v>0.42908224076281287</v>
      </c>
      <c r="AW77" s="13"/>
      <c r="AX77" s="78" t="s">
        <v>124</v>
      </c>
      <c r="AY77" s="78">
        <v>13</v>
      </c>
      <c r="AZ77" s="91">
        <v>0.32894736842105299</v>
      </c>
      <c r="BA77" s="23"/>
      <c r="BB77" s="78" t="s">
        <v>124</v>
      </c>
      <c r="BC77" s="78">
        <v>6</v>
      </c>
      <c r="BD77" s="91">
        <v>0.16611295681063101</v>
      </c>
      <c r="BE77" s="13"/>
      <c r="BF77" s="78" t="s">
        <v>124</v>
      </c>
      <c r="BG77" s="111">
        <v>13</v>
      </c>
      <c r="BH77" s="91">
        <v>0.45726345409778402</v>
      </c>
      <c r="BI77" s="23"/>
      <c r="BJ77" s="168" t="s">
        <v>124</v>
      </c>
      <c r="BK77" s="169">
        <v>24</v>
      </c>
      <c r="BL77" s="161">
        <v>6.0000000000000001E-3</v>
      </c>
      <c r="BM77" s="13"/>
      <c r="BN77" s="78" t="s">
        <v>124</v>
      </c>
      <c r="BO77" s="111">
        <v>11</v>
      </c>
      <c r="BP77" s="61">
        <v>0.28241335044929394</v>
      </c>
      <c r="BQ77" s="13"/>
      <c r="BR77" s="78" t="s">
        <v>124</v>
      </c>
      <c r="BS77" s="111">
        <v>16</v>
      </c>
      <c r="BT77" s="61">
        <v>0.42038885969521805</v>
      </c>
    </row>
    <row r="78" spans="1:72" ht="15">
      <c r="A78" s="78" t="s">
        <v>125</v>
      </c>
      <c r="B78" s="79">
        <v>934</v>
      </c>
      <c r="C78" s="29">
        <v>17.858508604206499</v>
      </c>
      <c r="D78" s="79">
        <v>887</v>
      </c>
      <c r="E78" s="80">
        <v>17.0806855382245</v>
      </c>
      <c r="F78" s="79">
        <v>821</v>
      </c>
      <c r="G78" s="80">
        <v>15.9914296844566</v>
      </c>
      <c r="H78" s="13"/>
      <c r="I78" s="78" t="s">
        <v>125</v>
      </c>
      <c r="J78" s="78">
        <v>898</v>
      </c>
      <c r="K78" s="39">
        <v>18.156085725839059</v>
      </c>
      <c r="L78" s="13"/>
      <c r="M78" s="78" t="s">
        <v>125</v>
      </c>
      <c r="N78" s="78">
        <v>976</v>
      </c>
      <c r="O78" s="91">
        <v>18.335525079842192</v>
      </c>
      <c r="P78" s="13"/>
      <c r="Q78" s="78" t="s">
        <v>125</v>
      </c>
      <c r="R78" s="78">
        <v>976</v>
      </c>
      <c r="S78" s="91">
        <v>18.35966892400301</v>
      </c>
      <c r="T78" s="13"/>
      <c r="U78" s="13"/>
      <c r="V78" s="78" t="s">
        <v>125</v>
      </c>
      <c r="W78" s="78">
        <v>907</v>
      </c>
      <c r="X78" s="91">
        <v>17.233517005510201</v>
      </c>
      <c r="Y78" s="13"/>
      <c r="Z78" s="78" t="s">
        <v>125</v>
      </c>
      <c r="AA78" s="78">
        <v>950</v>
      </c>
      <c r="AB78" s="91">
        <v>17.524441984873601</v>
      </c>
      <c r="AC78" s="13"/>
      <c r="AD78" s="78" t="s">
        <v>125</v>
      </c>
      <c r="AE78" s="78">
        <v>944</v>
      </c>
      <c r="AF78" s="105">
        <v>17.458849639356401</v>
      </c>
      <c r="AG78" s="13"/>
      <c r="AH78" s="78" t="s">
        <v>125</v>
      </c>
      <c r="AI78" s="78">
        <v>728</v>
      </c>
      <c r="AJ78" s="105">
        <v>17.7777777777778</v>
      </c>
      <c r="AK78" s="13"/>
      <c r="AL78" s="78" t="s">
        <v>125</v>
      </c>
      <c r="AM78" s="78">
        <v>847</v>
      </c>
      <c r="AN78" s="105">
        <v>18.353196099674999</v>
      </c>
      <c r="AO78" s="13"/>
      <c r="AP78" s="78" t="s">
        <v>125</v>
      </c>
      <c r="AQ78" s="78">
        <v>634</v>
      </c>
      <c r="AR78" s="105">
        <v>18.80747552655</v>
      </c>
      <c r="AS78" s="13"/>
      <c r="AT78" s="78" t="s">
        <v>125</v>
      </c>
      <c r="AU78" s="78">
        <v>771</v>
      </c>
      <c r="AV78" s="105">
        <v>18.379022646007151</v>
      </c>
      <c r="AW78" s="13"/>
      <c r="AX78" s="78" t="s">
        <v>125</v>
      </c>
      <c r="AY78" s="78">
        <v>832</v>
      </c>
      <c r="AZ78" s="91">
        <v>21.052631578947398</v>
      </c>
      <c r="BA78" s="23"/>
      <c r="BB78" s="78" t="s">
        <v>125</v>
      </c>
      <c r="BC78" s="78">
        <v>706</v>
      </c>
      <c r="BD78" s="91">
        <v>19.545957918050899</v>
      </c>
      <c r="BE78" s="13"/>
      <c r="BF78" s="78" t="s">
        <v>125</v>
      </c>
      <c r="BG78" s="111">
        <v>555</v>
      </c>
      <c r="BH78" s="91">
        <v>19.521632078789999</v>
      </c>
      <c r="BI78" s="23"/>
      <c r="BJ78" s="168" t="s">
        <v>125</v>
      </c>
      <c r="BK78" s="169">
        <v>742</v>
      </c>
      <c r="BL78" s="161">
        <v>0.19500000000000001</v>
      </c>
      <c r="BM78" s="13"/>
      <c r="BN78" s="78" t="s">
        <v>125</v>
      </c>
      <c r="BO78" s="111">
        <v>720</v>
      </c>
      <c r="BP78" s="61">
        <v>18.485237483953789</v>
      </c>
      <c r="BQ78" s="13"/>
      <c r="BR78" s="78" t="s">
        <v>125</v>
      </c>
      <c r="BS78" s="111">
        <v>755</v>
      </c>
      <c r="BT78" s="61">
        <v>19.837099316868105</v>
      </c>
    </row>
    <row r="79" spans="1:72" ht="15">
      <c r="A79" s="78" t="s">
        <v>126</v>
      </c>
      <c r="B79" s="79">
        <v>17</v>
      </c>
      <c r="C79" s="29">
        <v>0.32504780114722798</v>
      </c>
      <c r="D79" s="79">
        <v>17</v>
      </c>
      <c r="E79" s="80">
        <v>0.32736375890621999</v>
      </c>
      <c r="F79" s="79">
        <v>16</v>
      </c>
      <c r="G79" s="80">
        <v>0.31164783794312401</v>
      </c>
      <c r="H79" s="13"/>
      <c r="I79" s="78" t="s">
        <v>126</v>
      </c>
      <c r="J79" s="78">
        <v>5</v>
      </c>
      <c r="K79" s="39">
        <v>0.10109179134654267</v>
      </c>
      <c r="L79" s="13"/>
      <c r="M79" s="78" t="s">
        <v>126</v>
      </c>
      <c r="N79" s="78">
        <v>10</v>
      </c>
      <c r="O79" s="91">
        <v>0.18786398647379299</v>
      </c>
      <c r="P79" s="13"/>
      <c r="Q79" s="78" t="s">
        <v>126</v>
      </c>
      <c r="R79" s="78">
        <v>12</v>
      </c>
      <c r="S79" s="91">
        <v>0.22573363431151239</v>
      </c>
      <c r="T79" s="13"/>
      <c r="U79" s="13"/>
      <c r="V79" s="78" t="s">
        <v>126</v>
      </c>
      <c r="W79" s="78">
        <v>13</v>
      </c>
      <c r="X79" s="91">
        <v>0.24700741022230699</v>
      </c>
      <c r="Y79" s="13"/>
      <c r="Z79" s="78" t="s">
        <v>126</v>
      </c>
      <c r="AA79" s="78">
        <v>5</v>
      </c>
      <c r="AB79" s="91">
        <v>9.2233905183545503E-2</v>
      </c>
      <c r="AC79" s="13"/>
      <c r="AD79" s="78" t="s">
        <v>126</v>
      </c>
      <c r="AE79" s="78">
        <v>12</v>
      </c>
      <c r="AF79" s="105">
        <v>0.22193452931385199</v>
      </c>
      <c r="AG79" s="13"/>
      <c r="AH79" s="78" t="s">
        <v>126</v>
      </c>
      <c r="AI79" s="78">
        <v>6</v>
      </c>
      <c r="AJ79" s="105">
        <v>0.146520146520147</v>
      </c>
      <c r="AK79" s="13"/>
      <c r="AL79" s="78" t="s">
        <v>126</v>
      </c>
      <c r="AM79" s="78">
        <v>13</v>
      </c>
      <c r="AN79" s="105">
        <v>0.28169014084506999</v>
      </c>
      <c r="AO79" s="13"/>
      <c r="AP79" s="78" t="s">
        <v>126</v>
      </c>
      <c r="AQ79" s="78">
        <v>8</v>
      </c>
      <c r="AR79" s="105">
        <v>0.23731830317413199</v>
      </c>
      <c r="AS79" s="13"/>
      <c r="AT79" s="78" t="s">
        <v>126</v>
      </c>
      <c r="AU79" s="78">
        <v>28</v>
      </c>
      <c r="AV79" s="105">
        <v>0.66746126340882006</v>
      </c>
      <c r="AW79" s="13"/>
      <c r="AX79" s="78" t="s">
        <v>126</v>
      </c>
      <c r="AY79" s="78">
        <v>14</v>
      </c>
      <c r="AZ79" s="91">
        <v>0.354251012145749</v>
      </c>
      <c r="BA79" s="23"/>
      <c r="BB79" s="78" t="s">
        <v>126</v>
      </c>
      <c r="BC79" s="78">
        <v>14</v>
      </c>
      <c r="BD79" s="91">
        <v>0.387596899224806</v>
      </c>
      <c r="BE79" s="13"/>
      <c r="BF79" s="78" t="s">
        <v>126</v>
      </c>
      <c r="BG79" s="111">
        <v>17</v>
      </c>
      <c r="BH79" s="91">
        <v>0.59795990151248701</v>
      </c>
      <c r="BI79" s="23"/>
      <c r="BJ79" s="168" t="s">
        <v>126</v>
      </c>
      <c r="BK79" s="169">
        <v>20</v>
      </c>
      <c r="BL79" s="161">
        <v>5.0000000000000001E-3</v>
      </c>
      <c r="BM79" s="13"/>
      <c r="BN79" s="78" t="s">
        <v>126</v>
      </c>
      <c r="BO79" s="111">
        <v>18</v>
      </c>
      <c r="BP79" s="61">
        <v>0.46213093709884473</v>
      </c>
      <c r="BQ79" s="13"/>
      <c r="BR79" s="78" t="s">
        <v>126</v>
      </c>
      <c r="BS79" s="111">
        <v>11</v>
      </c>
      <c r="BT79" s="61">
        <v>0.28901734104046239</v>
      </c>
    </row>
    <row r="80" spans="1:72" ht="15">
      <c r="A80" s="78" t="s">
        <v>127</v>
      </c>
      <c r="B80" s="79">
        <v>145</v>
      </c>
      <c r="C80" s="29">
        <v>2.7724665391969401</v>
      </c>
      <c r="D80" s="79">
        <v>121</v>
      </c>
      <c r="E80" s="80">
        <v>2.3300596957442701</v>
      </c>
      <c r="F80" s="79">
        <v>124</v>
      </c>
      <c r="G80" s="80">
        <v>2.4152707440592098</v>
      </c>
      <c r="H80" s="13"/>
      <c r="I80" s="78" t="s">
        <v>127</v>
      </c>
      <c r="J80" s="78">
        <v>105</v>
      </c>
      <c r="K80" s="39">
        <v>2.1229276182773957</v>
      </c>
      <c r="L80" s="13"/>
      <c r="M80" s="78" t="s">
        <v>127</v>
      </c>
      <c r="N80" s="78">
        <v>150</v>
      </c>
      <c r="O80" s="91">
        <v>2.8179597971068944</v>
      </c>
      <c r="P80" s="13"/>
      <c r="Q80" s="78" t="s">
        <v>127</v>
      </c>
      <c r="R80" s="78">
        <v>132</v>
      </c>
      <c r="S80" s="91">
        <v>2.4830699774266365</v>
      </c>
      <c r="T80" s="13"/>
      <c r="U80" s="13"/>
      <c r="V80" s="78" t="s">
        <v>127</v>
      </c>
      <c r="W80" s="78">
        <v>155</v>
      </c>
      <c r="X80" s="91">
        <v>2.94508835265058</v>
      </c>
      <c r="Y80" s="13"/>
      <c r="Z80" s="78" t="s">
        <v>127</v>
      </c>
      <c r="AA80" s="78">
        <v>162</v>
      </c>
      <c r="AB80" s="91">
        <v>2.9883785279468702</v>
      </c>
      <c r="AC80" s="13"/>
      <c r="AD80" s="78" t="s">
        <v>127</v>
      </c>
      <c r="AE80" s="78">
        <v>137</v>
      </c>
      <c r="AF80" s="105">
        <v>2.5337525429998098</v>
      </c>
      <c r="AG80" s="13"/>
      <c r="AH80" s="78" t="s">
        <v>127</v>
      </c>
      <c r="AI80" s="78">
        <v>122</v>
      </c>
      <c r="AJ80" s="105">
        <v>2.9792429792429802</v>
      </c>
      <c r="AK80" s="13"/>
      <c r="AL80" s="78" t="s">
        <v>127</v>
      </c>
      <c r="AM80" s="78">
        <v>109</v>
      </c>
      <c r="AN80" s="105">
        <v>2.3618634886240502</v>
      </c>
      <c r="AO80" s="13"/>
      <c r="AP80" s="78" t="s">
        <v>127</v>
      </c>
      <c r="AQ80" s="78">
        <v>105</v>
      </c>
      <c r="AR80" s="105">
        <v>3.1148027291604898</v>
      </c>
      <c r="AS80" s="13"/>
      <c r="AT80" s="78" t="s">
        <v>127</v>
      </c>
      <c r="AU80" s="78">
        <v>119</v>
      </c>
      <c r="AV80" s="105">
        <v>2.8367103694874851</v>
      </c>
      <c r="AW80" s="13"/>
      <c r="AX80" s="78" t="s">
        <v>127</v>
      </c>
      <c r="AY80" s="78">
        <v>116</v>
      </c>
      <c r="AZ80" s="91">
        <v>2.9352226720647798</v>
      </c>
      <c r="BA80" s="23"/>
      <c r="BB80" s="78" t="s">
        <v>127</v>
      </c>
      <c r="BC80" s="78">
        <v>77</v>
      </c>
      <c r="BD80" s="91">
        <v>2.1317829457364299</v>
      </c>
      <c r="BE80" s="13"/>
      <c r="BF80" s="78" t="s">
        <v>127</v>
      </c>
      <c r="BG80" s="111">
        <v>66</v>
      </c>
      <c r="BH80" s="91">
        <v>2.3214913823426002</v>
      </c>
      <c r="BI80" s="23"/>
      <c r="BJ80" s="168" t="s">
        <v>127</v>
      </c>
      <c r="BK80" s="169">
        <v>127</v>
      </c>
      <c r="BL80" s="161">
        <v>3.3000000000000002E-2</v>
      </c>
      <c r="BM80" s="13"/>
      <c r="BN80" s="78" t="s">
        <v>127</v>
      </c>
      <c r="BO80" s="111">
        <v>104</v>
      </c>
      <c r="BP80" s="61">
        <v>2.6700898587933248</v>
      </c>
      <c r="BQ80" s="13"/>
      <c r="BR80" s="78" t="s">
        <v>127</v>
      </c>
      <c r="BS80" s="111">
        <v>121</v>
      </c>
      <c r="BT80" s="61">
        <v>3.1791907514450863</v>
      </c>
    </row>
    <row r="81" spans="1:73" ht="15">
      <c r="A81" s="78" t="s">
        <v>128</v>
      </c>
      <c r="B81" s="79">
        <v>612</v>
      </c>
      <c r="C81" s="29">
        <v>11.701720841300199</v>
      </c>
      <c r="D81" s="79">
        <v>674</v>
      </c>
      <c r="E81" s="80">
        <v>12.979010206046601</v>
      </c>
      <c r="F81" s="79">
        <v>634</v>
      </c>
      <c r="G81" s="80">
        <v>12.3490455784963</v>
      </c>
      <c r="H81" s="13"/>
      <c r="I81" s="78" t="s">
        <v>128</v>
      </c>
      <c r="J81" s="78">
        <v>673</v>
      </c>
      <c r="K81" s="39">
        <v>13.606955115244643</v>
      </c>
      <c r="L81" s="13"/>
      <c r="M81" s="78" t="s">
        <v>128</v>
      </c>
      <c r="N81" s="78">
        <v>689</v>
      </c>
      <c r="O81" s="91">
        <v>12.943828668044336</v>
      </c>
      <c r="P81" s="13"/>
      <c r="Q81" s="78" t="s">
        <v>128</v>
      </c>
      <c r="R81" s="78">
        <v>677</v>
      </c>
      <c r="S81" s="91">
        <v>12.735139202407824</v>
      </c>
      <c r="T81" s="13"/>
      <c r="U81" s="13"/>
      <c r="V81" s="78" t="s">
        <v>128</v>
      </c>
      <c r="W81" s="78">
        <v>569</v>
      </c>
      <c r="X81" s="91">
        <v>10.8113243397302</v>
      </c>
      <c r="Y81" s="13"/>
      <c r="Z81" s="78" t="s">
        <v>128</v>
      </c>
      <c r="AA81" s="78">
        <v>548</v>
      </c>
      <c r="AB81" s="91">
        <v>10.108836008116601</v>
      </c>
      <c r="AC81" s="13"/>
      <c r="AD81" s="78" t="s">
        <v>128</v>
      </c>
      <c r="AE81" s="78">
        <v>619</v>
      </c>
      <c r="AF81" s="105">
        <v>11.4481228037729</v>
      </c>
      <c r="AG81" s="13"/>
      <c r="AH81" s="78" t="s">
        <v>128</v>
      </c>
      <c r="AI81" s="78">
        <v>424</v>
      </c>
      <c r="AJ81" s="105">
        <v>10.354090354090401</v>
      </c>
      <c r="AK81" s="13"/>
      <c r="AL81" s="78" t="s">
        <v>128</v>
      </c>
      <c r="AM81" s="78">
        <v>554</v>
      </c>
      <c r="AN81" s="105">
        <v>12.0043336944745</v>
      </c>
      <c r="AO81" s="13"/>
      <c r="AP81" s="78" t="s">
        <v>128</v>
      </c>
      <c r="AQ81" s="78">
        <v>450</v>
      </c>
      <c r="AR81" s="105">
        <v>13.349154553544899</v>
      </c>
      <c r="AS81" s="13"/>
      <c r="AT81" s="78" t="s">
        <v>128</v>
      </c>
      <c r="AU81" s="78">
        <v>467</v>
      </c>
      <c r="AV81" s="105">
        <v>11.132300357568534</v>
      </c>
      <c r="AW81" s="13"/>
      <c r="AX81" s="78" t="s">
        <v>128</v>
      </c>
      <c r="AY81" s="78">
        <v>539</v>
      </c>
      <c r="AZ81" s="91">
        <v>13.638663967611301</v>
      </c>
      <c r="BA81" s="23"/>
      <c r="BB81" s="78" t="s">
        <v>128</v>
      </c>
      <c r="BC81" s="78">
        <v>496</v>
      </c>
      <c r="BD81" s="91">
        <v>13.732004429678801</v>
      </c>
      <c r="BE81" s="13"/>
      <c r="BF81" s="78" t="s">
        <v>128</v>
      </c>
      <c r="BG81" s="111">
        <v>400</v>
      </c>
      <c r="BH81" s="91">
        <v>14.069644741470301</v>
      </c>
      <c r="BI81" s="23"/>
      <c r="BJ81" s="168" t="s">
        <v>128</v>
      </c>
      <c r="BK81" s="169">
        <v>566</v>
      </c>
      <c r="BL81" s="161">
        <v>0.14899999999999999</v>
      </c>
      <c r="BM81" s="13"/>
      <c r="BN81" s="78" t="s">
        <v>128</v>
      </c>
      <c r="BO81" s="111">
        <v>662</v>
      </c>
      <c r="BP81" s="61">
        <v>16.99614890885751</v>
      </c>
      <c r="BQ81" s="13"/>
      <c r="BR81" s="78" t="s">
        <v>128</v>
      </c>
      <c r="BS81" s="111">
        <v>596</v>
      </c>
      <c r="BT81" s="61">
        <v>15.659485023646875</v>
      </c>
      <c r="BU81" s="13"/>
    </row>
    <row r="82" spans="1:73" ht="15">
      <c r="A82" s="78" t="s">
        <v>129</v>
      </c>
      <c r="B82" s="79">
        <v>102</v>
      </c>
      <c r="C82" s="29">
        <v>1.9502868068833701</v>
      </c>
      <c r="D82" s="79">
        <v>112</v>
      </c>
      <c r="E82" s="80">
        <v>2.15674947044098</v>
      </c>
      <c r="F82" s="79">
        <v>105</v>
      </c>
      <c r="G82" s="80">
        <v>2.0451889365017499</v>
      </c>
      <c r="H82" s="13"/>
      <c r="I82" s="78" t="s">
        <v>129</v>
      </c>
      <c r="J82" s="78">
        <v>66</v>
      </c>
      <c r="K82" s="39">
        <v>1.3344116457743631</v>
      </c>
      <c r="L82" s="13"/>
      <c r="M82" s="78" t="s">
        <v>129</v>
      </c>
      <c r="N82" s="78">
        <v>95</v>
      </c>
      <c r="O82" s="91">
        <v>1.7847078715010332</v>
      </c>
      <c r="P82" s="13"/>
      <c r="Q82" s="78" t="s">
        <v>129</v>
      </c>
      <c r="R82" s="78">
        <v>105</v>
      </c>
      <c r="S82" s="91">
        <v>1.9751693002257338</v>
      </c>
      <c r="T82" s="13"/>
      <c r="U82" s="13"/>
      <c r="V82" s="78" t="s">
        <v>129</v>
      </c>
      <c r="W82" s="78">
        <v>102</v>
      </c>
      <c r="X82" s="91">
        <v>1.93805814174425</v>
      </c>
      <c r="Y82" s="13"/>
      <c r="Z82" s="78" t="s">
        <v>129</v>
      </c>
      <c r="AA82" s="78">
        <v>71</v>
      </c>
      <c r="AB82" s="91">
        <v>1.30972145360635</v>
      </c>
      <c r="AC82" s="13"/>
      <c r="AD82" s="78" t="s">
        <v>129</v>
      </c>
      <c r="AE82" s="78">
        <v>102</v>
      </c>
      <c r="AF82" s="105">
        <v>1.8864434991677499</v>
      </c>
      <c r="AG82" s="13"/>
      <c r="AH82" s="78" t="s">
        <v>129</v>
      </c>
      <c r="AI82" s="78">
        <v>81</v>
      </c>
      <c r="AJ82" s="105">
        <v>1.9780219780219801</v>
      </c>
      <c r="AK82" s="13"/>
      <c r="AL82" s="78" t="s">
        <v>129</v>
      </c>
      <c r="AM82" s="78">
        <v>74</v>
      </c>
      <c r="AN82" s="105">
        <v>1.6034669555796299</v>
      </c>
      <c r="AO82" s="13"/>
      <c r="AP82" s="78" t="s">
        <v>129</v>
      </c>
      <c r="AQ82" s="78">
        <v>49</v>
      </c>
      <c r="AR82" s="105">
        <v>1.45357460694156</v>
      </c>
      <c r="AS82" s="13"/>
      <c r="AT82" s="78" t="s">
        <v>129</v>
      </c>
      <c r="AU82" s="78">
        <v>77</v>
      </c>
      <c r="AV82" s="105">
        <v>1.835518474374255</v>
      </c>
      <c r="AW82" s="13"/>
      <c r="AX82" s="78" t="s">
        <v>129</v>
      </c>
      <c r="AY82" s="78">
        <v>72</v>
      </c>
      <c r="AZ82" s="91">
        <v>1.82186234817814</v>
      </c>
      <c r="BA82" s="23"/>
      <c r="BB82" s="78" t="s">
        <v>129</v>
      </c>
      <c r="BC82" s="78">
        <v>67</v>
      </c>
      <c r="BD82" s="91">
        <v>1.85492801771872</v>
      </c>
      <c r="BE82" s="13"/>
      <c r="BF82" s="78" t="s">
        <v>129</v>
      </c>
      <c r="BG82" s="111">
        <v>47</v>
      </c>
      <c r="BH82" s="91">
        <v>1.65318325712276</v>
      </c>
      <c r="BI82" s="23"/>
      <c r="BJ82" s="168" t="s">
        <v>129</v>
      </c>
      <c r="BK82" s="169">
        <v>88</v>
      </c>
      <c r="BL82" s="161">
        <v>2.3E-2</v>
      </c>
      <c r="BM82" s="13"/>
      <c r="BN82" s="78" t="s">
        <v>129</v>
      </c>
      <c r="BO82" s="111">
        <v>93</v>
      </c>
      <c r="BP82" s="61">
        <v>2.3876765083440308</v>
      </c>
      <c r="BQ82" s="13"/>
      <c r="BR82" s="78" t="s">
        <v>129</v>
      </c>
      <c r="BS82" s="111">
        <v>65</v>
      </c>
      <c r="BT82" s="61">
        <v>1.7078297425118234</v>
      </c>
      <c r="BU82" s="13"/>
    </row>
    <row r="83" spans="1:73" ht="15">
      <c r="A83" s="78" t="s">
        <v>130</v>
      </c>
      <c r="B83" s="79">
        <v>209</v>
      </c>
      <c r="C83" s="29">
        <v>3.9961759082218</v>
      </c>
      <c r="D83" s="79">
        <v>237</v>
      </c>
      <c r="E83" s="80">
        <v>4.5638359329867102</v>
      </c>
      <c r="F83" s="79">
        <v>218</v>
      </c>
      <c r="G83" s="80">
        <v>4.2462017919750696</v>
      </c>
      <c r="H83" s="13"/>
      <c r="I83" s="78" t="s">
        <v>130</v>
      </c>
      <c r="J83" s="78">
        <v>184</v>
      </c>
      <c r="K83" s="39">
        <v>3.7201779215527697</v>
      </c>
      <c r="L83" s="13"/>
      <c r="M83" s="78" t="s">
        <v>130</v>
      </c>
      <c r="N83" s="78">
        <v>261</v>
      </c>
      <c r="O83" s="91">
        <v>4.9032500469659963</v>
      </c>
      <c r="P83" s="13"/>
      <c r="Q83" s="78" t="s">
        <v>130</v>
      </c>
      <c r="R83" s="78">
        <v>215</v>
      </c>
      <c r="S83" s="91">
        <v>4.0443942814145979</v>
      </c>
      <c r="T83" s="13"/>
      <c r="U83" s="13"/>
      <c r="V83" s="78" t="s">
        <v>130</v>
      </c>
      <c r="W83" s="78">
        <v>276</v>
      </c>
      <c r="X83" s="91">
        <v>5.2441573247197404</v>
      </c>
      <c r="Y83" s="13"/>
      <c r="Z83" s="78" t="s">
        <v>130</v>
      </c>
      <c r="AA83" s="78">
        <v>264</v>
      </c>
      <c r="AB83" s="91">
        <v>4.8699501936912002</v>
      </c>
      <c r="AC83" s="13"/>
      <c r="AD83" s="78" t="s">
        <v>130</v>
      </c>
      <c r="AE83" s="78">
        <v>241</v>
      </c>
      <c r="AF83" s="105">
        <v>4.4571851303865397</v>
      </c>
      <c r="AG83" s="13"/>
      <c r="AH83" s="78" t="s">
        <v>130</v>
      </c>
      <c r="AI83" s="78">
        <v>191</v>
      </c>
      <c r="AJ83" s="105">
        <v>4.6642246642246601</v>
      </c>
      <c r="AK83" s="13"/>
      <c r="AL83" s="78" t="s">
        <v>130</v>
      </c>
      <c r="AM83" s="78">
        <v>209</v>
      </c>
      <c r="AN83" s="105">
        <v>4.52871072589382</v>
      </c>
      <c r="AO83" s="13"/>
      <c r="AP83" s="78" t="s">
        <v>130</v>
      </c>
      <c r="AQ83" s="78">
        <v>224</v>
      </c>
      <c r="AR83" s="105">
        <v>6.6449124888756996</v>
      </c>
      <c r="AS83" s="13"/>
      <c r="AT83" s="78" t="s">
        <v>130</v>
      </c>
      <c r="AU83" s="78">
        <v>275</v>
      </c>
      <c r="AV83" s="105">
        <v>6.5554231227651973</v>
      </c>
      <c r="AW83" s="13"/>
      <c r="AX83" s="78" t="s">
        <v>130</v>
      </c>
      <c r="AY83" s="78">
        <v>229</v>
      </c>
      <c r="AZ83" s="91">
        <v>5.7945344129554703</v>
      </c>
      <c r="BA83" s="23"/>
      <c r="BB83" s="78" t="s">
        <v>130</v>
      </c>
      <c r="BC83" s="78">
        <v>234</v>
      </c>
      <c r="BD83" s="91">
        <v>6.4784053156146202</v>
      </c>
      <c r="BE83" s="13"/>
      <c r="BF83" s="78" t="s">
        <v>130</v>
      </c>
      <c r="BG83" s="111">
        <v>204</v>
      </c>
      <c r="BH83" s="91">
        <v>7.1755188181498397</v>
      </c>
      <c r="BI83" s="23"/>
      <c r="BJ83" s="168" t="s">
        <v>130</v>
      </c>
      <c r="BK83" s="169">
        <v>250</v>
      </c>
      <c r="BL83" s="161">
        <v>6.6000000000000003E-2</v>
      </c>
      <c r="BM83" s="13"/>
      <c r="BN83" s="78" t="s">
        <v>130</v>
      </c>
      <c r="BO83" s="111">
        <v>249</v>
      </c>
      <c r="BP83" s="61">
        <v>6.3928112965340178</v>
      </c>
      <c r="BQ83" s="13"/>
      <c r="BR83" s="78" t="s">
        <v>130</v>
      </c>
      <c r="BS83" s="111">
        <v>253</v>
      </c>
      <c r="BT83" s="61">
        <v>6.6473988439306355</v>
      </c>
      <c r="BU83" s="13"/>
    </row>
    <row r="84" spans="1:73" ht="15">
      <c r="A84" s="78" t="s">
        <v>17</v>
      </c>
      <c r="B84" s="79">
        <v>34</v>
      </c>
      <c r="C84" s="29">
        <v>0.65009560229445496</v>
      </c>
      <c r="D84" s="79">
        <v>47</v>
      </c>
      <c r="E84" s="80">
        <v>0.905064509917196</v>
      </c>
      <c r="F84" s="79">
        <v>64</v>
      </c>
      <c r="G84" s="80">
        <v>1.2465913517725</v>
      </c>
      <c r="H84" s="13"/>
      <c r="I84" s="78" t="s">
        <v>17</v>
      </c>
      <c r="J84" s="78">
        <v>52</v>
      </c>
      <c r="K84" s="39">
        <v>1.0513546300040437</v>
      </c>
      <c r="L84" s="13"/>
      <c r="M84" s="78" t="s">
        <v>17</v>
      </c>
      <c r="N84" s="78">
        <v>81</v>
      </c>
      <c r="O84" s="91">
        <v>1.5216982904377232</v>
      </c>
      <c r="P84" s="13"/>
      <c r="Q84" s="78" t="s">
        <v>17</v>
      </c>
      <c r="R84" s="78">
        <v>95</v>
      </c>
      <c r="S84" s="91">
        <v>1.7870579382994733</v>
      </c>
      <c r="T84" s="13"/>
      <c r="U84" s="13"/>
      <c r="V84" s="78" t="s">
        <v>17</v>
      </c>
      <c r="W84" s="78">
        <v>103</v>
      </c>
      <c r="X84" s="91">
        <v>1.95705871176135</v>
      </c>
      <c r="Y84" s="13"/>
      <c r="Z84" s="78" t="s">
        <v>17</v>
      </c>
      <c r="AA84" s="78">
        <v>69</v>
      </c>
      <c r="AB84" s="91">
        <v>1.2728278915329301</v>
      </c>
      <c r="AC84" s="13"/>
      <c r="AD84" s="78" t="s">
        <v>17</v>
      </c>
      <c r="AE84" s="78">
        <v>70</v>
      </c>
      <c r="AF84" s="105">
        <v>1.29461808766414</v>
      </c>
      <c r="AG84" s="13"/>
      <c r="AH84" s="78" t="s">
        <v>17</v>
      </c>
      <c r="AI84" s="78">
        <v>58</v>
      </c>
      <c r="AJ84" s="105">
        <v>1.41636141636142</v>
      </c>
      <c r="AK84" s="13"/>
      <c r="AL84" s="78" t="s">
        <v>17</v>
      </c>
      <c r="AM84" s="78">
        <v>79</v>
      </c>
      <c r="AN84" s="105">
        <v>1.7118093174431199</v>
      </c>
      <c r="AO84" s="13"/>
      <c r="AP84" s="78" t="s">
        <v>17</v>
      </c>
      <c r="AQ84" s="78">
        <v>72</v>
      </c>
      <c r="AR84" s="105">
        <v>2.1358647285671899</v>
      </c>
      <c r="AS84" s="13"/>
      <c r="AT84" s="78" t="s">
        <v>17</v>
      </c>
      <c r="AU84" s="78">
        <v>67</v>
      </c>
      <c r="AV84" s="105">
        <v>1.597139451728248</v>
      </c>
      <c r="AW84" s="13"/>
      <c r="AX84" s="78" t="s">
        <v>17</v>
      </c>
      <c r="AY84" s="78">
        <v>57</v>
      </c>
      <c r="AZ84" s="91">
        <v>1.4423076923076901</v>
      </c>
      <c r="BA84" s="23"/>
      <c r="BB84" s="78" t="s">
        <v>17</v>
      </c>
      <c r="BC84" s="78">
        <v>58</v>
      </c>
      <c r="BD84" s="91">
        <v>1.60575858250277</v>
      </c>
      <c r="BE84" s="13"/>
      <c r="BF84" s="78" t="s">
        <v>17</v>
      </c>
      <c r="BG84" s="113">
        <v>46</v>
      </c>
      <c r="BH84" s="91">
        <v>1.6180091452690799</v>
      </c>
      <c r="BI84" s="23"/>
      <c r="BJ84" s="168" t="s">
        <v>17</v>
      </c>
      <c r="BK84" s="171">
        <v>84</v>
      </c>
      <c r="BL84" s="161">
        <v>2.1999999999999999E-2</v>
      </c>
      <c r="BM84" s="13"/>
      <c r="BN84" s="78" t="s">
        <v>17</v>
      </c>
      <c r="BO84" s="113">
        <v>74</v>
      </c>
      <c r="BP84" s="61">
        <v>1.8998716302952503</v>
      </c>
      <c r="BQ84" s="13"/>
      <c r="BR84" s="78" t="s">
        <v>17</v>
      </c>
      <c r="BS84" s="113">
        <v>42</v>
      </c>
      <c r="BT84" s="61">
        <v>1.1035207566999474</v>
      </c>
      <c r="BU84" s="13"/>
    </row>
    <row r="85" spans="1:73">
      <c r="A85" s="77" t="s">
        <v>97</v>
      </c>
      <c r="B85" s="35">
        <v>5230</v>
      </c>
      <c r="C85" s="144" t="s">
        <v>112</v>
      </c>
      <c r="D85" s="35">
        <v>5193</v>
      </c>
      <c r="E85" s="144" t="s">
        <v>112</v>
      </c>
      <c r="F85" s="35">
        <v>5134</v>
      </c>
      <c r="G85" s="81">
        <v>99.999999999999986</v>
      </c>
      <c r="H85" s="14"/>
      <c r="I85" s="77" t="s">
        <v>97</v>
      </c>
      <c r="J85" s="77">
        <v>4946</v>
      </c>
      <c r="K85" s="81">
        <v>100.00000000000001</v>
      </c>
      <c r="L85" s="14"/>
      <c r="M85" s="77" t="s">
        <v>97</v>
      </c>
      <c r="N85" s="77">
        <v>5323</v>
      </c>
      <c r="O85" s="92">
        <v>99.999999999999986</v>
      </c>
      <c r="P85" s="14"/>
      <c r="Q85" s="77" t="s">
        <v>97</v>
      </c>
      <c r="R85" s="77">
        <v>5316</v>
      </c>
      <c r="S85" s="92">
        <v>100</v>
      </c>
      <c r="T85" s="14"/>
      <c r="U85" s="14"/>
      <c r="V85" s="77" t="s">
        <v>97</v>
      </c>
      <c r="W85" s="77">
        <v>5263</v>
      </c>
      <c r="X85" s="92">
        <v>100</v>
      </c>
      <c r="Y85" s="14"/>
      <c r="Z85" s="77" t="s">
        <v>97</v>
      </c>
      <c r="AA85" s="77">
        <v>5421</v>
      </c>
      <c r="AB85" s="92">
        <v>100</v>
      </c>
      <c r="AC85" s="14"/>
      <c r="AD85" s="77" t="s">
        <v>97</v>
      </c>
      <c r="AE85" s="77">
        <v>5407</v>
      </c>
      <c r="AF85" s="106">
        <v>100</v>
      </c>
      <c r="AG85" s="107"/>
      <c r="AH85" s="77" t="s">
        <v>97</v>
      </c>
      <c r="AI85" s="77">
        <v>4095</v>
      </c>
      <c r="AJ85" s="106">
        <v>100</v>
      </c>
      <c r="AK85" s="14"/>
      <c r="AL85" s="77" t="s">
        <v>97</v>
      </c>
      <c r="AM85" s="77">
        <v>4615</v>
      </c>
      <c r="AN85" s="106">
        <v>100</v>
      </c>
      <c r="AO85" s="14"/>
      <c r="AP85" s="77" t="s">
        <v>97</v>
      </c>
      <c r="AQ85" s="77">
        <v>3371</v>
      </c>
      <c r="AR85" s="106">
        <v>100</v>
      </c>
      <c r="AS85" s="14"/>
      <c r="AT85" s="77" t="s">
        <v>97</v>
      </c>
      <c r="AU85" s="77">
        <v>4195</v>
      </c>
      <c r="AV85" s="106">
        <v>100</v>
      </c>
      <c r="AW85" s="14"/>
      <c r="AX85" s="77" t="s">
        <v>97</v>
      </c>
      <c r="AY85" s="77">
        <v>3952</v>
      </c>
      <c r="AZ85" s="106">
        <v>100</v>
      </c>
      <c r="BA85" s="14"/>
      <c r="BB85" s="77" t="s">
        <v>97</v>
      </c>
      <c r="BC85" s="77">
        <v>3612</v>
      </c>
      <c r="BD85" s="106">
        <v>100</v>
      </c>
      <c r="BE85" s="14"/>
      <c r="BF85" s="77" t="s">
        <v>97</v>
      </c>
      <c r="BG85" s="114">
        <v>2843</v>
      </c>
      <c r="BH85" s="106">
        <v>100</v>
      </c>
      <c r="BI85" s="23"/>
      <c r="BJ85" s="167" t="s">
        <v>97</v>
      </c>
      <c r="BK85" s="167">
        <v>3799</v>
      </c>
      <c r="BL85" s="161">
        <v>1</v>
      </c>
      <c r="BM85" s="14"/>
      <c r="BN85" s="77" t="s">
        <v>97</v>
      </c>
      <c r="BO85" s="114">
        <v>3895</v>
      </c>
      <c r="BP85" s="61">
        <v>100</v>
      </c>
      <c r="BQ85" s="14"/>
      <c r="BR85" s="77" t="s">
        <v>97</v>
      </c>
      <c r="BS85" s="114">
        <v>3806</v>
      </c>
      <c r="BT85" s="61">
        <v>100</v>
      </c>
      <c r="BU85" s="14"/>
    </row>
    <row r="86" spans="1:73">
      <c r="A86" s="13"/>
      <c r="B86" s="13"/>
      <c r="C86" s="13"/>
      <c r="D86" s="23"/>
      <c r="E86" s="13"/>
      <c r="F86" s="23"/>
      <c r="G86" s="13"/>
      <c r="H86" s="2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23"/>
      <c r="AF86" s="13"/>
      <c r="AG86" s="13"/>
      <c r="AH86" s="13"/>
      <c r="AI86" s="23"/>
      <c r="AJ86" s="13"/>
      <c r="AK86" s="13"/>
      <c r="AL86" s="13"/>
      <c r="AM86" s="2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02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50"/>
      <c r="BK86" s="150"/>
      <c r="BL86" s="150"/>
      <c r="BM86" s="13"/>
      <c r="BN86" s="13"/>
      <c r="BO86" s="13"/>
      <c r="BP86" s="13"/>
      <c r="BQ86" s="13"/>
      <c r="BR86" s="13"/>
      <c r="BS86" s="13"/>
      <c r="BT86" s="13"/>
      <c r="BU86" s="13"/>
    </row>
    <row r="87" spans="1:73">
      <c r="A87" s="82" t="s">
        <v>131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50"/>
      <c r="BK87" s="150"/>
      <c r="BL87" s="150"/>
      <c r="BM87" s="13"/>
      <c r="BN87" s="13"/>
      <c r="BO87" s="13"/>
      <c r="BP87" s="13"/>
      <c r="BQ87" s="13"/>
      <c r="BR87" s="13"/>
      <c r="BS87" s="13"/>
      <c r="BT87" s="13"/>
      <c r="BU87" s="13"/>
    </row>
    <row r="88" spans="1:73">
      <c r="A88" s="83"/>
      <c r="B88" s="195" t="s">
        <v>73</v>
      </c>
      <c r="C88" s="195"/>
      <c r="D88" s="195" t="s">
        <v>74</v>
      </c>
      <c r="E88" s="195"/>
      <c r="F88" s="195" t="s">
        <v>75</v>
      </c>
      <c r="G88" s="195"/>
      <c r="H88" s="13"/>
      <c r="I88" s="83"/>
      <c r="J88" s="195" t="s">
        <v>76</v>
      </c>
      <c r="K88" s="195"/>
      <c r="L88" s="93"/>
      <c r="M88" s="83"/>
      <c r="N88" s="195" t="s">
        <v>77</v>
      </c>
      <c r="O88" s="195"/>
      <c r="P88" s="93"/>
      <c r="Q88" s="83"/>
      <c r="R88" s="195" t="s">
        <v>78</v>
      </c>
      <c r="S88" s="195"/>
      <c r="T88" s="93"/>
      <c r="U88" s="93"/>
      <c r="V88" s="83"/>
      <c r="W88" s="200" t="s">
        <v>79</v>
      </c>
      <c r="X88" s="201"/>
      <c r="Y88" s="13"/>
      <c r="Z88" s="83"/>
      <c r="AA88" s="195" t="s">
        <v>80</v>
      </c>
      <c r="AB88" s="195"/>
      <c r="AC88" s="13"/>
      <c r="AD88" s="83"/>
      <c r="AE88" s="195" t="s">
        <v>81</v>
      </c>
      <c r="AF88" s="195"/>
      <c r="AG88" s="13"/>
      <c r="AH88" s="83"/>
      <c r="AI88" s="195" t="s">
        <v>82</v>
      </c>
      <c r="AJ88" s="195"/>
      <c r="AK88" s="13"/>
      <c r="AL88" s="83"/>
      <c r="AM88" s="195" t="s">
        <v>83</v>
      </c>
      <c r="AN88" s="195"/>
      <c r="AO88" s="13"/>
      <c r="AP88" s="83"/>
      <c r="AQ88" s="195" t="s">
        <v>84</v>
      </c>
      <c r="AR88" s="195"/>
      <c r="AS88" s="13"/>
      <c r="AT88" s="83"/>
      <c r="AU88" s="195" t="s">
        <v>85</v>
      </c>
      <c r="AV88" s="195"/>
      <c r="AW88" s="13"/>
      <c r="AX88" s="83"/>
      <c r="AY88" s="195" t="s">
        <v>86</v>
      </c>
      <c r="AZ88" s="195"/>
      <c r="BA88" s="13"/>
      <c r="BB88" s="83"/>
      <c r="BC88" s="195" t="s">
        <v>87</v>
      </c>
      <c r="BD88" s="195"/>
      <c r="BE88" s="13"/>
      <c r="BF88" s="83"/>
      <c r="BG88" s="195" t="s">
        <v>88</v>
      </c>
      <c r="BH88" s="195"/>
      <c r="BI88" s="13"/>
      <c r="BJ88" s="172"/>
      <c r="BK88" s="196" t="s">
        <v>89</v>
      </c>
      <c r="BL88" s="197"/>
      <c r="BM88" s="13"/>
      <c r="BN88" s="83"/>
      <c r="BO88" s="156" t="s">
        <v>90</v>
      </c>
      <c r="BP88" s="157"/>
      <c r="BQ88" s="13"/>
      <c r="BR88" s="83"/>
      <c r="BS88" s="156" t="s">
        <v>91</v>
      </c>
      <c r="BT88" s="157"/>
      <c r="BU88" s="13"/>
    </row>
    <row r="89" spans="1:73">
      <c r="A89" s="77" t="s">
        <v>118</v>
      </c>
      <c r="B89" s="35" t="s">
        <v>97</v>
      </c>
      <c r="C89" s="35" t="s">
        <v>105</v>
      </c>
      <c r="D89" s="35" t="s">
        <v>97</v>
      </c>
      <c r="E89" s="35" t="s">
        <v>105</v>
      </c>
      <c r="F89" s="35" t="s">
        <v>97</v>
      </c>
      <c r="G89" s="35" t="s">
        <v>105</v>
      </c>
      <c r="H89" s="13"/>
      <c r="I89" s="77" t="s">
        <v>118</v>
      </c>
      <c r="J89" s="35" t="s">
        <v>97</v>
      </c>
      <c r="K89" s="35" t="s">
        <v>105</v>
      </c>
      <c r="L89" s="13"/>
      <c r="M89" s="77" t="s">
        <v>118</v>
      </c>
      <c r="N89" s="35" t="s">
        <v>97</v>
      </c>
      <c r="O89" s="35" t="s">
        <v>105</v>
      </c>
      <c r="P89" s="13"/>
      <c r="Q89" s="77" t="s">
        <v>118</v>
      </c>
      <c r="R89" s="35" t="s">
        <v>97</v>
      </c>
      <c r="S89" s="35" t="s">
        <v>105</v>
      </c>
      <c r="T89" s="13"/>
      <c r="U89" s="13"/>
      <c r="V89" s="77" t="s">
        <v>118</v>
      </c>
      <c r="W89" s="35" t="s">
        <v>97</v>
      </c>
      <c r="X89" s="35" t="s">
        <v>105</v>
      </c>
      <c r="Y89" s="13"/>
      <c r="Z89" s="77" t="s">
        <v>118</v>
      </c>
      <c r="AA89" s="35" t="s">
        <v>97</v>
      </c>
      <c r="AB89" s="35" t="s">
        <v>105</v>
      </c>
      <c r="AC89" s="13"/>
      <c r="AD89" s="77" t="s">
        <v>118</v>
      </c>
      <c r="AE89" s="35" t="s">
        <v>97</v>
      </c>
      <c r="AF89" s="35" t="s">
        <v>105</v>
      </c>
      <c r="AG89" s="13"/>
      <c r="AH89" s="77" t="s">
        <v>118</v>
      </c>
      <c r="AI89" s="35" t="s">
        <v>97</v>
      </c>
      <c r="AJ89" s="35" t="s">
        <v>105</v>
      </c>
      <c r="AK89" s="13"/>
      <c r="AL89" s="77" t="s">
        <v>118</v>
      </c>
      <c r="AM89" s="35" t="s">
        <v>97</v>
      </c>
      <c r="AN89" s="35" t="s">
        <v>105</v>
      </c>
      <c r="AO89" s="13"/>
      <c r="AP89" s="77" t="s">
        <v>118</v>
      </c>
      <c r="AQ89" s="35" t="s">
        <v>97</v>
      </c>
      <c r="AR89" s="35" t="s">
        <v>105</v>
      </c>
      <c r="AS89" s="13"/>
      <c r="AT89" s="77" t="s">
        <v>118</v>
      </c>
      <c r="AU89" s="35" t="s">
        <v>97</v>
      </c>
      <c r="AV89" s="35" t="s">
        <v>105</v>
      </c>
      <c r="AW89" s="13"/>
      <c r="AX89" s="77" t="s">
        <v>118</v>
      </c>
      <c r="AY89" s="35" t="s">
        <v>97</v>
      </c>
      <c r="AZ89" s="35" t="s">
        <v>105</v>
      </c>
      <c r="BA89" s="13"/>
      <c r="BB89" s="77" t="s">
        <v>118</v>
      </c>
      <c r="BC89" s="35" t="s">
        <v>97</v>
      </c>
      <c r="BD89" s="35" t="s">
        <v>105</v>
      </c>
      <c r="BE89" s="13"/>
      <c r="BF89" s="77" t="s">
        <v>118</v>
      </c>
      <c r="BG89" s="35" t="s">
        <v>97</v>
      </c>
      <c r="BH89" s="35" t="s">
        <v>105</v>
      </c>
      <c r="BI89" s="23"/>
      <c r="BJ89" s="167" t="s">
        <v>118</v>
      </c>
      <c r="BK89" s="166" t="s">
        <v>97</v>
      </c>
      <c r="BL89" s="166" t="s">
        <v>105</v>
      </c>
      <c r="BM89" s="13"/>
      <c r="BN89" s="77" t="s">
        <v>118</v>
      </c>
      <c r="BO89" s="35" t="s">
        <v>97</v>
      </c>
      <c r="BP89" s="35" t="s">
        <v>105</v>
      </c>
      <c r="BQ89" s="13"/>
      <c r="BR89" s="77" t="s">
        <v>118</v>
      </c>
      <c r="BS89" s="35" t="s">
        <v>97</v>
      </c>
      <c r="BT89" s="35" t="s">
        <v>105</v>
      </c>
      <c r="BU89" s="13"/>
    </row>
    <row r="90" spans="1:73">
      <c r="A90" s="84" t="s">
        <v>132</v>
      </c>
      <c r="B90" s="79">
        <v>1804</v>
      </c>
      <c r="C90" s="85">
        <v>34.493307839388102</v>
      </c>
      <c r="D90" s="79">
        <v>1759</v>
      </c>
      <c r="E90" s="80">
        <v>33.872520700943603</v>
      </c>
      <c r="F90" s="79">
        <v>1766</v>
      </c>
      <c r="G90" s="80">
        <v>34.398130112972297</v>
      </c>
      <c r="H90" s="13"/>
      <c r="I90" s="84" t="s">
        <v>132</v>
      </c>
      <c r="J90" s="94">
        <v>1679</v>
      </c>
      <c r="K90" s="94">
        <v>33.946623534169021</v>
      </c>
      <c r="L90" s="13"/>
      <c r="M90" s="84" t="s">
        <v>132</v>
      </c>
      <c r="N90" s="95">
        <v>1606</v>
      </c>
      <c r="O90" s="94">
        <v>30.170956227691153</v>
      </c>
      <c r="P90" s="13"/>
      <c r="Q90" s="84" t="s">
        <v>132</v>
      </c>
      <c r="R90" s="95">
        <v>1648</v>
      </c>
      <c r="S90" s="94">
        <v>31.000752445447706</v>
      </c>
      <c r="T90" s="13"/>
      <c r="U90" s="13"/>
      <c r="V90" s="84" t="s">
        <v>132</v>
      </c>
      <c r="W90" s="95">
        <v>1800</v>
      </c>
      <c r="X90" s="100">
        <v>34.201026030780902</v>
      </c>
      <c r="Y90" s="13"/>
      <c r="Z90" s="84" t="s">
        <v>132</v>
      </c>
      <c r="AA90" s="95">
        <v>1740</v>
      </c>
      <c r="AB90" s="100">
        <v>32.121100239985203</v>
      </c>
      <c r="AC90" s="13"/>
      <c r="AD90" s="84" t="s">
        <v>132</v>
      </c>
      <c r="AE90" s="95">
        <v>1719</v>
      </c>
      <c r="AF90" s="100">
        <v>31.792121324209401</v>
      </c>
      <c r="AG90" s="13"/>
      <c r="AH90" s="84" t="s">
        <v>132</v>
      </c>
      <c r="AI90" s="95">
        <v>1352</v>
      </c>
      <c r="AJ90" s="100">
        <v>33.015873015872998</v>
      </c>
      <c r="AK90" s="13"/>
      <c r="AL90" s="84" t="s">
        <v>132</v>
      </c>
      <c r="AM90" s="95">
        <v>1486</v>
      </c>
      <c r="AN90" s="100">
        <v>32.1993499458288</v>
      </c>
      <c r="AO90" s="13"/>
      <c r="AP90" s="84" t="s">
        <v>132</v>
      </c>
      <c r="AQ90" s="95">
        <v>1025</v>
      </c>
      <c r="AR90" s="100">
        <v>30.406407594185701</v>
      </c>
      <c r="AS90" s="13"/>
      <c r="AT90" s="84" t="s">
        <v>132</v>
      </c>
      <c r="AU90" s="95">
        <v>1191</v>
      </c>
      <c r="AV90" s="100">
        <v>28.390941597139452</v>
      </c>
      <c r="AW90" s="13"/>
      <c r="AX90" s="84" t="s">
        <v>132</v>
      </c>
      <c r="AY90" s="95">
        <v>1085</v>
      </c>
      <c r="AZ90" s="100">
        <v>27.461402176664102</v>
      </c>
      <c r="BA90" s="23"/>
      <c r="BB90" s="84" t="s">
        <v>132</v>
      </c>
      <c r="BC90" s="95">
        <v>1123</v>
      </c>
      <c r="BD90" s="100">
        <v>31.090808416389802</v>
      </c>
      <c r="BE90" s="13"/>
      <c r="BF90" s="84" t="s">
        <v>132</v>
      </c>
      <c r="BG90" s="95">
        <v>777</v>
      </c>
      <c r="BH90" s="100">
        <v>27.330284910305998</v>
      </c>
      <c r="BI90" s="23"/>
      <c r="BJ90" s="173" t="s">
        <v>132</v>
      </c>
      <c r="BK90" s="174">
        <v>939</v>
      </c>
      <c r="BL90" s="161">
        <v>0.247</v>
      </c>
      <c r="BM90" s="13"/>
      <c r="BN90" s="84" t="s">
        <v>132</v>
      </c>
      <c r="BO90" s="95">
        <v>964</v>
      </c>
      <c r="BP90" s="61">
        <v>24.749679075738126</v>
      </c>
      <c r="BQ90" s="13"/>
      <c r="BR90" s="84" t="s">
        <v>132</v>
      </c>
      <c r="BS90" s="95">
        <v>1058</v>
      </c>
      <c r="BT90" s="61">
        <v>27.798213347346294</v>
      </c>
      <c r="BU90" s="33"/>
    </row>
    <row r="91" spans="1:73">
      <c r="A91" s="84" t="s">
        <v>133</v>
      </c>
      <c r="B91" s="79">
        <v>3374</v>
      </c>
      <c r="C91" s="85">
        <v>64.512428298279204</v>
      </c>
      <c r="D91" s="79">
        <v>3402</v>
      </c>
      <c r="E91" s="80">
        <v>65.511265164644698</v>
      </c>
      <c r="F91" s="79">
        <v>3324</v>
      </c>
      <c r="G91" s="80">
        <v>64.744838332684097</v>
      </c>
      <c r="H91" s="13"/>
      <c r="I91" s="84" t="s">
        <v>133</v>
      </c>
      <c r="J91" s="94">
        <v>3224</v>
      </c>
      <c r="K91" s="94">
        <v>65.183987060250701</v>
      </c>
      <c r="L91" s="13"/>
      <c r="M91" s="84" t="s">
        <v>133</v>
      </c>
      <c r="N91" s="95">
        <v>3667</v>
      </c>
      <c r="O91" s="94">
        <v>68.88972383993989</v>
      </c>
      <c r="P91" s="13"/>
      <c r="Q91" s="84" t="s">
        <v>133</v>
      </c>
      <c r="R91" s="95">
        <v>3612</v>
      </c>
      <c r="S91" s="94">
        <v>67.945823927765232</v>
      </c>
      <c r="T91" s="13"/>
      <c r="U91" s="13"/>
      <c r="V91" s="84" t="s">
        <v>133</v>
      </c>
      <c r="W91" s="95">
        <v>3396</v>
      </c>
      <c r="X91" s="100">
        <v>64.525935778073304</v>
      </c>
      <c r="Y91" s="13"/>
      <c r="Z91" s="84" t="s">
        <v>133</v>
      </c>
      <c r="AA91" s="95">
        <v>3618</v>
      </c>
      <c r="AB91" s="100">
        <v>66.789736016245101</v>
      </c>
      <c r="AC91" s="13"/>
      <c r="AD91" s="84" t="s">
        <v>133</v>
      </c>
      <c r="AE91" s="95">
        <v>3597</v>
      </c>
      <c r="AF91" s="100">
        <v>66.524875161827296</v>
      </c>
      <c r="AG91" s="13"/>
      <c r="AH91" s="84" t="s">
        <v>133</v>
      </c>
      <c r="AI91" s="95">
        <v>2705</v>
      </c>
      <c r="AJ91" s="100">
        <v>66.056166056166006</v>
      </c>
      <c r="AK91" s="13"/>
      <c r="AL91" s="84" t="s">
        <v>133</v>
      </c>
      <c r="AM91" s="95">
        <v>3078</v>
      </c>
      <c r="AN91" s="100">
        <v>66.695557963163594</v>
      </c>
      <c r="AO91" s="13"/>
      <c r="AP91" s="84" t="s">
        <v>133</v>
      </c>
      <c r="AQ91" s="95">
        <v>2306</v>
      </c>
      <c r="AR91" s="100">
        <v>68.407000889943603</v>
      </c>
      <c r="AS91" s="13"/>
      <c r="AT91" s="84" t="s">
        <v>133</v>
      </c>
      <c r="AU91" s="95">
        <v>2935</v>
      </c>
      <c r="AV91" s="100">
        <v>69.964243146603096</v>
      </c>
      <c r="AW91" s="13"/>
      <c r="AX91" s="84" t="s">
        <v>133</v>
      </c>
      <c r="AY91" s="95">
        <v>2806</v>
      </c>
      <c r="AZ91" s="100">
        <v>71.019994937990404</v>
      </c>
      <c r="BA91" s="23"/>
      <c r="BB91" s="84" t="s">
        <v>133</v>
      </c>
      <c r="BC91" s="95">
        <v>2446</v>
      </c>
      <c r="BD91" s="100">
        <v>67.718715393134005</v>
      </c>
      <c r="BE91" s="13"/>
      <c r="BF91" s="84" t="s">
        <v>133</v>
      </c>
      <c r="BG91" s="95">
        <v>2030</v>
      </c>
      <c r="BH91" s="100">
        <v>71.403447062961703</v>
      </c>
      <c r="BI91" s="23"/>
      <c r="BJ91" s="173" t="s">
        <v>133</v>
      </c>
      <c r="BK91" s="174">
        <v>2791</v>
      </c>
      <c r="BL91" s="161">
        <v>0.73499999999999999</v>
      </c>
      <c r="BM91" s="13"/>
      <c r="BN91" s="84" t="s">
        <v>133</v>
      </c>
      <c r="BO91" s="95">
        <v>2868</v>
      </c>
      <c r="BP91" s="61">
        <v>73.632862644415923</v>
      </c>
      <c r="BQ91" s="13"/>
      <c r="BR91" s="84" t="s">
        <v>133</v>
      </c>
      <c r="BS91" s="95">
        <v>2687</v>
      </c>
      <c r="BT91" s="182">
        <v>70.599054125065692</v>
      </c>
      <c r="BU91" s="33"/>
    </row>
    <row r="92" spans="1:73">
      <c r="A92" s="84" t="s">
        <v>134</v>
      </c>
      <c r="B92" s="79">
        <v>51</v>
      </c>
      <c r="C92" s="85">
        <v>0.97514340344168304</v>
      </c>
      <c r="D92" s="79">
        <v>32</v>
      </c>
      <c r="E92" s="80">
        <v>0.61621413441170803</v>
      </c>
      <c r="F92" s="79">
        <v>44</v>
      </c>
      <c r="G92" s="80">
        <v>0.85703155434359202</v>
      </c>
      <c r="H92" s="13"/>
      <c r="I92" s="84" t="s">
        <v>134</v>
      </c>
      <c r="J92" s="94">
        <v>42</v>
      </c>
      <c r="K92" s="94">
        <v>0.84917104731095838</v>
      </c>
      <c r="L92" s="13"/>
      <c r="M92" s="84" t="s">
        <v>134</v>
      </c>
      <c r="N92" s="95">
        <v>47</v>
      </c>
      <c r="O92" s="94">
        <v>0.88296073642682693</v>
      </c>
      <c r="P92" s="13"/>
      <c r="Q92" s="84" t="s">
        <v>134</v>
      </c>
      <c r="R92" s="95">
        <v>55</v>
      </c>
      <c r="S92" s="94">
        <v>1.0346124905944321</v>
      </c>
      <c r="T92" s="13"/>
      <c r="U92" s="13"/>
      <c r="V92" s="84" t="s">
        <v>134</v>
      </c>
      <c r="W92" s="95">
        <v>67</v>
      </c>
      <c r="X92" s="100">
        <v>1.27303819114573</v>
      </c>
      <c r="Y92" s="13"/>
      <c r="Z92" s="84" t="s">
        <v>134</v>
      </c>
      <c r="AA92" s="95">
        <v>56</v>
      </c>
      <c r="AB92" s="100">
        <v>1.0337825364592901</v>
      </c>
      <c r="AC92" s="13"/>
      <c r="AD92" s="84" t="s">
        <v>134</v>
      </c>
      <c r="AE92" s="95">
        <v>91</v>
      </c>
      <c r="AF92" s="100">
        <v>1.6830035139633801</v>
      </c>
      <c r="AG92" s="13"/>
      <c r="AH92" s="84" t="s">
        <v>134</v>
      </c>
      <c r="AI92" s="95">
        <v>37</v>
      </c>
      <c r="AJ92" s="100">
        <v>0.90354090354090399</v>
      </c>
      <c r="AK92" s="13"/>
      <c r="AL92" s="84" t="s">
        <v>134</v>
      </c>
      <c r="AM92" s="95">
        <v>51</v>
      </c>
      <c r="AN92" s="100">
        <v>1.1050920910075801</v>
      </c>
      <c r="AO92" s="13"/>
      <c r="AP92" s="84" t="s">
        <v>134</v>
      </c>
      <c r="AQ92" s="95">
        <v>40</v>
      </c>
      <c r="AR92" s="100">
        <v>1.1865915158706599</v>
      </c>
      <c r="AS92" s="13"/>
      <c r="AT92" s="84" t="s">
        <v>134</v>
      </c>
      <c r="AU92" s="95">
        <v>66</v>
      </c>
      <c r="AV92" s="100">
        <v>1.5733015494636473</v>
      </c>
      <c r="AW92" s="13"/>
      <c r="AX92" s="84" t="s">
        <v>134</v>
      </c>
      <c r="AY92" s="95">
        <v>58</v>
      </c>
      <c r="AZ92" s="100">
        <v>1.4679827891673001</v>
      </c>
      <c r="BA92" s="23"/>
      <c r="BB92" s="84" t="s">
        <v>134</v>
      </c>
      <c r="BC92" s="95">
        <v>40</v>
      </c>
      <c r="BD92" s="100">
        <v>1.10741971207087</v>
      </c>
      <c r="BE92" s="13"/>
      <c r="BF92" s="84" t="s">
        <v>134</v>
      </c>
      <c r="BG92" s="95">
        <v>35</v>
      </c>
      <c r="BH92" s="100">
        <v>1.2310939148786499</v>
      </c>
      <c r="BI92" s="23"/>
      <c r="BJ92" s="173" t="s">
        <v>134</v>
      </c>
      <c r="BK92" s="174">
        <v>68</v>
      </c>
      <c r="BL92" s="161">
        <v>1.7999999999999999E-2</v>
      </c>
      <c r="BM92" s="13"/>
      <c r="BN92" s="84" t="s">
        <v>134</v>
      </c>
      <c r="BO92" s="95">
        <v>53</v>
      </c>
      <c r="BP92" s="61">
        <v>1.3607188703465982</v>
      </c>
      <c r="BQ92" s="13"/>
      <c r="BR92" s="84" t="s">
        <v>134</v>
      </c>
      <c r="BS92" s="95">
        <v>60</v>
      </c>
      <c r="BT92" s="182">
        <v>1.5764582238570677</v>
      </c>
      <c r="BU92" s="33"/>
    </row>
    <row r="93" spans="1:73">
      <c r="A93" s="84" t="s">
        <v>135</v>
      </c>
      <c r="B93" s="79">
        <v>1</v>
      </c>
      <c r="C93" s="85">
        <v>1.9120458891013398E-2</v>
      </c>
      <c r="D93" s="79">
        <v>0</v>
      </c>
      <c r="E93" s="80">
        <v>0</v>
      </c>
      <c r="F93" s="79">
        <v>0</v>
      </c>
      <c r="G93" s="80">
        <v>0</v>
      </c>
      <c r="H93" s="13"/>
      <c r="I93" s="84" t="s">
        <v>135</v>
      </c>
      <c r="J93" s="94">
        <v>1</v>
      </c>
      <c r="K93" s="94">
        <v>2.0218358269308533E-2</v>
      </c>
      <c r="L93" s="13"/>
      <c r="M93" s="84" t="s">
        <v>135</v>
      </c>
      <c r="N93" s="95">
        <v>3</v>
      </c>
      <c r="O93" s="94">
        <v>5.6359195942137896E-2</v>
      </c>
      <c r="P93" s="13"/>
      <c r="Q93" s="84" t="s">
        <v>135</v>
      </c>
      <c r="R93" s="95">
        <v>1</v>
      </c>
      <c r="S93" s="94">
        <v>1.8811136192626032E-2</v>
      </c>
      <c r="T93" s="13"/>
      <c r="U93" s="13"/>
      <c r="V93" s="84" t="s">
        <v>135</v>
      </c>
      <c r="W93" s="95">
        <v>0</v>
      </c>
      <c r="X93" s="100">
        <v>0</v>
      </c>
      <c r="Y93" s="13"/>
      <c r="Z93" s="84" t="s">
        <v>135</v>
      </c>
      <c r="AA93" s="95">
        <v>7</v>
      </c>
      <c r="AB93" s="100">
        <v>5.5381207310319397E-2</v>
      </c>
      <c r="AC93" s="13"/>
      <c r="AD93" s="84" t="s">
        <v>135</v>
      </c>
      <c r="AE93" s="95">
        <v>0</v>
      </c>
      <c r="AF93" s="100">
        <v>0</v>
      </c>
      <c r="AG93" s="13"/>
      <c r="AH93" s="84" t="s">
        <v>135</v>
      </c>
      <c r="AI93" s="95">
        <v>1</v>
      </c>
      <c r="AJ93" s="100">
        <v>2.4420024420024399E-2</v>
      </c>
      <c r="AK93" s="13"/>
      <c r="AL93" s="84" t="s">
        <v>135</v>
      </c>
      <c r="AM93" s="95">
        <v>0</v>
      </c>
      <c r="AN93" s="100">
        <v>0</v>
      </c>
      <c r="AO93" s="13"/>
      <c r="AP93" s="84" t="s">
        <v>135</v>
      </c>
      <c r="AQ93" s="95">
        <v>0</v>
      </c>
      <c r="AR93" s="100">
        <v>0</v>
      </c>
      <c r="AS93" s="13"/>
      <c r="AT93" s="84" t="s">
        <v>135</v>
      </c>
      <c r="AU93" s="95">
        <v>3</v>
      </c>
      <c r="AV93" s="100">
        <v>7.1513706793802145E-2</v>
      </c>
      <c r="AW93" s="13"/>
      <c r="AX93" s="84" t="s">
        <v>135</v>
      </c>
      <c r="AY93" s="95">
        <v>3</v>
      </c>
      <c r="AZ93" s="100">
        <v>5.0620096178182701E-2</v>
      </c>
      <c r="BA93" s="23"/>
      <c r="BB93" s="84" t="s">
        <v>135</v>
      </c>
      <c r="BC93" s="95">
        <v>3</v>
      </c>
      <c r="BD93" s="100">
        <v>8.3056478405315604E-2</v>
      </c>
      <c r="BE93" s="13"/>
      <c r="BF93" s="84" t="s">
        <v>135</v>
      </c>
      <c r="BG93" s="95">
        <v>1</v>
      </c>
      <c r="BH93" s="100">
        <v>3.5174111853675701E-2</v>
      </c>
      <c r="BI93" s="23"/>
      <c r="BJ93" s="173" t="s">
        <v>135</v>
      </c>
      <c r="BK93" s="174">
        <v>1</v>
      </c>
      <c r="BL93" s="161">
        <v>0</v>
      </c>
      <c r="BM93" s="13"/>
      <c r="BN93" s="84" t="s">
        <v>135</v>
      </c>
      <c r="BO93" s="95">
        <v>10</v>
      </c>
      <c r="BP93" s="61">
        <v>0.25673940949935814</v>
      </c>
      <c r="BQ93" s="13"/>
      <c r="BR93" s="84" t="s">
        <v>135</v>
      </c>
      <c r="BS93" s="95">
        <v>1</v>
      </c>
      <c r="BT93" s="182">
        <v>2.6274303730951128E-2</v>
      </c>
      <c r="BU93" s="33"/>
    </row>
    <row r="94" spans="1:73">
      <c r="A94" s="86" t="s">
        <v>97</v>
      </c>
      <c r="B94" s="35">
        <v>5230</v>
      </c>
      <c r="C94" s="144" t="s">
        <v>112</v>
      </c>
      <c r="D94" s="35">
        <v>5193</v>
      </c>
      <c r="E94" s="144" t="s">
        <v>112</v>
      </c>
      <c r="F94" s="35">
        <v>5134</v>
      </c>
      <c r="G94" s="144" t="s">
        <v>112</v>
      </c>
      <c r="H94" s="14"/>
      <c r="I94" s="86" t="s">
        <v>97</v>
      </c>
      <c r="J94" s="96">
        <v>4946</v>
      </c>
      <c r="K94" s="96">
        <v>99.999999999999986</v>
      </c>
      <c r="L94" s="14"/>
      <c r="M94" s="86" t="s">
        <v>97</v>
      </c>
      <c r="N94" s="97">
        <v>5323</v>
      </c>
      <c r="O94" s="96">
        <v>100</v>
      </c>
      <c r="P94" s="14"/>
      <c r="Q94" s="86" t="s">
        <v>97</v>
      </c>
      <c r="R94" s="97">
        <v>5316</v>
      </c>
      <c r="S94" s="96">
        <v>99.999999999999986</v>
      </c>
      <c r="T94" s="14"/>
      <c r="U94" s="14"/>
      <c r="V94" s="86" t="s">
        <v>97</v>
      </c>
      <c r="W94" s="97">
        <v>5263</v>
      </c>
      <c r="X94" s="101">
        <v>100</v>
      </c>
      <c r="Y94" s="14"/>
      <c r="Z94" s="86" t="s">
        <v>97</v>
      </c>
      <c r="AA94" s="97">
        <v>5421</v>
      </c>
      <c r="AB94" s="101">
        <v>100</v>
      </c>
      <c r="AC94" s="14"/>
      <c r="AD94" s="86" t="s">
        <v>97</v>
      </c>
      <c r="AE94" s="97">
        <v>5407</v>
      </c>
      <c r="AF94" s="101">
        <v>100</v>
      </c>
      <c r="AG94" s="107"/>
      <c r="AH94" s="86" t="s">
        <v>97</v>
      </c>
      <c r="AI94" s="97">
        <v>4095</v>
      </c>
      <c r="AJ94" s="101">
        <v>100</v>
      </c>
      <c r="AK94" s="14"/>
      <c r="AL94" s="86" t="s">
        <v>97</v>
      </c>
      <c r="AM94" s="97">
        <v>4615</v>
      </c>
      <c r="AN94" s="101">
        <v>100</v>
      </c>
      <c r="AO94" s="14"/>
      <c r="AP94" s="86" t="s">
        <v>97</v>
      </c>
      <c r="AQ94" s="97">
        <v>3371</v>
      </c>
      <c r="AR94" s="101">
        <v>100</v>
      </c>
      <c r="AS94" s="14"/>
      <c r="AT94" s="86" t="s">
        <v>97</v>
      </c>
      <c r="AU94" s="97">
        <v>4195</v>
      </c>
      <c r="AV94" s="101">
        <v>100</v>
      </c>
      <c r="AW94" s="14"/>
      <c r="AX94" s="86" t="s">
        <v>97</v>
      </c>
      <c r="AY94" s="97">
        <v>3952</v>
      </c>
      <c r="AZ94" s="101">
        <v>100</v>
      </c>
      <c r="BA94" s="14"/>
      <c r="BB94" s="86" t="s">
        <v>97</v>
      </c>
      <c r="BC94" s="97">
        <v>3612</v>
      </c>
      <c r="BD94" s="101">
        <v>100</v>
      </c>
      <c r="BE94" s="14"/>
      <c r="BF94" s="86" t="s">
        <v>97</v>
      </c>
      <c r="BG94" s="97">
        <v>2843</v>
      </c>
      <c r="BH94" s="101">
        <v>100</v>
      </c>
      <c r="BI94" s="23"/>
      <c r="BJ94" s="175" t="s">
        <v>97</v>
      </c>
      <c r="BK94" s="176">
        <v>3799</v>
      </c>
      <c r="BL94" s="161">
        <v>1</v>
      </c>
      <c r="BM94" s="14"/>
      <c r="BN94" s="86" t="s">
        <v>97</v>
      </c>
      <c r="BO94" s="97">
        <v>3895</v>
      </c>
      <c r="BP94" s="61">
        <v>100</v>
      </c>
      <c r="BQ94" s="14"/>
      <c r="BR94" s="86" t="s">
        <v>97</v>
      </c>
      <c r="BS94" s="97">
        <v>3806</v>
      </c>
      <c r="BT94" s="116">
        <v>1</v>
      </c>
      <c r="BU94" s="14"/>
    </row>
    <row r="95" spans="1:73">
      <c r="A95" s="13"/>
      <c r="B95" s="87"/>
      <c r="C95" s="13"/>
      <c r="D95" s="13"/>
      <c r="E95" s="87"/>
      <c r="F95" s="33"/>
      <c r="G95" s="33"/>
      <c r="H95" s="13"/>
      <c r="I95" s="13"/>
      <c r="J95" s="87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02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</row>
    <row r="96" spans="1:7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02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02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</row>
    <row r="98" spans="1:402">
      <c r="A98" s="24" t="s">
        <v>136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</row>
    <row r="99" spans="1:402" ht="15" thickBot="1">
      <c r="A99" s="24"/>
      <c r="B99" s="185" t="s">
        <v>73</v>
      </c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7" t="s">
        <v>74</v>
      </c>
      <c r="X99" s="187"/>
      <c r="Y99" s="187"/>
      <c r="Z99" s="187"/>
      <c r="AA99" s="187"/>
      <c r="AB99" s="187"/>
      <c r="AC99" s="187"/>
      <c r="AD99" s="187"/>
      <c r="AE99" s="187"/>
      <c r="AF99" s="187"/>
      <c r="AG99" s="187"/>
      <c r="AH99" s="187"/>
      <c r="AI99" s="187"/>
      <c r="AJ99" s="187"/>
      <c r="AK99" s="187"/>
      <c r="AL99" s="187"/>
      <c r="AM99" s="187"/>
      <c r="AN99" s="187"/>
      <c r="AO99" s="187"/>
      <c r="AP99" s="187" t="s">
        <v>75</v>
      </c>
      <c r="AQ99" s="187"/>
      <c r="AR99" s="187"/>
      <c r="AS99" s="187"/>
      <c r="AT99" s="187"/>
      <c r="AU99" s="187"/>
      <c r="AV99" s="187"/>
      <c r="AW99" s="187"/>
      <c r="AX99" s="187"/>
      <c r="AY99" s="187"/>
      <c r="AZ99" s="187"/>
      <c r="BA99" s="187"/>
      <c r="BB99" s="187"/>
      <c r="BC99" s="187"/>
      <c r="BD99" s="187"/>
      <c r="BE99" s="187"/>
      <c r="BF99" s="187"/>
      <c r="BG99" s="187"/>
      <c r="BH99" s="187"/>
      <c r="BI99" s="13"/>
      <c r="BJ99" s="13"/>
      <c r="BK99" s="13"/>
      <c r="BL99" s="185" t="s">
        <v>137</v>
      </c>
      <c r="BM99" s="185"/>
      <c r="BN99" s="185"/>
      <c r="BO99" s="185"/>
      <c r="BP99" s="185"/>
      <c r="BQ99" s="185"/>
      <c r="BR99" s="185"/>
      <c r="BS99" s="185"/>
      <c r="BT99" s="185"/>
      <c r="BU99" s="185"/>
      <c r="BV99" s="185"/>
      <c r="BW99" s="185"/>
      <c r="BX99" s="185"/>
      <c r="BY99" s="185"/>
      <c r="BZ99" s="185"/>
      <c r="CA99" s="185"/>
      <c r="CB99" s="185"/>
      <c r="CC99" s="185"/>
      <c r="CD99" s="185"/>
      <c r="CE99" s="185"/>
      <c r="CF99" s="13"/>
      <c r="CG99" s="185" t="s">
        <v>138</v>
      </c>
      <c r="CH99" s="185"/>
      <c r="CI99" s="185"/>
      <c r="CJ99" s="185"/>
      <c r="CK99" s="185"/>
      <c r="CL99" s="185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13"/>
      <c r="DB99" s="185" t="s">
        <v>139</v>
      </c>
      <c r="DC99" s="185"/>
      <c r="DD99" s="185"/>
      <c r="DE99" s="185"/>
      <c r="DF99" s="185"/>
      <c r="DG99" s="185"/>
      <c r="DH99" s="185"/>
      <c r="DI99" s="185"/>
      <c r="DJ99" s="185"/>
      <c r="DK99" s="185"/>
      <c r="DL99" s="185"/>
      <c r="DM99" s="185"/>
      <c r="DN99" s="185"/>
      <c r="DO99" s="185"/>
      <c r="DP99" s="185"/>
      <c r="DQ99" s="185"/>
      <c r="DR99" s="185"/>
      <c r="DS99" s="185"/>
      <c r="DT99" s="185"/>
      <c r="DU99" s="185"/>
      <c r="DV99" s="13"/>
      <c r="DW99" s="185" t="s">
        <v>140</v>
      </c>
      <c r="DX99" s="185"/>
      <c r="DY99" s="185"/>
      <c r="DZ99" s="185"/>
      <c r="EA99" s="185"/>
      <c r="EB99" s="185"/>
      <c r="EC99" s="185"/>
      <c r="ED99" s="185"/>
      <c r="EE99" s="185"/>
      <c r="EF99" s="185"/>
      <c r="EG99" s="185"/>
      <c r="EH99" s="185"/>
      <c r="EI99" s="185"/>
      <c r="EJ99" s="185"/>
      <c r="EK99" s="185"/>
      <c r="EL99" s="185"/>
      <c r="EM99" s="185"/>
      <c r="EN99" s="185"/>
      <c r="EO99" s="185"/>
      <c r="EP99" s="185"/>
      <c r="EQ99" s="13"/>
      <c r="ER99" s="185" t="s">
        <v>141</v>
      </c>
      <c r="ES99" s="185"/>
      <c r="ET99" s="185"/>
      <c r="EU99" s="185"/>
      <c r="EV99" s="185"/>
      <c r="EW99" s="185"/>
      <c r="EX99" s="185"/>
      <c r="EY99" s="185"/>
      <c r="EZ99" s="185"/>
      <c r="FA99" s="185"/>
      <c r="FB99" s="185"/>
      <c r="FC99" s="185"/>
      <c r="FD99" s="185"/>
      <c r="FE99" s="185"/>
      <c r="FF99" s="185"/>
      <c r="FG99" s="185"/>
      <c r="FH99" s="185"/>
      <c r="FI99" s="185"/>
      <c r="FJ99" s="185"/>
      <c r="FK99" s="185"/>
      <c r="FL99" s="13"/>
      <c r="FM99" s="185" t="s">
        <v>142</v>
      </c>
      <c r="FN99" s="185"/>
      <c r="FO99" s="185"/>
      <c r="FP99" s="185"/>
      <c r="FQ99" s="185"/>
      <c r="FR99" s="185"/>
      <c r="FS99" s="185"/>
      <c r="FT99" s="185"/>
      <c r="FU99" s="185"/>
      <c r="FV99" s="185"/>
      <c r="FW99" s="185"/>
      <c r="FX99" s="185"/>
      <c r="FY99" s="185"/>
      <c r="FZ99" s="185"/>
      <c r="GA99" s="185"/>
      <c r="GB99" s="185"/>
      <c r="GC99" s="185"/>
      <c r="GD99" s="185"/>
      <c r="GE99" s="185"/>
      <c r="GF99" s="185"/>
      <c r="GG99" s="13"/>
      <c r="GH99" s="185" t="s">
        <v>143</v>
      </c>
      <c r="GI99" s="185"/>
      <c r="GJ99" s="185"/>
      <c r="GK99" s="185"/>
      <c r="GL99" s="185"/>
      <c r="GM99" s="185"/>
      <c r="GN99" s="185"/>
      <c r="GO99" s="185"/>
      <c r="GP99" s="185"/>
      <c r="GQ99" s="185"/>
      <c r="GR99" s="185"/>
      <c r="GS99" s="185"/>
      <c r="GT99" s="185"/>
      <c r="GU99" s="185"/>
      <c r="GV99" s="185"/>
      <c r="GW99" s="185"/>
      <c r="GX99" s="185"/>
      <c r="GY99" s="185"/>
      <c r="GZ99" s="185"/>
      <c r="HA99" s="185"/>
      <c r="HB99" s="13"/>
      <c r="HC99" s="185" t="s">
        <v>144</v>
      </c>
      <c r="HD99" s="185"/>
      <c r="HE99" s="185"/>
      <c r="HF99" s="185"/>
      <c r="HG99" s="185"/>
      <c r="HH99" s="185"/>
      <c r="HI99" s="185"/>
      <c r="HJ99" s="185"/>
      <c r="HK99" s="185"/>
      <c r="HL99" s="185"/>
      <c r="HM99" s="185"/>
      <c r="HN99" s="185"/>
      <c r="HO99" s="185"/>
      <c r="HP99" s="185"/>
      <c r="HQ99" s="185"/>
      <c r="HR99" s="185"/>
      <c r="HS99" s="185"/>
      <c r="HT99" s="185"/>
      <c r="HU99" s="185"/>
      <c r="HV99" s="185"/>
      <c r="HW99" s="13"/>
      <c r="HX99" s="185" t="s">
        <v>145</v>
      </c>
      <c r="HY99" s="185"/>
      <c r="HZ99" s="185"/>
      <c r="IA99" s="185"/>
      <c r="IB99" s="185"/>
      <c r="IC99" s="185"/>
      <c r="ID99" s="185"/>
      <c r="IE99" s="185"/>
      <c r="IF99" s="185"/>
      <c r="IG99" s="185"/>
      <c r="IH99" s="185"/>
      <c r="II99" s="185"/>
      <c r="IJ99" s="185"/>
      <c r="IK99" s="185"/>
      <c r="IL99" s="185"/>
      <c r="IM99" s="185"/>
      <c r="IN99" s="185"/>
      <c r="IO99" s="185"/>
      <c r="IP99" s="185"/>
      <c r="IQ99" s="185"/>
      <c r="IR99" s="13"/>
      <c r="IS99" s="185" t="s">
        <v>146</v>
      </c>
      <c r="IT99" s="185"/>
      <c r="IU99" s="185"/>
      <c r="IV99" s="185"/>
      <c r="IW99" s="185"/>
      <c r="IX99" s="185"/>
      <c r="IY99" s="185"/>
      <c r="IZ99" s="185"/>
      <c r="JA99" s="185"/>
      <c r="JB99" s="185"/>
      <c r="JC99" s="185"/>
      <c r="JD99" s="185"/>
      <c r="JE99" s="185"/>
      <c r="JF99" s="185"/>
      <c r="JG99" s="185"/>
      <c r="JH99" s="185"/>
      <c r="JI99" s="185"/>
      <c r="JJ99" s="185"/>
      <c r="JK99" s="185"/>
      <c r="JL99" s="185"/>
      <c r="JM99" s="13"/>
      <c r="JN99" s="185" t="s">
        <v>147</v>
      </c>
      <c r="JO99" s="185"/>
      <c r="JP99" s="185"/>
      <c r="JQ99" s="185"/>
      <c r="JR99" s="185"/>
      <c r="JS99" s="185"/>
      <c r="JT99" s="185"/>
      <c r="JU99" s="185"/>
      <c r="JV99" s="185"/>
      <c r="JW99" s="185"/>
      <c r="JX99" s="185"/>
      <c r="JY99" s="185"/>
      <c r="JZ99" s="185"/>
      <c r="KA99" s="185"/>
      <c r="KB99" s="185"/>
      <c r="KC99" s="185"/>
      <c r="KD99" s="185"/>
      <c r="KE99" s="185"/>
      <c r="KF99" s="185"/>
      <c r="KG99" s="185"/>
      <c r="KH99" s="13"/>
      <c r="KI99" s="185" t="s">
        <v>148</v>
      </c>
      <c r="KJ99" s="185"/>
      <c r="KK99" s="185"/>
      <c r="KL99" s="185"/>
      <c r="KM99" s="185"/>
      <c r="KN99" s="185"/>
      <c r="KO99" s="185"/>
      <c r="KP99" s="185"/>
      <c r="KQ99" s="185"/>
      <c r="KR99" s="185"/>
      <c r="KS99" s="185"/>
      <c r="KT99" s="185"/>
      <c r="KU99" s="185"/>
      <c r="KV99" s="185"/>
      <c r="KW99" s="185"/>
      <c r="KX99" s="185"/>
      <c r="KY99" s="185"/>
      <c r="KZ99" s="185"/>
      <c r="LA99" s="185"/>
      <c r="LB99" s="185"/>
      <c r="LC99" s="13"/>
      <c r="LD99" s="185" t="s">
        <v>149</v>
      </c>
      <c r="LE99" s="185"/>
      <c r="LF99" s="185"/>
      <c r="LG99" s="185"/>
      <c r="LH99" s="185"/>
      <c r="LI99" s="185"/>
      <c r="LJ99" s="185"/>
      <c r="LK99" s="185"/>
      <c r="LL99" s="185"/>
      <c r="LM99" s="185"/>
      <c r="LN99" s="185"/>
      <c r="LO99" s="185"/>
      <c r="LP99" s="185"/>
      <c r="LQ99" s="185"/>
      <c r="LR99" s="185"/>
      <c r="LS99" s="185"/>
      <c r="LT99" s="185"/>
      <c r="LU99" s="185"/>
      <c r="LV99" s="185"/>
      <c r="LW99" s="185"/>
      <c r="LX99" s="185"/>
      <c r="LY99" s="185"/>
      <c r="LZ99" s="185"/>
      <c r="MA99" s="185"/>
      <c r="MB99" s="13"/>
      <c r="MC99" s="177" t="s">
        <v>150</v>
      </c>
      <c r="MD99" s="177"/>
      <c r="ME99" s="177"/>
      <c r="MF99" s="177"/>
      <c r="MG99" s="177"/>
      <c r="MH99" s="177"/>
      <c r="MI99" s="177"/>
      <c r="MJ99" s="177"/>
      <c r="MK99" s="177"/>
      <c r="ML99" s="177"/>
      <c r="MM99" s="177"/>
      <c r="MN99" s="177"/>
      <c r="MO99" s="177"/>
      <c r="MP99" s="177"/>
      <c r="MQ99" s="177"/>
      <c r="MR99" s="177"/>
      <c r="MS99" s="177"/>
      <c r="MT99" s="177"/>
      <c r="MU99" s="177"/>
      <c r="MV99" s="177"/>
      <c r="MW99" s="13"/>
      <c r="MX99" s="124" t="s">
        <v>151</v>
      </c>
      <c r="MY99" s="124"/>
      <c r="MZ99" s="124"/>
      <c r="NA99" s="124"/>
      <c r="NB99" s="124"/>
      <c r="NC99" s="124"/>
      <c r="ND99" s="124"/>
      <c r="NE99" s="124"/>
      <c r="NF99" s="124"/>
      <c r="NG99" s="124"/>
      <c r="NH99" s="124"/>
      <c r="NI99" s="124"/>
      <c r="NJ99" s="124"/>
      <c r="NK99" s="124"/>
      <c r="NL99" s="124"/>
      <c r="NM99" s="124"/>
      <c r="NN99" s="124"/>
      <c r="NO99" s="124"/>
      <c r="NP99" s="124"/>
      <c r="NQ99" s="124"/>
      <c r="NR99" s="13"/>
      <c r="NS99" s="15" t="s">
        <v>152</v>
      </c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</row>
    <row r="100" spans="1:402" ht="39" thickBot="1">
      <c r="A100" s="17" t="s">
        <v>21</v>
      </c>
      <c r="B100" s="88" t="s">
        <v>153</v>
      </c>
      <c r="C100" s="88" t="s">
        <v>154</v>
      </c>
      <c r="D100" s="88" t="s">
        <v>155</v>
      </c>
      <c r="E100" s="88" t="s">
        <v>156</v>
      </c>
      <c r="F100" s="88" t="s">
        <v>157</v>
      </c>
      <c r="G100" s="88" t="s">
        <v>158</v>
      </c>
      <c r="H100" s="88" t="s">
        <v>159</v>
      </c>
      <c r="I100" s="88" t="s">
        <v>160</v>
      </c>
      <c r="J100" s="88" t="s">
        <v>161</v>
      </c>
      <c r="K100" s="88" t="s">
        <v>162</v>
      </c>
      <c r="L100" s="88" t="s">
        <v>163</v>
      </c>
      <c r="M100" s="88" t="s">
        <v>164</v>
      </c>
      <c r="N100" s="88" t="s">
        <v>165</v>
      </c>
      <c r="O100" s="88" t="s">
        <v>166</v>
      </c>
      <c r="P100" s="88" t="s">
        <v>167</v>
      </c>
      <c r="Q100" s="88" t="s">
        <v>168</v>
      </c>
      <c r="R100" s="88" t="s">
        <v>169</v>
      </c>
      <c r="S100" s="88" t="s">
        <v>17</v>
      </c>
      <c r="T100" s="88" t="s">
        <v>97</v>
      </c>
      <c r="U100" s="103"/>
      <c r="V100" s="17" t="s">
        <v>21</v>
      </c>
      <c r="W100" s="88" t="s">
        <v>153</v>
      </c>
      <c r="X100" s="88" t="s">
        <v>154</v>
      </c>
      <c r="Y100" s="88" t="s">
        <v>155</v>
      </c>
      <c r="Z100" s="88" t="s">
        <v>156</v>
      </c>
      <c r="AA100" s="88" t="s">
        <v>157</v>
      </c>
      <c r="AB100" s="88" t="s">
        <v>158</v>
      </c>
      <c r="AC100" s="88" t="s">
        <v>159</v>
      </c>
      <c r="AD100" s="88" t="s">
        <v>160</v>
      </c>
      <c r="AE100" s="88" t="s">
        <v>161</v>
      </c>
      <c r="AF100" s="88" t="s">
        <v>162</v>
      </c>
      <c r="AG100" s="108" t="s">
        <v>163</v>
      </c>
      <c r="AH100" s="88" t="s">
        <v>164</v>
      </c>
      <c r="AI100" s="88" t="s">
        <v>165</v>
      </c>
      <c r="AJ100" s="88" t="s">
        <v>166</v>
      </c>
      <c r="AK100" s="88" t="s">
        <v>167</v>
      </c>
      <c r="AL100" s="88" t="s">
        <v>168</v>
      </c>
      <c r="AM100" s="88" t="s">
        <v>169</v>
      </c>
      <c r="AN100" s="88" t="s">
        <v>17</v>
      </c>
      <c r="AO100" s="88" t="s">
        <v>97</v>
      </c>
      <c r="AP100" s="103"/>
      <c r="AQ100" s="17" t="s">
        <v>21</v>
      </c>
      <c r="AR100" s="88" t="s">
        <v>153</v>
      </c>
      <c r="AS100" s="88" t="s">
        <v>154</v>
      </c>
      <c r="AT100" s="88" t="s">
        <v>155</v>
      </c>
      <c r="AU100" s="88" t="s">
        <v>156</v>
      </c>
      <c r="AV100" s="88" t="s">
        <v>157</v>
      </c>
      <c r="AW100" s="88" t="s">
        <v>158</v>
      </c>
      <c r="AX100" s="88" t="s">
        <v>159</v>
      </c>
      <c r="AY100" s="88" t="s">
        <v>160</v>
      </c>
      <c r="AZ100" s="88" t="s">
        <v>161</v>
      </c>
      <c r="BA100" s="88" t="s">
        <v>162</v>
      </c>
      <c r="BB100" s="88" t="s">
        <v>163</v>
      </c>
      <c r="BC100" s="88" t="s">
        <v>164</v>
      </c>
      <c r="BD100" s="88" t="s">
        <v>165</v>
      </c>
      <c r="BE100" s="88" t="s">
        <v>166</v>
      </c>
      <c r="BF100" s="88" t="s">
        <v>167</v>
      </c>
      <c r="BG100" s="88" t="s">
        <v>168</v>
      </c>
      <c r="BH100" s="88" t="s">
        <v>169</v>
      </c>
      <c r="BI100" s="88" t="s">
        <v>17</v>
      </c>
      <c r="BJ100" s="88" t="s">
        <v>97</v>
      </c>
      <c r="BK100" s="13"/>
      <c r="BL100" s="115" t="s">
        <v>21</v>
      </c>
      <c r="BM100" s="117" t="s">
        <v>153</v>
      </c>
      <c r="BN100" s="117" t="s">
        <v>154</v>
      </c>
      <c r="BO100" s="117" t="s">
        <v>155</v>
      </c>
      <c r="BP100" s="117" t="s">
        <v>156</v>
      </c>
      <c r="BQ100" s="117" t="s">
        <v>157</v>
      </c>
      <c r="BR100" s="117" t="s">
        <v>158</v>
      </c>
      <c r="BS100" s="117" t="s">
        <v>159</v>
      </c>
      <c r="BT100" s="117" t="s">
        <v>160</v>
      </c>
      <c r="BU100" s="117" t="s">
        <v>161</v>
      </c>
      <c r="BV100" s="117" t="s">
        <v>162</v>
      </c>
      <c r="BW100" s="117" t="s">
        <v>163</v>
      </c>
      <c r="BX100" s="117" t="s">
        <v>164</v>
      </c>
      <c r="BY100" s="117" t="s">
        <v>165</v>
      </c>
      <c r="BZ100" s="117" t="s">
        <v>166</v>
      </c>
      <c r="CA100" s="117" t="s">
        <v>167</v>
      </c>
      <c r="CB100" s="117" t="s">
        <v>168</v>
      </c>
      <c r="CC100" s="117" t="s">
        <v>169</v>
      </c>
      <c r="CD100" s="117" t="s">
        <v>17</v>
      </c>
      <c r="CE100" s="117" t="s">
        <v>97</v>
      </c>
      <c r="CF100" s="13"/>
      <c r="CG100" s="118" t="s">
        <v>21</v>
      </c>
      <c r="CH100" s="118" t="s">
        <v>153</v>
      </c>
      <c r="CI100" s="118" t="s">
        <v>154</v>
      </c>
      <c r="CJ100" s="118" t="s">
        <v>155</v>
      </c>
      <c r="CK100" s="118" t="s">
        <v>156</v>
      </c>
      <c r="CL100" s="118" t="s">
        <v>157</v>
      </c>
      <c r="CM100" s="118" t="s">
        <v>158</v>
      </c>
      <c r="CN100" s="118" t="s">
        <v>159</v>
      </c>
      <c r="CO100" s="118" t="s">
        <v>160</v>
      </c>
      <c r="CP100" s="118" t="s">
        <v>161</v>
      </c>
      <c r="CQ100" s="118" t="s">
        <v>162</v>
      </c>
      <c r="CR100" s="118" t="s">
        <v>163</v>
      </c>
      <c r="CS100" s="118" t="s">
        <v>164</v>
      </c>
      <c r="CT100" s="118" t="s">
        <v>165</v>
      </c>
      <c r="CU100" s="118" t="s">
        <v>166</v>
      </c>
      <c r="CV100" s="118" t="s">
        <v>167</v>
      </c>
      <c r="CW100" s="118" t="s">
        <v>168</v>
      </c>
      <c r="CX100" s="118" t="s">
        <v>169</v>
      </c>
      <c r="CY100" s="118" t="s">
        <v>17</v>
      </c>
      <c r="CZ100" s="118" t="s">
        <v>97</v>
      </c>
      <c r="DA100" s="13"/>
      <c r="DB100" s="118" t="s">
        <v>21</v>
      </c>
      <c r="DC100" s="118" t="s">
        <v>153</v>
      </c>
      <c r="DD100" s="118" t="s">
        <v>154</v>
      </c>
      <c r="DE100" s="118" t="s">
        <v>155</v>
      </c>
      <c r="DF100" s="118" t="s">
        <v>156</v>
      </c>
      <c r="DG100" s="118" t="s">
        <v>157</v>
      </c>
      <c r="DH100" s="118" t="s">
        <v>158</v>
      </c>
      <c r="DI100" s="118" t="s">
        <v>159</v>
      </c>
      <c r="DJ100" s="118" t="s">
        <v>160</v>
      </c>
      <c r="DK100" s="118" t="s">
        <v>161</v>
      </c>
      <c r="DL100" s="118" t="s">
        <v>162</v>
      </c>
      <c r="DM100" s="118" t="s">
        <v>163</v>
      </c>
      <c r="DN100" s="118" t="s">
        <v>164</v>
      </c>
      <c r="DO100" s="118" t="s">
        <v>165</v>
      </c>
      <c r="DP100" s="118" t="s">
        <v>166</v>
      </c>
      <c r="DQ100" s="118" t="s">
        <v>167</v>
      </c>
      <c r="DR100" s="118" t="s">
        <v>168</v>
      </c>
      <c r="DS100" s="118" t="s">
        <v>169</v>
      </c>
      <c r="DT100" s="118" t="s">
        <v>17</v>
      </c>
      <c r="DU100" s="118" t="s">
        <v>97</v>
      </c>
      <c r="DV100" s="13"/>
      <c r="DW100" s="118" t="s">
        <v>21</v>
      </c>
      <c r="DX100" s="118" t="s">
        <v>153</v>
      </c>
      <c r="DY100" s="118" t="s">
        <v>154</v>
      </c>
      <c r="DZ100" s="118" t="s">
        <v>155</v>
      </c>
      <c r="EA100" s="118" t="s">
        <v>156</v>
      </c>
      <c r="EB100" s="118" t="s">
        <v>157</v>
      </c>
      <c r="EC100" s="118" t="s">
        <v>158</v>
      </c>
      <c r="ED100" s="118" t="s">
        <v>159</v>
      </c>
      <c r="EE100" s="118" t="s">
        <v>160</v>
      </c>
      <c r="EF100" s="118" t="s">
        <v>161</v>
      </c>
      <c r="EG100" s="118" t="s">
        <v>162</v>
      </c>
      <c r="EH100" s="118" t="s">
        <v>163</v>
      </c>
      <c r="EI100" s="118" t="s">
        <v>164</v>
      </c>
      <c r="EJ100" s="118" t="s">
        <v>165</v>
      </c>
      <c r="EK100" s="118" t="s">
        <v>166</v>
      </c>
      <c r="EL100" s="118" t="s">
        <v>167</v>
      </c>
      <c r="EM100" s="118" t="s">
        <v>168</v>
      </c>
      <c r="EN100" s="118" t="s">
        <v>169</v>
      </c>
      <c r="EO100" s="118" t="s">
        <v>17</v>
      </c>
      <c r="EP100" s="118" t="s">
        <v>97</v>
      </c>
      <c r="EQ100" s="13"/>
      <c r="ER100" s="118" t="s">
        <v>21</v>
      </c>
      <c r="ES100" s="118" t="s">
        <v>153</v>
      </c>
      <c r="ET100" s="118" t="s">
        <v>154</v>
      </c>
      <c r="EU100" s="118" t="s">
        <v>155</v>
      </c>
      <c r="EV100" s="118" t="s">
        <v>156</v>
      </c>
      <c r="EW100" s="118" t="s">
        <v>157</v>
      </c>
      <c r="EX100" s="118" t="s">
        <v>158</v>
      </c>
      <c r="EY100" s="118" t="s">
        <v>159</v>
      </c>
      <c r="EZ100" s="118" t="s">
        <v>160</v>
      </c>
      <c r="FA100" s="118" t="s">
        <v>161</v>
      </c>
      <c r="FB100" s="118" t="s">
        <v>162</v>
      </c>
      <c r="FC100" s="118" t="s">
        <v>163</v>
      </c>
      <c r="FD100" s="118" t="s">
        <v>164</v>
      </c>
      <c r="FE100" s="118" t="s">
        <v>165</v>
      </c>
      <c r="FF100" s="118" t="s">
        <v>166</v>
      </c>
      <c r="FG100" s="118" t="s">
        <v>167</v>
      </c>
      <c r="FH100" s="118" t="s">
        <v>168</v>
      </c>
      <c r="FI100" s="118" t="s">
        <v>169</v>
      </c>
      <c r="FJ100" s="118" t="s">
        <v>17</v>
      </c>
      <c r="FK100" s="118" t="s">
        <v>97</v>
      </c>
      <c r="FL100" s="13"/>
      <c r="FM100" s="118" t="s">
        <v>21</v>
      </c>
      <c r="FN100" s="118" t="s">
        <v>153</v>
      </c>
      <c r="FO100" s="118" t="s">
        <v>154</v>
      </c>
      <c r="FP100" s="118" t="s">
        <v>155</v>
      </c>
      <c r="FQ100" s="118" t="s">
        <v>156</v>
      </c>
      <c r="FR100" s="118" t="s">
        <v>157</v>
      </c>
      <c r="FS100" s="118" t="s">
        <v>158</v>
      </c>
      <c r="FT100" s="118" t="s">
        <v>159</v>
      </c>
      <c r="FU100" s="118" t="s">
        <v>160</v>
      </c>
      <c r="FV100" s="118" t="s">
        <v>161</v>
      </c>
      <c r="FW100" s="118" t="s">
        <v>162</v>
      </c>
      <c r="FX100" s="118" t="s">
        <v>163</v>
      </c>
      <c r="FY100" s="118" t="s">
        <v>164</v>
      </c>
      <c r="FZ100" s="118" t="s">
        <v>165</v>
      </c>
      <c r="GA100" s="118" t="s">
        <v>166</v>
      </c>
      <c r="GB100" s="118" t="s">
        <v>167</v>
      </c>
      <c r="GC100" s="118" t="s">
        <v>168</v>
      </c>
      <c r="GD100" s="118" t="s">
        <v>169</v>
      </c>
      <c r="GE100" s="118" t="s">
        <v>17</v>
      </c>
      <c r="GF100" s="118" t="s">
        <v>97</v>
      </c>
      <c r="GG100" s="13"/>
      <c r="GH100" s="118" t="s">
        <v>21</v>
      </c>
      <c r="GI100" s="118" t="s">
        <v>153</v>
      </c>
      <c r="GJ100" s="118" t="s">
        <v>154</v>
      </c>
      <c r="GK100" s="118" t="s">
        <v>155</v>
      </c>
      <c r="GL100" s="118" t="s">
        <v>156</v>
      </c>
      <c r="GM100" s="118" t="s">
        <v>157</v>
      </c>
      <c r="GN100" s="118" t="s">
        <v>158</v>
      </c>
      <c r="GO100" s="118" t="s">
        <v>159</v>
      </c>
      <c r="GP100" s="118" t="s">
        <v>160</v>
      </c>
      <c r="GQ100" s="118" t="s">
        <v>161</v>
      </c>
      <c r="GR100" s="118" t="s">
        <v>162</v>
      </c>
      <c r="GS100" s="118" t="s">
        <v>163</v>
      </c>
      <c r="GT100" s="118" t="s">
        <v>164</v>
      </c>
      <c r="GU100" s="118" t="s">
        <v>165</v>
      </c>
      <c r="GV100" s="118" t="s">
        <v>166</v>
      </c>
      <c r="GW100" s="118" t="s">
        <v>167</v>
      </c>
      <c r="GX100" s="118" t="s">
        <v>168</v>
      </c>
      <c r="GY100" s="118" t="s">
        <v>169</v>
      </c>
      <c r="GZ100" s="118" t="s">
        <v>17</v>
      </c>
      <c r="HA100" s="118" t="s">
        <v>97</v>
      </c>
      <c r="HB100" s="13"/>
      <c r="HC100" s="118" t="s">
        <v>21</v>
      </c>
      <c r="HD100" s="118" t="s">
        <v>153</v>
      </c>
      <c r="HE100" s="118" t="s">
        <v>154</v>
      </c>
      <c r="HF100" s="118" t="s">
        <v>155</v>
      </c>
      <c r="HG100" s="118" t="s">
        <v>156</v>
      </c>
      <c r="HH100" s="118" t="s">
        <v>157</v>
      </c>
      <c r="HI100" s="118" t="s">
        <v>158</v>
      </c>
      <c r="HJ100" s="118" t="s">
        <v>159</v>
      </c>
      <c r="HK100" s="118" t="s">
        <v>160</v>
      </c>
      <c r="HL100" s="118" t="s">
        <v>161</v>
      </c>
      <c r="HM100" s="118" t="s">
        <v>162</v>
      </c>
      <c r="HN100" s="118" t="s">
        <v>163</v>
      </c>
      <c r="HO100" s="118" t="s">
        <v>164</v>
      </c>
      <c r="HP100" s="118" t="s">
        <v>165</v>
      </c>
      <c r="HQ100" s="118" t="s">
        <v>166</v>
      </c>
      <c r="HR100" s="118" t="s">
        <v>167</v>
      </c>
      <c r="HS100" s="118" t="s">
        <v>168</v>
      </c>
      <c r="HT100" s="118" t="s">
        <v>169</v>
      </c>
      <c r="HU100" s="118" t="s">
        <v>17</v>
      </c>
      <c r="HV100" s="118" t="s">
        <v>97</v>
      </c>
      <c r="HW100" s="13"/>
      <c r="HX100" s="118" t="s">
        <v>21</v>
      </c>
      <c r="HY100" s="118" t="s">
        <v>153</v>
      </c>
      <c r="HZ100" s="118" t="s">
        <v>154</v>
      </c>
      <c r="IA100" s="118" t="s">
        <v>155</v>
      </c>
      <c r="IB100" s="118" t="s">
        <v>156</v>
      </c>
      <c r="IC100" s="118" t="s">
        <v>157</v>
      </c>
      <c r="ID100" s="118" t="s">
        <v>158</v>
      </c>
      <c r="IE100" s="118" t="s">
        <v>159</v>
      </c>
      <c r="IF100" s="118" t="s">
        <v>160</v>
      </c>
      <c r="IG100" s="118" t="s">
        <v>161</v>
      </c>
      <c r="IH100" s="118" t="s">
        <v>162</v>
      </c>
      <c r="II100" s="118" t="s">
        <v>163</v>
      </c>
      <c r="IJ100" s="118" t="s">
        <v>164</v>
      </c>
      <c r="IK100" s="118" t="s">
        <v>165</v>
      </c>
      <c r="IL100" s="118" t="s">
        <v>166</v>
      </c>
      <c r="IM100" s="118" t="s">
        <v>167</v>
      </c>
      <c r="IN100" s="118" t="s">
        <v>168</v>
      </c>
      <c r="IO100" s="118" t="s">
        <v>169</v>
      </c>
      <c r="IP100" s="118" t="s">
        <v>17</v>
      </c>
      <c r="IQ100" s="118" t="s">
        <v>97</v>
      </c>
      <c r="IR100" s="13"/>
      <c r="IS100" s="118" t="s">
        <v>21</v>
      </c>
      <c r="IT100" s="118" t="s">
        <v>153</v>
      </c>
      <c r="IU100" s="118" t="s">
        <v>154</v>
      </c>
      <c r="IV100" s="118" t="s">
        <v>155</v>
      </c>
      <c r="IW100" s="118" t="s">
        <v>156</v>
      </c>
      <c r="IX100" s="118" t="s">
        <v>157</v>
      </c>
      <c r="IY100" s="118" t="s">
        <v>158</v>
      </c>
      <c r="IZ100" s="118" t="s">
        <v>159</v>
      </c>
      <c r="JA100" s="118" t="s">
        <v>160</v>
      </c>
      <c r="JB100" s="118" t="s">
        <v>161</v>
      </c>
      <c r="JC100" s="118" t="s">
        <v>162</v>
      </c>
      <c r="JD100" s="118" t="s">
        <v>163</v>
      </c>
      <c r="JE100" s="118" t="s">
        <v>164</v>
      </c>
      <c r="JF100" s="118" t="s">
        <v>165</v>
      </c>
      <c r="JG100" s="118" t="s">
        <v>166</v>
      </c>
      <c r="JH100" s="118" t="s">
        <v>167</v>
      </c>
      <c r="JI100" s="118" t="s">
        <v>168</v>
      </c>
      <c r="JJ100" s="118" t="s">
        <v>169</v>
      </c>
      <c r="JK100" s="118" t="s">
        <v>17</v>
      </c>
      <c r="JL100" s="118" t="s">
        <v>97</v>
      </c>
      <c r="JM100" s="13"/>
      <c r="JN100" s="120" t="s">
        <v>21</v>
      </c>
      <c r="JO100" s="121" t="s">
        <v>153</v>
      </c>
      <c r="JP100" s="121" t="s">
        <v>154</v>
      </c>
      <c r="JQ100" s="121" t="s">
        <v>155</v>
      </c>
      <c r="JR100" s="121" t="s">
        <v>156</v>
      </c>
      <c r="JS100" s="121" t="s">
        <v>157</v>
      </c>
      <c r="JT100" s="121" t="s">
        <v>158</v>
      </c>
      <c r="JU100" s="121" t="s">
        <v>159</v>
      </c>
      <c r="JV100" s="121" t="s">
        <v>160</v>
      </c>
      <c r="JW100" s="121" t="s">
        <v>161</v>
      </c>
      <c r="JX100" s="121" t="s">
        <v>162</v>
      </c>
      <c r="JY100" s="121" t="s">
        <v>163</v>
      </c>
      <c r="JZ100" s="121" t="s">
        <v>164</v>
      </c>
      <c r="KA100" s="121" t="s">
        <v>165</v>
      </c>
      <c r="KB100" s="121" t="s">
        <v>166</v>
      </c>
      <c r="KC100" s="121" t="s">
        <v>167</v>
      </c>
      <c r="KD100" s="121" t="s">
        <v>168</v>
      </c>
      <c r="KE100" s="121" t="s">
        <v>169</v>
      </c>
      <c r="KF100" s="121" t="s">
        <v>17</v>
      </c>
      <c r="KG100" s="121" t="s">
        <v>97</v>
      </c>
      <c r="KH100" s="13"/>
      <c r="KI100" s="118" t="s">
        <v>21</v>
      </c>
      <c r="KJ100" s="118" t="s">
        <v>153</v>
      </c>
      <c r="KK100" s="118" t="s">
        <v>154</v>
      </c>
      <c r="KL100" s="118" t="s">
        <v>155</v>
      </c>
      <c r="KM100" s="118" t="s">
        <v>156</v>
      </c>
      <c r="KN100" s="118" t="s">
        <v>157</v>
      </c>
      <c r="KO100" s="118" t="s">
        <v>158</v>
      </c>
      <c r="KP100" s="118" t="s">
        <v>159</v>
      </c>
      <c r="KQ100" s="118" t="s">
        <v>160</v>
      </c>
      <c r="KR100" s="118" t="s">
        <v>161</v>
      </c>
      <c r="KS100" s="118" t="s">
        <v>162</v>
      </c>
      <c r="KT100" s="118" t="s">
        <v>163</v>
      </c>
      <c r="KU100" s="118" t="s">
        <v>164</v>
      </c>
      <c r="KV100" s="118" t="s">
        <v>165</v>
      </c>
      <c r="KW100" s="118" t="s">
        <v>166</v>
      </c>
      <c r="KX100" s="118" t="s">
        <v>167</v>
      </c>
      <c r="KY100" s="118" t="s">
        <v>168</v>
      </c>
      <c r="KZ100" s="118" t="s">
        <v>169</v>
      </c>
      <c r="LA100" s="118" t="s">
        <v>17</v>
      </c>
      <c r="LB100" s="118" t="s">
        <v>97</v>
      </c>
      <c r="LC100" s="13"/>
      <c r="LD100" s="57" t="s">
        <v>21</v>
      </c>
      <c r="LE100" s="63" t="s">
        <v>153</v>
      </c>
      <c r="LF100" s="63" t="s">
        <v>154</v>
      </c>
      <c r="LG100" s="63" t="s">
        <v>155</v>
      </c>
      <c r="LH100" s="63" t="s">
        <v>170</v>
      </c>
      <c r="LI100" s="63" t="s">
        <v>156</v>
      </c>
      <c r="LJ100" s="63" t="s">
        <v>171</v>
      </c>
      <c r="LK100" s="63" t="s">
        <v>157</v>
      </c>
      <c r="LL100" s="63" t="s">
        <v>158</v>
      </c>
      <c r="LM100" s="63" t="s">
        <v>159</v>
      </c>
      <c r="LN100" s="63" t="s">
        <v>160</v>
      </c>
      <c r="LO100" s="63" t="s">
        <v>161</v>
      </c>
      <c r="LP100" s="63" t="s">
        <v>162</v>
      </c>
      <c r="LQ100" s="63" t="s">
        <v>163</v>
      </c>
      <c r="LR100" s="63" t="s">
        <v>164</v>
      </c>
      <c r="LS100" s="63" t="s">
        <v>165</v>
      </c>
      <c r="LT100" s="63" t="s">
        <v>172</v>
      </c>
      <c r="LU100" s="63" t="s">
        <v>166</v>
      </c>
      <c r="LV100" s="63" t="s">
        <v>173</v>
      </c>
      <c r="LW100" s="63" t="s">
        <v>167</v>
      </c>
      <c r="LX100" s="63" t="s">
        <v>168</v>
      </c>
      <c r="LY100" s="63" t="s">
        <v>169</v>
      </c>
      <c r="LZ100" s="63" t="s">
        <v>17</v>
      </c>
      <c r="MA100" s="63" t="s">
        <v>97</v>
      </c>
      <c r="MB100" s="13"/>
      <c r="MC100" s="178" t="s">
        <v>21</v>
      </c>
      <c r="MD100" s="179" t="s">
        <v>153</v>
      </c>
      <c r="ME100" s="179" t="s">
        <v>154</v>
      </c>
      <c r="MF100" s="179" t="s">
        <v>155</v>
      </c>
      <c r="MG100" s="179" t="s">
        <v>156</v>
      </c>
      <c r="MH100" s="179" t="s">
        <v>157</v>
      </c>
      <c r="MI100" s="179" t="s">
        <v>158</v>
      </c>
      <c r="MJ100" s="179" t="s">
        <v>159</v>
      </c>
      <c r="MK100" s="179" t="s">
        <v>160</v>
      </c>
      <c r="ML100" s="179" t="s">
        <v>161</v>
      </c>
      <c r="MM100" s="179" t="s">
        <v>162</v>
      </c>
      <c r="MN100" s="179" t="s">
        <v>163</v>
      </c>
      <c r="MO100" s="179" t="s">
        <v>164</v>
      </c>
      <c r="MP100" s="179" t="s">
        <v>165</v>
      </c>
      <c r="MQ100" s="179" t="s">
        <v>166</v>
      </c>
      <c r="MR100" s="179" t="s">
        <v>167</v>
      </c>
      <c r="MS100" s="179" t="s">
        <v>168</v>
      </c>
      <c r="MT100" s="179" t="s">
        <v>169</v>
      </c>
      <c r="MU100" s="179" t="s">
        <v>17</v>
      </c>
      <c r="MV100" s="179" t="s">
        <v>97</v>
      </c>
      <c r="MW100" s="13"/>
      <c r="MX100" s="125" t="s">
        <v>21</v>
      </c>
      <c r="MY100" s="126" t="s">
        <v>153</v>
      </c>
      <c r="MZ100" s="126" t="s">
        <v>154</v>
      </c>
      <c r="NA100" s="126" t="s">
        <v>155</v>
      </c>
      <c r="NB100" s="126" t="s">
        <v>156</v>
      </c>
      <c r="NC100" s="126" t="s">
        <v>157</v>
      </c>
      <c r="ND100" s="126" t="s">
        <v>158</v>
      </c>
      <c r="NE100" s="126" t="s">
        <v>159</v>
      </c>
      <c r="NF100" s="126" t="s">
        <v>160</v>
      </c>
      <c r="NG100" s="126" t="s">
        <v>161</v>
      </c>
      <c r="NH100" s="126" t="s">
        <v>162</v>
      </c>
      <c r="NI100" s="126" t="s">
        <v>163</v>
      </c>
      <c r="NJ100" s="126" t="s">
        <v>164</v>
      </c>
      <c r="NK100" s="126" t="s">
        <v>165</v>
      </c>
      <c r="NL100" s="126" t="s">
        <v>166</v>
      </c>
      <c r="NM100" s="126" t="s">
        <v>167</v>
      </c>
      <c r="NN100" s="126" t="s">
        <v>168</v>
      </c>
      <c r="NO100" s="126" t="s">
        <v>169</v>
      </c>
      <c r="NP100" s="126" t="s">
        <v>17</v>
      </c>
      <c r="NQ100" s="126" t="s">
        <v>97</v>
      </c>
      <c r="NR100" s="13"/>
      <c r="NS100" s="125" t="s">
        <v>21</v>
      </c>
      <c r="NT100" s="126" t="s">
        <v>153</v>
      </c>
      <c r="NU100" s="126" t="s">
        <v>154</v>
      </c>
      <c r="NV100" s="126" t="s">
        <v>155</v>
      </c>
      <c r="NW100" s="126" t="s">
        <v>156</v>
      </c>
      <c r="NX100" s="126" t="s">
        <v>157</v>
      </c>
      <c r="NY100" s="126" t="s">
        <v>158</v>
      </c>
      <c r="NZ100" s="126" t="s">
        <v>159</v>
      </c>
      <c r="OA100" s="126" t="s">
        <v>160</v>
      </c>
      <c r="OB100" s="126" t="s">
        <v>161</v>
      </c>
      <c r="OC100" s="126" t="s">
        <v>162</v>
      </c>
      <c r="OD100" s="126" t="s">
        <v>163</v>
      </c>
      <c r="OE100" s="126" t="s">
        <v>164</v>
      </c>
      <c r="OF100" s="126" t="s">
        <v>165</v>
      </c>
      <c r="OG100" s="126" t="s">
        <v>166</v>
      </c>
      <c r="OH100" s="126" t="s">
        <v>167</v>
      </c>
      <c r="OI100" s="126" t="s">
        <v>168</v>
      </c>
      <c r="OJ100" s="126" t="s">
        <v>169</v>
      </c>
      <c r="OK100" s="126" t="s">
        <v>17</v>
      </c>
      <c r="OL100" s="126" t="s">
        <v>97</v>
      </c>
    </row>
    <row r="101" spans="1:402" ht="15.5" thickBot="1">
      <c r="A101" s="17" t="s">
        <v>33</v>
      </c>
      <c r="B101" s="89">
        <v>19</v>
      </c>
      <c r="C101" s="89">
        <v>0</v>
      </c>
      <c r="D101" s="89">
        <v>4</v>
      </c>
      <c r="E101" s="89">
        <v>0</v>
      </c>
      <c r="F101" s="89">
        <v>3</v>
      </c>
      <c r="G101" s="89">
        <v>0</v>
      </c>
      <c r="H101" s="89">
        <v>0</v>
      </c>
      <c r="I101" s="89">
        <v>5</v>
      </c>
      <c r="J101" s="89">
        <v>0</v>
      </c>
      <c r="K101" s="89">
        <v>0</v>
      </c>
      <c r="L101" s="89">
        <v>3</v>
      </c>
      <c r="M101" s="89">
        <v>0</v>
      </c>
      <c r="N101" s="89">
        <v>0</v>
      </c>
      <c r="O101" s="89">
        <v>0</v>
      </c>
      <c r="P101" s="89">
        <v>0</v>
      </c>
      <c r="Q101" s="89">
        <v>0</v>
      </c>
      <c r="R101" s="89">
        <v>2</v>
      </c>
      <c r="S101" s="89">
        <v>1</v>
      </c>
      <c r="T101" s="89">
        <v>37</v>
      </c>
      <c r="U101" s="104"/>
      <c r="V101" s="17" t="s">
        <v>33</v>
      </c>
      <c r="W101" s="89">
        <v>7</v>
      </c>
      <c r="X101" s="89">
        <v>0</v>
      </c>
      <c r="Y101" s="89">
        <v>10</v>
      </c>
      <c r="Z101" s="89">
        <v>1</v>
      </c>
      <c r="AA101" s="89">
        <v>4</v>
      </c>
      <c r="AB101" s="89">
        <v>0</v>
      </c>
      <c r="AC101" s="89">
        <v>0</v>
      </c>
      <c r="AD101" s="89">
        <v>3</v>
      </c>
      <c r="AE101" s="89">
        <v>0</v>
      </c>
      <c r="AF101" s="89">
        <v>0</v>
      </c>
      <c r="AG101" s="109">
        <v>3</v>
      </c>
      <c r="AH101" s="89">
        <v>0</v>
      </c>
      <c r="AI101" s="89">
        <v>0</v>
      </c>
      <c r="AJ101" s="89">
        <v>0</v>
      </c>
      <c r="AK101" s="89">
        <v>0</v>
      </c>
      <c r="AL101" s="89">
        <v>0</v>
      </c>
      <c r="AM101" s="89">
        <v>7</v>
      </c>
      <c r="AN101" s="89">
        <v>1</v>
      </c>
      <c r="AO101" s="89">
        <v>36</v>
      </c>
      <c r="AP101" s="104"/>
      <c r="AQ101" s="17" t="s">
        <v>33</v>
      </c>
      <c r="AR101" s="89">
        <v>20</v>
      </c>
      <c r="AS101" s="89">
        <v>0</v>
      </c>
      <c r="AT101" s="89">
        <v>1</v>
      </c>
      <c r="AU101" s="89">
        <v>1</v>
      </c>
      <c r="AV101" s="89">
        <v>1</v>
      </c>
      <c r="AW101" s="89">
        <v>1</v>
      </c>
      <c r="AX101" s="89">
        <v>0</v>
      </c>
      <c r="AY101" s="89">
        <v>0</v>
      </c>
      <c r="AZ101" s="89">
        <v>3</v>
      </c>
      <c r="BA101" s="89">
        <v>0</v>
      </c>
      <c r="BB101" s="89">
        <v>4</v>
      </c>
      <c r="BC101" s="89">
        <v>0</v>
      </c>
      <c r="BD101" s="89">
        <v>0</v>
      </c>
      <c r="BE101" s="89">
        <v>0</v>
      </c>
      <c r="BF101" s="89">
        <v>0</v>
      </c>
      <c r="BG101" s="89">
        <v>0</v>
      </c>
      <c r="BH101" s="89">
        <v>0</v>
      </c>
      <c r="BI101" s="89">
        <v>1</v>
      </c>
      <c r="BJ101" s="89">
        <v>32</v>
      </c>
      <c r="BK101" s="13"/>
      <c r="BL101" s="115" t="s">
        <v>33</v>
      </c>
      <c r="BM101" s="118">
        <v>4</v>
      </c>
      <c r="BN101" s="118">
        <v>0</v>
      </c>
      <c r="BO101" s="118">
        <v>5</v>
      </c>
      <c r="BP101" s="118">
        <v>0</v>
      </c>
      <c r="BQ101" s="118">
        <v>5</v>
      </c>
      <c r="BR101" s="118">
        <v>0</v>
      </c>
      <c r="BS101" s="118">
        <v>0</v>
      </c>
      <c r="BT101" s="118">
        <v>4</v>
      </c>
      <c r="BU101" s="118">
        <v>2</v>
      </c>
      <c r="BV101" s="118">
        <v>0</v>
      </c>
      <c r="BW101" s="118">
        <v>3</v>
      </c>
      <c r="BX101" s="118">
        <v>0</v>
      </c>
      <c r="BY101" s="118">
        <v>0</v>
      </c>
      <c r="BZ101" s="118">
        <v>1</v>
      </c>
      <c r="CA101" s="118">
        <v>0</v>
      </c>
      <c r="CB101" s="118">
        <v>0</v>
      </c>
      <c r="CC101" s="118">
        <v>0</v>
      </c>
      <c r="CD101" s="118">
        <v>0</v>
      </c>
      <c r="CE101" s="119">
        <v>24</v>
      </c>
      <c r="CF101" s="13"/>
      <c r="CG101" s="118" t="s">
        <v>33</v>
      </c>
      <c r="CH101" s="118">
        <v>8</v>
      </c>
      <c r="CI101" s="118">
        <v>0</v>
      </c>
      <c r="CJ101" s="118">
        <v>2</v>
      </c>
      <c r="CK101" s="118">
        <v>0</v>
      </c>
      <c r="CL101" s="118">
        <v>7</v>
      </c>
      <c r="CM101" s="118">
        <v>0</v>
      </c>
      <c r="CN101" s="118">
        <v>0</v>
      </c>
      <c r="CO101" s="118">
        <v>2</v>
      </c>
      <c r="CP101" s="118">
        <v>1</v>
      </c>
      <c r="CQ101" s="118">
        <v>0</v>
      </c>
      <c r="CR101" s="118">
        <v>2</v>
      </c>
      <c r="CS101" s="118">
        <v>0</v>
      </c>
      <c r="CT101" s="118">
        <v>0</v>
      </c>
      <c r="CU101" s="118">
        <v>0</v>
      </c>
      <c r="CV101" s="118">
        <v>0</v>
      </c>
      <c r="CW101" s="118">
        <v>2</v>
      </c>
      <c r="CX101" s="118">
        <v>0</v>
      </c>
      <c r="CY101" s="118">
        <v>3</v>
      </c>
      <c r="CZ101" s="118">
        <v>27</v>
      </c>
      <c r="DA101" s="13"/>
      <c r="DB101" s="118" t="s">
        <v>33</v>
      </c>
      <c r="DC101" s="118">
        <v>20</v>
      </c>
      <c r="DD101" s="118">
        <v>0</v>
      </c>
      <c r="DE101" s="118">
        <v>5</v>
      </c>
      <c r="DF101" s="118">
        <v>1</v>
      </c>
      <c r="DG101" s="118">
        <v>8</v>
      </c>
      <c r="DH101" s="118">
        <v>0</v>
      </c>
      <c r="DI101" s="118">
        <v>0</v>
      </c>
      <c r="DJ101" s="118">
        <v>3</v>
      </c>
      <c r="DK101" s="118">
        <v>0</v>
      </c>
      <c r="DL101" s="118">
        <v>0</v>
      </c>
      <c r="DM101" s="118">
        <v>2</v>
      </c>
      <c r="DN101" s="118">
        <v>1</v>
      </c>
      <c r="DO101" s="118">
        <v>0</v>
      </c>
      <c r="DP101" s="118">
        <v>1</v>
      </c>
      <c r="DQ101" s="118">
        <v>0</v>
      </c>
      <c r="DR101" s="118">
        <v>0</v>
      </c>
      <c r="DS101" s="118">
        <v>0</v>
      </c>
      <c r="DT101" s="118">
        <v>0</v>
      </c>
      <c r="DU101" s="118">
        <v>41</v>
      </c>
      <c r="DV101" s="13"/>
      <c r="DW101" s="118" t="s">
        <v>33</v>
      </c>
      <c r="DX101" s="118">
        <v>21</v>
      </c>
      <c r="DY101" s="118">
        <v>0</v>
      </c>
      <c r="DZ101" s="118">
        <v>7</v>
      </c>
      <c r="EA101" s="118">
        <v>0</v>
      </c>
      <c r="EB101" s="118">
        <v>5</v>
      </c>
      <c r="EC101" s="118">
        <v>0</v>
      </c>
      <c r="ED101" s="118">
        <v>0</v>
      </c>
      <c r="EE101" s="118">
        <v>1</v>
      </c>
      <c r="EF101" s="118">
        <v>2</v>
      </c>
      <c r="EG101" s="118">
        <v>0</v>
      </c>
      <c r="EH101" s="118">
        <v>0</v>
      </c>
      <c r="EI101" s="118">
        <v>1</v>
      </c>
      <c r="EJ101" s="118">
        <v>0</v>
      </c>
      <c r="EK101" s="118">
        <v>0</v>
      </c>
      <c r="EL101" s="118">
        <v>0</v>
      </c>
      <c r="EM101" s="118">
        <v>0</v>
      </c>
      <c r="EN101" s="118">
        <v>0</v>
      </c>
      <c r="EO101" s="118">
        <v>5</v>
      </c>
      <c r="EP101" s="118">
        <v>42</v>
      </c>
      <c r="EQ101" s="13"/>
      <c r="ER101" s="118" t="s">
        <v>33</v>
      </c>
      <c r="ES101" s="118">
        <v>22</v>
      </c>
      <c r="ET101" s="118">
        <v>0</v>
      </c>
      <c r="EU101" s="118">
        <v>6</v>
      </c>
      <c r="EV101" s="118">
        <v>0</v>
      </c>
      <c r="EW101" s="118">
        <v>3</v>
      </c>
      <c r="EX101" s="118">
        <v>0</v>
      </c>
      <c r="EY101" s="118">
        <v>0</v>
      </c>
      <c r="EZ101" s="118">
        <v>2</v>
      </c>
      <c r="FA101" s="118">
        <v>3</v>
      </c>
      <c r="FB101" s="118">
        <v>0</v>
      </c>
      <c r="FC101" s="118">
        <v>3</v>
      </c>
      <c r="FD101" s="118">
        <v>0</v>
      </c>
      <c r="FE101" s="118">
        <v>0</v>
      </c>
      <c r="FF101" s="118">
        <v>0</v>
      </c>
      <c r="FG101" s="118">
        <v>0</v>
      </c>
      <c r="FH101" s="118">
        <v>0</v>
      </c>
      <c r="FI101" s="118">
        <v>0</v>
      </c>
      <c r="FJ101" s="118">
        <v>2</v>
      </c>
      <c r="FK101" s="118">
        <v>41</v>
      </c>
      <c r="FL101" s="13"/>
      <c r="FM101" s="118" t="s">
        <v>33</v>
      </c>
      <c r="FN101" s="118">
        <v>12</v>
      </c>
      <c r="FO101" s="118">
        <v>0</v>
      </c>
      <c r="FP101" s="118">
        <v>6</v>
      </c>
      <c r="FQ101" s="118">
        <v>1</v>
      </c>
      <c r="FR101" s="118">
        <v>7</v>
      </c>
      <c r="FS101" s="118">
        <v>0</v>
      </c>
      <c r="FT101" s="118">
        <v>0</v>
      </c>
      <c r="FU101" s="118">
        <v>0</v>
      </c>
      <c r="FV101" s="118">
        <v>1</v>
      </c>
      <c r="FW101" s="118">
        <v>0</v>
      </c>
      <c r="FX101" s="118">
        <v>0</v>
      </c>
      <c r="FY101" s="118">
        <v>0</v>
      </c>
      <c r="FZ101" s="118">
        <v>0</v>
      </c>
      <c r="GA101" s="118">
        <v>0</v>
      </c>
      <c r="GB101" s="118">
        <v>0</v>
      </c>
      <c r="GC101" s="118">
        <v>0</v>
      </c>
      <c r="GD101" s="118">
        <v>0</v>
      </c>
      <c r="GE101" s="118">
        <v>8</v>
      </c>
      <c r="GF101" s="118">
        <v>35</v>
      </c>
      <c r="GG101" s="13"/>
      <c r="GH101" s="118" t="s">
        <v>33</v>
      </c>
      <c r="GI101" s="118">
        <v>7</v>
      </c>
      <c r="GJ101" s="118">
        <v>0</v>
      </c>
      <c r="GK101" s="118">
        <v>3</v>
      </c>
      <c r="GL101" s="118">
        <v>0</v>
      </c>
      <c r="GM101" s="118">
        <v>0</v>
      </c>
      <c r="GN101" s="118">
        <v>1</v>
      </c>
      <c r="GO101" s="118">
        <v>0</v>
      </c>
      <c r="GP101" s="118">
        <v>0</v>
      </c>
      <c r="GQ101" s="118">
        <v>2</v>
      </c>
      <c r="GR101" s="118">
        <v>0</v>
      </c>
      <c r="GS101" s="118">
        <v>0</v>
      </c>
      <c r="GT101" s="118">
        <v>0</v>
      </c>
      <c r="GU101" s="118">
        <v>0</v>
      </c>
      <c r="GV101" s="118">
        <v>0</v>
      </c>
      <c r="GW101" s="118">
        <v>0</v>
      </c>
      <c r="GX101" s="118">
        <v>0</v>
      </c>
      <c r="GY101" s="118">
        <v>1</v>
      </c>
      <c r="GZ101" s="118">
        <v>0</v>
      </c>
      <c r="HA101" s="118">
        <v>14</v>
      </c>
      <c r="HB101" s="13"/>
      <c r="HC101" s="118" t="s">
        <v>33</v>
      </c>
      <c r="HD101" s="118">
        <v>2</v>
      </c>
      <c r="HE101" s="118">
        <v>0</v>
      </c>
      <c r="HF101" s="118">
        <v>5</v>
      </c>
      <c r="HG101" s="118">
        <v>1</v>
      </c>
      <c r="HH101" s="118">
        <v>0</v>
      </c>
      <c r="HI101" s="118">
        <v>0</v>
      </c>
      <c r="HJ101" s="118">
        <v>0</v>
      </c>
      <c r="HK101" s="118">
        <v>0</v>
      </c>
      <c r="HL101" s="118">
        <v>0</v>
      </c>
      <c r="HM101" s="118">
        <v>0</v>
      </c>
      <c r="HN101" s="118">
        <v>0</v>
      </c>
      <c r="HO101" s="118">
        <v>0</v>
      </c>
      <c r="HP101" s="118">
        <v>0</v>
      </c>
      <c r="HQ101" s="118">
        <v>0</v>
      </c>
      <c r="HR101" s="118">
        <v>0</v>
      </c>
      <c r="HS101" s="118">
        <v>0</v>
      </c>
      <c r="HT101" s="118">
        <v>0</v>
      </c>
      <c r="HU101" s="118">
        <v>3</v>
      </c>
      <c r="HV101" s="118">
        <v>11</v>
      </c>
      <c r="HW101" s="13"/>
      <c r="HX101" s="118" t="s">
        <v>33</v>
      </c>
      <c r="HY101" s="118">
        <v>5</v>
      </c>
      <c r="HZ101" s="118">
        <v>0</v>
      </c>
      <c r="IA101" s="118">
        <v>7</v>
      </c>
      <c r="IB101" s="118">
        <v>2</v>
      </c>
      <c r="IC101" s="118">
        <v>4</v>
      </c>
      <c r="ID101" s="118">
        <v>0</v>
      </c>
      <c r="IE101" s="118">
        <v>0</v>
      </c>
      <c r="IF101" s="118">
        <v>0</v>
      </c>
      <c r="IG101" s="118">
        <v>0</v>
      </c>
      <c r="IH101" s="118">
        <v>0</v>
      </c>
      <c r="II101" s="118">
        <v>0</v>
      </c>
      <c r="IJ101" s="118">
        <v>0</v>
      </c>
      <c r="IK101" s="118">
        <v>0</v>
      </c>
      <c r="IL101" s="118">
        <v>0</v>
      </c>
      <c r="IM101" s="118">
        <v>0</v>
      </c>
      <c r="IN101" s="118">
        <v>0</v>
      </c>
      <c r="IO101" s="118">
        <v>0</v>
      </c>
      <c r="IP101" s="118">
        <v>0</v>
      </c>
      <c r="IQ101" s="118">
        <v>18</v>
      </c>
      <c r="IR101" s="13"/>
      <c r="IS101" s="118" t="s">
        <v>33</v>
      </c>
      <c r="IT101" s="118">
        <v>13</v>
      </c>
      <c r="IU101" s="118">
        <v>0</v>
      </c>
      <c r="IV101" s="118">
        <v>9</v>
      </c>
      <c r="IW101" s="118">
        <v>0</v>
      </c>
      <c r="IX101" s="118">
        <v>4</v>
      </c>
      <c r="IY101" s="118">
        <v>0</v>
      </c>
      <c r="IZ101" s="118">
        <v>0</v>
      </c>
      <c r="JA101" s="118">
        <v>1</v>
      </c>
      <c r="JB101" s="118">
        <v>0</v>
      </c>
      <c r="JC101" s="118">
        <v>0</v>
      </c>
      <c r="JD101" s="118">
        <v>1</v>
      </c>
      <c r="JE101" s="118">
        <v>0</v>
      </c>
      <c r="JF101" s="118">
        <v>0</v>
      </c>
      <c r="JG101" s="118">
        <v>1</v>
      </c>
      <c r="JH101" s="118">
        <v>0</v>
      </c>
      <c r="JI101" s="118">
        <v>0</v>
      </c>
      <c r="JJ101" s="118">
        <v>2</v>
      </c>
      <c r="JK101" s="118">
        <v>0</v>
      </c>
      <c r="JL101" s="118">
        <v>31</v>
      </c>
      <c r="JM101" s="13"/>
      <c r="JN101" s="70" t="s">
        <v>33</v>
      </c>
      <c r="JO101" s="122">
        <v>6</v>
      </c>
      <c r="JP101" s="122">
        <v>0</v>
      </c>
      <c r="JQ101" s="122">
        <v>5</v>
      </c>
      <c r="JR101" s="122">
        <v>0</v>
      </c>
      <c r="JS101" s="122">
        <v>3</v>
      </c>
      <c r="JT101" s="122">
        <v>0</v>
      </c>
      <c r="JU101" s="122">
        <v>0</v>
      </c>
      <c r="JV101" s="122">
        <v>2</v>
      </c>
      <c r="JW101" s="122">
        <v>0</v>
      </c>
      <c r="JX101" s="122">
        <v>0</v>
      </c>
      <c r="JY101" s="122">
        <v>0</v>
      </c>
      <c r="JZ101" s="122">
        <v>0</v>
      </c>
      <c r="KA101" s="122">
        <v>0</v>
      </c>
      <c r="KB101" s="122">
        <v>0</v>
      </c>
      <c r="KC101" s="122">
        <v>0</v>
      </c>
      <c r="KD101" s="122">
        <v>0</v>
      </c>
      <c r="KE101" s="122">
        <v>1</v>
      </c>
      <c r="KF101" s="122">
        <v>0</v>
      </c>
      <c r="KG101" s="123">
        <v>17</v>
      </c>
      <c r="KH101" s="13"/>
      <c r="KI101" s="118" t="s">
        <v>33</v>
      </c>
      <c r="KJ101" s="118">
        <v>6</v>
      </c>
      <c r="KK101" s="118">
        <v>0</v>
      </c>
      <c r="KL101" s="118">
        <v>9</v>
      </c>
      <c r="KM101" s="118">
        <v>2</v>
      </c>
      <c r="KN101" s="118">
        <v>0</v>
      </c>
      <c r="KO101" s="118">
        <v>2</v>
      </c>
      <c r="KP101" s="118">
        <v>1</v>
      </c>
      <c r="KQ101" s="118">
        <v>2</v>
      </c>
      <c r="KR101" s="118">
        <v>0</v>
      </c>
      <c r="KS101" s="118">
        <v>0</v>
      </c>
      <c r="KT101" s="118">
        <v>0</v>
      </c>
      <c r="KU101" s="118">
        <v>0</v>
      </c>
      <c r="KV101" s="118">
        <v>0</v>
      </c>
      <c r="KW101" s="118">
        <v>0</v>
      </c>
      <c r="KX101" s="118">
        <v>0</v>
      </c>
      <c r="KY101" s="118">
        <v>0</v>
      </c>
      <c r="KZ101" s="118">
        <v>0</v>
      </c>
      <c r="LA101" s="118">
        <v>0</v>
      </c>
      <c r="LB101" s="118">
        <v>22</v>
      </c>
      <c r="LC101" s="13"/>
      <c r="LD101" s="58" t="s">
        <v>33</v>
      </c>
      <c r="LE101" s="65">
        <v>4</v>
      </c>
      <c r="LF101" s="65">
        <v>0</v>
      </c>
      <c r="LG101" s="65">
        <v>4</v>
      </c>
      <c r="LH101" s="65">
        <v>5</v>
      </c>
      <c r="LI101" s="65">
        <v>0</v>
      </c>
      <c r="LJ101" s="65">
        <v>2</v>
      </c>
      <c r="LK101" s="65">
        <v>1</v>
      </c>
      <c r="LL101" s="65">
        <v>2</v>
      </c>
      <c r="LM101" s="65">
        <v>0</v>
      </c>
      <c r="LN101" s="65">
        <v>0</v>
      </c>
      <c r="LO101" s="65">
        <v>0</v>
      </c>
      <c r="LP101" s="65">
        <v>0</v>
      </c>
      <c r="LQ101" s="65">
        <v>0</v>
      </c>
      <c r="LR101" s="65">
        <v>0</v>
      </c>
      <c r="LS101" s="65">
        <v>0</v>
      </c>
      <c r="LT101" s="65">
        <v>0</v>
      </c>
      <c r="LU101" s="65">
        <v>0</v>
      </c>
      <c r="LV101" s="65">
        <v>0</v>
      </c>
      <c r="LW101" s="65">
        <v>0</v>
      </c>
      <c r="LX101" s="65">
        <v>0</v>
      </c>
      <c r="LY101" s="65">
        <v>2</v>
      </c>
      <c r="LZ101" s="65">
        <v>1</v>
      </c>
      <c r="MA101" s="65">
        <v>21</v>
      </c>
      <c r="MB101" s="13"/>
      <c r="MC101" s="180" t="s">
        <v>33</v>
      </c>
      <c r="MD101" s="181">
        <v>10</v>
      </c>
      <c r="ME101" s="181">
        <v>0</v>
      </c>
      <c r="MF101" s="181">
        <v>5</v>
      </c>
      <c r="MG101" s="181">
        <v>0</v>
      </c>
      <c r="MH101" s="181">
        <v>1</v>
      </c>
      <c r="MI101" s="181">
        <v>0</v>
      </c>
      <c r="MJ101" s="181">
        <v>0</v>
      </c>
      <c r="MK101" s="181">
        <v>3</v>
      </c>
      <c r="ML101" s="181">
        <v>0</v>
      </c>
      <c r="MM101" s="181">
        <v>0</v>
      </c>
      <c r="MN101" s="181">
        <v>1</v>
      </c>
      <c r="MO101" s="181">
        <v>0</v>
      </c>
      <c r="MP101" s="181">
        <v>0</v>
      </c>
      <c r="MQ101" s="181">
        <v>0</v>
      </c>
      <c r="MR101" s="181">
        <v>0</v>
      </c>
      <c r="MS101" s="181">
        <v>0</v>
      </c>
      <c r="MT101" s="181">
        <v>1</v>
      </c>
      <c r="MU101" s="181">
        <v>1</v>
      </c>
      <c r="MV101" s="181">
        <v>22</v>
      </c>
      <c r="MW101" s="13"/>
      <c r="MX101" s="74" t="s">
        <v>33</v>
      </c>
      <c r="MY101" s="127">
        <v>9</v>
      </c>
      <c r="MZ101" s="127">
        <v>0</v>
      </c>
      <c r="NA101" s="127">
        <v>6</v>
      </c>
      <c r="NB101" s="127">
        <v>0</v>
      </c>
      <c r="NC101" s="127">
        <v>0</v>
      </c>
      <c r="ND101" s="127">
        <v>2</v>
      </c>
      <c r="NE101" s="127">
        <v>0</v>
      </c>
      <c r="NF101" s="127">
        <v>3</v>
      </c>
      <c r="NG101" s="127">
        <v>0</v>
      </c>
      <c r="NH101" s="127">
        <v>0</v>
      </c>
      <c r="NI101" s="127">
        <v>0</v>
      </c>
      <c r="NJ101" s="127">
        <v>0</v>
      </c>
      <c r="NK101" s="127">
        <v>0</v>
      </c>
      <c r="NL101" s="127">
        <v>0</v>
      </c>
      <c r="NM101" s="127">
        <v>0</v>
      </c>
      <c r="NN101" s="127">
        <v>0</v>
      </c>
      <c r="NO101" s="127">
        <v>2</v>
      </c>
      <c r="NP101" s="127">
        <v>0</v>
      </c>
      <c r="NQ101" s="127">
        <v>22</v>
      </c>
      <c r="NR101" s="13"/>
      <c r="NS101" s="74" t="s">
        <v>33</v>
      </c>
      <c r="NT101" s="127">
        <v>5</v>
      </c>
      <c r="NU101" s="127">
        <v>0</v>
      </c>
      <c r="NV101" s="127">
        <v>3</v>
      </c>
      <c r="NW101" s="127">
        <v>0</v>
      </c>
      <c r="NX101" s="127">
        <v>1</v>
      </c>
      <c r="NY101" s="127">
        <v>1</v>
      </c>
      <c r="NZ101" s="127">
        <v>0</v>
      </c>
      <c r="OA101" s="127">
        <v>0</v>
      </c>
      <c r="OB101" s="127">
        <v>0</v>
      </c>
      <c r="OC101" s="127">
        <v>0</v>
      </c>
      <c r="OD101" s="127">
        <v>0</v>
      </c>
      <c r="OE101" s="127">
        <v>0</v>
      </c>
      <c r="OF101" s="127">
        <v>0</v>
      </c>
      <c r="OG101" s="127">
        <v>0</v>
      </c>
      <c r="OH101" s="127">
        <v>0</v>
      </c>
      <c r="OI101" s="127">
        <v>0</v>
      </c>
      <c r="OJ101" s="127">
        <v>0</v>
      </c>
      <c r="OK101" s="127">
        <v>0</v>
      </c>
      <c r="OL101" s="127">
        <v>10</v>
      </c>
    </row>
    <row r="102" spans="1:402" ht="15.5" thickBot="1">
      <c r="A102" s="17" t="s">
        <v>34</v>
      </c>
      <c r="B102" s="89">
        <v>57</v>
      </c>
      <c r="C102" s="89">
        <v>0</v>
      </c>
      <c r="D102" s="89">
        <v>3</v>
      </c>
      <c r="E102" s="89">
        <v>2</v>
      </c>
      <c r="F102" s="89">
        <v>0</v>
      </c>
      <c r="G102" s="89">
        <v>1</v>
      </c>
      <c r="H102" s="89">
        <v>0</v>
      </c>
      <c r="I102" s="89">
        <v>17</v>
      </c>
      <c r="J102" s="89">
        <v>1</v>
      </c>
      <c r="K102" s="89">
        <v>0</v>
      </c>
      <c r="L102" s="89">
        <v>3</v>
      </c>
      <c r="M102" s="89">
        <v>10</v>
      </c>
      <c r="N102" s="89">
        <v>0</v>
      </c>
      <c r="O102" s="89">
        <v>0</v>
      </c>
      <c r="P102" s="89">
        <v>0</v>
      </c>
      <c r="Q102" s="89">
        <v>0</v>
      </c>
      <c r="R102" s="89">
        <v>0</v>
      </c>
      <c r="S102" s="89">
        <v>0</v>
      </c>
      <c r="T102" s="89">
        <v>94</v>
      </c>
      <c r="U102" s="104"/>
      <c r="V102" s="17" t="s">
        <v>34</v>
      </c>
      <c r="W102" s="89">
        <v>60</v>
      </c>
      <c r="X102" s="89">
        <v>0</v>
      </c>
      <c r="Y102" s="89">
        <v>7</v>
      </c>
      <c r="Z102" s="89">
        <v>0</v>
      </c>
      <c r="AA102" s="89">
        <v>0</v>
      </c>
      <c r="AB102" s="89">
        <v>4</v>
      </c>
      <c r="AC102" s="89">
        <v>0</v>
      </c>
      <c r="AD102" s="89">
        <v>16</v>
      </c>
      <c r="AE102" s="89">
        <v>0</v>
      </c>
      <c r="AF102" s="89">
        <v>0</v>
      </c>
      <c r="AG102" s="109">
        <v>5</v>
      </c>
      <c r="AH102" s="89">
        <v>14</v>
      </c>
      <c r="AI102" s="89">
        <v>1</v>
      </c>
      <c r="AJ102" s="89">
        <v>0</v>
      </c>
      <c r="AK102" s="89">
        <v>0</v>
      </c>
      <c r="AL102" s="89">
        <v>0</v>
      </c>
      <c r="AM102" s="89">
        <v>3</v>
      </c>
      <c r="AN102" s="89">
        <v>0</v>
      </c>
      <c r="AO102" s="89">
        <v>110</v>
      </c>
      <c r="AP102" s="104"/>
      <c r="AQ102" s="17" t="s">
        <v>34</v>
      </c>
      <c r="AR102" s="89">
        <v>70</v>
      </c>
      <c r="AS102" s="89">
        <v>0</v>
      </c>
      <c r="AT102" s="89">
        <v>3</v>
      </c>
      <c r="AU102" s="89">
        <v>3</v>
      </c>
      <c r="AV102" s="89">
        <v>0</v>
      </c>
      <c r="AW102" s="89">
        <v>0</v>
      </c>
      <c r="AX102" s="89">
        <v>0</v>
      </c>
      <c r="AY102" s="89">
        <v>11</v>
      </c>
      <c r="AZ102" s="89">
        <v>1</v>
      </c>
      <c r="BA102" s="89">
        <v>0</v>
      </c>
      <c r="BB102" s="89">
        <v>3</v>
      </c>
      <c r="BC102" s="89">
        <v>14</v>
      </c>
      <c r="BD102" s="89">
        <v>0</v>
      </c>
      <c r="BE102" s="89">
        <v>0</v>
      </c>
      <c r="BF102" s="89">
        <v>0</v>
      </c>
      <c r="BG102" s="89">
        <v>0</v>
      </c>
      <c r="BH102" s="89">
        <v>2</v>
      </c>
      <c r="BI102" s="89">
        <v>0</v>
      </c>
      <c r="BJ102" s="89">
        <v>107</v>
      </c>
      <c r="BK102" s="13"/>
      <c r="BL102" s="115" t="s">
        <v>34</v>
      </c>
      <c r="BM102" s="118">
        <v>66</v>
      </c>
      <c r="BN102" s="118">
        <v>0</v>
      </c>
      <c r="BO102" s="118">
        <v>2</v>
      </c>
      <c r="BP102" s="118">
        <v>1</v>
      </c>
      <c r="BQ102" s="118">
        <v>0</v>
      </c>
      <c r="BR102" s="118">
        <v>0</v>
      </c>
      <c r="BS102" s="118">
        <v>0</v>
      </c>
      <c r="BT102" s="118">
        <v>15</v>
      </c>
      <c r="BU102" s="118">
        <v>1</v>
      </c>
      <c r="BV102" s="118">
        <v>0</v>
      </c>
      <c r="BW102" s="118">
        <v>4</v>
      </c>
      <c r="BX102" s="118">
        <v>6</v>
      </c>
      <c r="BY102" s="118">
        <v>0</v>
      </c>
      <c r="BZ102" s="118">
        <v>0</v>
      </c>
      <c r="CA102" s="118">
        <v>0</v>
      </c>
      <c r="CB102" s="118">
        <v>0</v>
      </c>
      <c r="CC102" s="118">
        <v>0</v>
      </c>
      <c r="CD102" s="118">
        <v>0</v>
      </c>
      <c r="CE102" s="119">
        <v>95</v>
      </c>
      <c r="CF102" s="13"/>
      <c r="CG102" s="118" t="s">
        <v>34</v>
      </c>
      <c r="CH102" s="118">
        <v>62</v>
      </c>
      <c r="CI102" s="118">
        <v>0</v>
      </c>
      <c r="CJ102" s="118">
        <v>4</v>
      </c>
      <c r="CK102" s="118">
        <v>0</v>
      </c>
      <c r="CL102" s="118">
        <v>0</v>
      </c>
      <c r="CM102" s="118">
        <v>0</v>
      </c>
      <c r="CN102" s="118">
        <v>0</v>
      </c>
      <c r="CO102" s="118">
        <v>10</v>
      </c>
      <c r="CP102" s="118">
        <v>0</v>
      </c>
      <c r="CQ102" s="118">
        <v>0</v>
      </c>
      <c r="CR102" s="118">
        <v>3</v>
      </c>
      <c r="CS102" s="118">
        <v>13</v>
      </c>
      <c r="CT102" s="118">
        <v>0</v>
      </c>
      <c r="CU102" s="118">
        <v>0</v>
      </c>
      <c r="CV102" s="118">
        <v>0</v>
      </c>
      <c r="CW102" s="118">
        <v>0</v>
      </c>
      <c r="CX102" s="118">
        <v>0</v>
      </c>
      <c r="CY102" s="118">
        <v>0</v>
      </c>
      <c r="CZ102" s="118">
        <v>92</v>
      </c>
      <c r="DA102" s="13"/>
      <c r="DB102" s="118" t="s">
        <v>34</v>
      </c>
      <c r="DC102" s="118">
        <v>75</v>
      </c>
      <c r="DD102" s="118">
        <v>0</v>
      </c>
      <c r="DE102" s="118">
        <v>2</v>
      </c>
      <c r="DF102" s="118">
        <v>2</v>
      </c>
      <c r="DG102" s="118">
        <v>0</v>
      </c>
      <c r="DH102" s="118">
        <v>0</v>
      </c>
      <c r="DI102" s="118">
        <v>0</v>
      </c>
      <c r="DJ102" s="118">
        <v>15</v>
      </c>
      <c r="DK102" s="118">
        <v>1</v>
      </c>
      <c r="DL102" s="118">
        <v>1</v>
      </c>
      <c r="DM102" s="118">
        <v>2</v>
      </c>
      <c r="DN102" s="118">
        <v>3</v>
      </c>
      <c r="DO102" s="118">
        <v>0</v>
      </c>
      <c r="DP102" s="118">
        <v>0</v>
      </c>
      <c r="DQ102" s="118">
        <v>0</v>
      </c>
      <c r="DR102" s="118">
        <v>0</v>
      </c>
      <c r="DS102" s="118">
        <v>0</v>
      </c>
      <c r="DT102" s="118">
        <v>0</v>
      </c>
      <c r="DU102" s="118">
        <v>101</v>
      </c>
      <c r="DV102" s="13"/>
      <c r="DW102" s="118" t="s">
        <v>34</v>
      </c>
      <c r="DX102" s="118">
        <v>50</v>
      </c>
      <c r="DY102" s="118">
        <v>0</v>
      </c>
      <c r="DZ102" s="118">
        <v>1</v>
      </c>
      <c r="EA102" s="118">
        <v>1</v>
      </c>
      <c r="EB102" s="118">
        <v>0</v>
      </c>
      <c r="EC102" s="118">
        <v>1</v>
      </c>
      <c r="ED102" s="118">
        <v>0</v>
      </c>
      <c r="EE102" s="118">
        <v>11</v>
      </c>
      <c r="EF102" s="118">
        <v>11</v>
      </c>
      <c r="EG102" s="118">
        <v>0</v>
      </c>
      <c r="EH102" s="118">
        <v>2</v>
      </c>
      <c r="EI102" s="118">
        <v>6</v>
      </c>
      <c r="EJ102" s="118">
        <v>0</v>
      </c>
      <c r="EK102" s="118">
        <v>0</v>
      </c>
      <c r="EL102" s="118">
        <v>0</v>
      </c>
      <c r="EM102" s="118">
        <v>0</v>
      </c>
      <c r="EN102" s="118">
        <v>0</v>
      </c>
      <c r="EO102" s="118">
        <v>2</v>
      </c>
      <c r="EP102" s="118">
        <v>85</v>
      </c>
      <c r="EQ102" s="13"/>
      <c r="ER102" s="118" t="s">
        <v>34</v>
      </c>
      <c r="ES102" s="118">
        <v>21</v>
      </c>
      <c r="ET102" s="118">
        <v>0</v>
      </c>
      <c r="EU102" s="118">
        <v>1</v>
      </c>
      <c r="EV102" s="118">
        <v>0</v>
      </c>
      <c r="EW102" s="118">
        <v>2</v>
      </c>
      <c r="EX102" s="118">
        <v>1</v>
      </c>
      <c r="EY102" s="118">
        <v>0</v>
      </c>
      <c r="EZ102" s="118">
        <v>5</v>
      </c>
      <c r="FA102" s="118">
        <v>9</v>
      </c>
      <c r="FB102" s="118">
        <v>0</v>
      </c>
      <c r="FC102" s="118">
        <v>0</v>
      </c>
      <c r="FD102" s="118">
        <v>1</v>
      </c>
      <c r="FE102" s="118">
        <v>0</v>
      </c>
      <c r="FF102" s="118">
        <v>0</v>
      </c>
      <c r="FG102" s="118">
        <v>0</v>
      </c>
      <c r="FH102" s="118">
        <v>0</v>
      </c>
      <c r="FI102" s="118">
        <v>18</v>
      </c>
      <c r="FJ102" s="118">
        <v>0</v>
      </c>
      <c r="FK102" s="118">
        <v>58</v>
      </c>
      <c r="FL102" s="13"/>
      <c r="FM102" s="118" t="s">
        <v>34</v>
      </c>
      <c r="FN102" s="118">
        <v>22</v>
      </c>
      <c r="FO102" s="118">
        <v>1</v>
      </c>
      <c r="FP102" s="118">
        <v>2</v>
      </c>
      <c r="FQ102" s="118">
        <v>0</v>
      </c>
      <c r="FR102" s="118">
        <v>0</v>
      </c>
      <c r="FS102" s="118">
        <v>0</v>
      </c>
      <c r="FT102" s="118">
        <v>0</v>
      </c>
      <c r="FU102" s="118">
        <v>0</v>
      </c>
      <c r="FV102" s="118">
        <v>2</v>
      </c>
      <c r="FW102" s="118">
        <v>0</v>
      </c>
      <c r="FX102" s="118">
        <v>0</v>
      </c>
      <c r="FY102" s="118">
        <v>1</v>
      </c>
      <c r="FZ102" s="118">
        <v>0</v>
      </c>
      <c r="GA102" s="118">
        <v>0</v>
      </c>
      <c r="GB102" s="118">
        <v>0</v>
      </c>
      <c r="GC102" s="118">
        <v>0</v>
      </c>
      <c r="GD102" s="118">
        <v>0</v>
      </c>
      <c r="GE102" s="118">
        <v>6</v>
      </c>
      <c r="GF102" s="118">
        <v>34</v>
      </c>
      <c r="GG102" s="13"/>
      <c r="GH102" s="118" t="s">
        <v>34</v>
      </c>
      <c r="GI102" s="118">
        <v>35</v>
      </c>
      <c r="GJ102" s="118">
        <v>0</v>
      </c>
      <c r="GK102" s="118">
        <v>0</v>
      </c>
      <c r="GL102" s="118">
        <v>1</v>
      </c>
      <c r="GM102" s="118">
        <v>0</v>
      </c>
      <c r="GN102" s="118">
        <v>1</v>
      </c>
      <c r="GO102" s="118">
        <v>0</v>
      </c>
      <c r="GP102" s="118">
        <v>4</v>
      </c>
      <c r="GQ102" s="118">
        <v>5</v>
      </c>
      <c r="GR102" s="118">
        <v>0</v>
      </c>
      <c r="GS102" s="118">
        <v>1</v>
      </c>
      <c r="GT102" s="118">
        <v>0</v>
      </c>
      <c r="GU102" s="118">
        <v>0</v>
      </c>
      <c r="GV102" s="118">
        <v>0</v>
      </c>
      <c r="GW102" s="118">
        <v>0</v>
      </c>
      <c r="GX102" s="118">
        <v>0</v>
      </c>
      <c r="GY102" s="118">
        <v>7</v>
      </c>
      <c r="GZ102" s="118">
        <v>2</v>
      </c>
      <c r="HA102" s="118">
        <v>56</v>
      </c>
      <c r="HB102" s="13"/>
      <c r="HC102" s="118" t="s">
        <v>34</v>
      </c>
      <c r="HD102" s="118">
        <v>39</v>
      </c>
      <c r="HE102" s="118">
        <v>0</v>
      </c>
      <c r="HF102" s="118">
        <v>0</v>
      </c>
      <c r="HG102" s="118">
        <v>0</v>
      </c>
      <c r="HH102" s="118">
        <v>1</v>
      </c>
      <c r="HI102" s="118">
        <v>1</v>
      </c>
      <c r="HJ102" s="118">
        <v>0</v>
      </c>
      <c r="HK102" s="118">
        <v>11</v>
      </c>
      <c r="HL102" s="118">
        <v>3</v>
      </c>
      <c r="HM102" s="118">
        <v>0</v>
      </c>
      <c r="HN102" s="118">
        <v>2</v>
      </c>
      <c r="HO102" s="118">
        <v>0</v>
      </c>
      <c r="HP102" s="118">
        <v>0</v>
      </c>
      <c r="HQ102" s="118">
        <v>0</v>
      </c>
      <c r="HR102" s="118">
        <v>0</v>
      </c>
      <c r="HS102" s="118">
        <v>0</v>
      </c>
      <c r="HT102" s="118">
        <v>4</v>
      </c>
      <c r="HU102" s="118">
        <v>0</v>
      </c>
      <c r="HV102" s="118">
        <v>61</v>
      </c>
      <c r="HW102" s="13"/>
      <c r="HX102" s="118" t="s">
        <v>34</v>
      </c>
      <c r="HY102" s="118">
        <v>21</v>
      </c>
      <c r="HZ102" s="118">
        <v>0</v>
      </c>
      <c r="IA102" s="118">
        <v>1</v>
      </c>
      <c r="IB102" s="118">
        <v>1</v>
      </c>
      <c r="IC102" s="118">
        <v>2</v>
      </c>
      <c r="ID102" s="118">
        <v>0</v>
      </c>
      <c r="IE102" s="118">
        <v>0</v>
      </c>
      <c r="IF102" s="118">
        <v>2</v>
      </c>
      <c r="IG102" s="118">
        <v>4</v>
      </c>
      <c r="IH102" s="118">
        <v>0</v>
      </c>
      <c r="II102" s="118">
        <v>0</v>
      </c>
      <c r="IJ102" s="118">
        <v>0</v>
      </c>
      <c r="IK102" s="118">
        <v>0</v>
      </c>
      <c r="IL102" s="118">
        <v>0</v>
      </c>
      <c r="IM102" s="118">
        <v>0</v>
      </c>
      <c r="IN102" s="118">
        <v>0</v>
      </c>
      <c r="IO102" s="118">
        <v>2</v>
      </c>
      <c r="IP102" s="118">
        <v>0</v>
      </c>
      <c r="IQ102" s="118">
        <v>33</v>
      </c>
      <c r="IR102" s="13"/>
      <c r="IS102" s="118" t="s">
        <v>34</v>
      </c>
      <c r="IT102" s="118">
        <v>34</v>
      </c>
      <c r="IU102" s="118">
        <v>1</v>
      </c>
      <c r="IV102" s="118">
        <v>3</v>
      </c>
      <c r="IW102" s="118">
        <v>1</v>
      </c>
      <c r="IX102" s="118">
        <v>2</v>
      </c>
      <c r="IY102" s="118">
        <v>0</v>
      </c>
      <c r="IZ102" s="118">
        <v>0</v>
      </c>
      <c r="JA102" s="118">
        <v>8</v>
      </c>
      <c r="JB102" s="118">
        <v>3</v>
      </c>
      <c r="JC102" s="118">
        <v>0</v>
      </c>
      <c r="JD102" s="118">
        <v>2</v>
      </c>
      <c r="JE102" s="118">
        <v>0</v>
      </c>
      <c r="JF102" s="118">
        <v>0</v>
      </c>
      <c r="JG102" s="118">
        <v>0</v>
      </c>
      <c r="JH102" s="118">
        <v>0</v>
      </c>
      <c r="JI102" s="118">
        <v>0</v>
      </c>
      <c r="JJ102" s="118">
        <v>3</v>
      </c>
      <c r="JK102" s="118">
        <v>0</v>
      </c>
      <c r="JL102" s="118">
        <v>57</v>
      </c>
      <c r="JM102" s="13"/>
      <c r="JN102" s="70" t="s">
        <v>34</v>
      </c>
      <c r="JO102" s="122">
        <v>29</v>
      </c>
      <c r="JP102" s="122">
        <v>0</v>
      </c>
      <c r="JQ102" s="122">
        <v>4</v>
      </c>
      <c r="JR102" s="122">
        <v>2</v>
      </c>
      <c r="JS102" s="122">
        <v>0</v>
      </c>
      <c r="JT102" s="122">
        <v>1</v>
      </c>
      <c r="JU102" s="122">
        <v>0</v>
      </c>
      <c r="JV102" s="122">
        <v>1</v>
      </c>
      <c r="JW102" s="122">
        <v>2</v>
      </c>
      <c r="JX102" s="122">
        <v>0</v>
      </c>
      <c r="JY102" s="122">
        <v>0</v>
      </c>
      <c r="JZ102" s="122">
        <v>3</v>
      </c>
      <c r="KA102" s="122">
        <v>0</v>
      </c>
      <c r="KB102" s="122">
        <v>0</v>
      </c>
      <c r="KC102" s="122">
        <v>0</v>
      </c>
      <c r="KD102" s="122">
        <v>0</v>
      </c>
      <c r="KE102" s="122">
        <v>0</v>
      </c>
      <c r="KF102" s="122">
        <v>0</v>
      </c>
      <c r="KG102" s="123">
        <v>42</v>
      </c>
      <c r="KH102" s="13"/>
      <c r="KI102" s="118" t="s">
        <v>34</v>
      </c>
      <c r="KJ102" s="118">
        <v>24</v>
      </c>
      <c r="KK102" s="118">
        <v>0</v>
      </c>
      <c r="KL102" s="118">
        <v>1</v>
      </c>
      <c r="KM102" s="118">
        <v>0</v>
      </c>
      <c r="KN102" s="118">
        <v>1</v>
      </c>
      <c r="KO102" s="118">
        <v>3</v>
      </c>
      <c r="KP102" s="118">
        <v>0</v>
      </c>
      <c r="KQ102" s="118">
        <v>1</v>
      </c>
      <c r="KR102" s="118">
        <v>0</v>
      </c>
      <c r="KS102" s="118">
        <v>0</v>
      </c>
      <c r="KT102" s="118">
        <v>2</v>
      </c>
      <c r="KU102" s="118">
        <v>0</v>
      </c>
      <c r="KV102" s="118">
        <v>12</v>
      </c>
      <c r="KW102" s="118">
        <v>0</v>
      </c>
      <c r="KX102" s="118">
        <v>0</v>
      </c>
      <c r="KY102" s="118">
        <v>0</v>
      </c>
      <c r="KZ102" s="118">
        <v>0</v>
      </c>
      <c r="LA102" s="118">
        <v>0</v>
      </c>
      <c r="LB102" s="118">
        <v>44</v>
      </c>
      <c r="LC102" s="13"/>
      <c r="LD102" s="58" t="s">
        <v>34</v>
      </c>
      <c r="LE102" s="65">
        <v>16</v>
      </c>
      <c r="LF102" s="65">
        <v>1</v>
      </c>
      <c r="LG102" s="65">
        <v>2</v>
      </c>
      <c r="LH102" s="65">
        <v>6</v>
      </c>
      <c r="LI102" s="65">
        <v>0</v>
      </c>
      <c r="LJ102" s="65">
        <v>0</v>
      </c>
      <c r="LK102" s="65">
        <v>0</v>
      </c>
      <c r="LL102" s="65">
        <v>0</v>
      </c>
      <c r="LM102" s="65">
        <v>0</v>
      </c>
      <c r="LN102" s="65">
        <v>4</v>
      </c>
      <c r="LO102" s="65">
        <v>0</v>
      </c>
      <c r="LP102" s="65">
        <v>0</v>
      </c>
      <c r="LQ102" s="65">
        <v>11</v>
      </c>
      <c r="LR102" s="65">
        <v>1</v>
      </c>
      <c r="LS102" s="65">
        <v>0</v>
      </c>
      <c r="LT102" s="65">
        <v>1</v>
      </c>
      <c r="LU102" s="65">
        <v>0</v>
      </c>
      <c r="LV102" s="65">
        <v>0</v>
      </c>
      <c r="LW102" s="65">
        <v>0</v>
      </c>
      <c r="LX102" s="65">
        <v>0</v>
      </c>
      <c r="LY102" s="65">
        <v>1</v>
      </c>
      <c r="LZ102" s="65">
        <v>0</v>
      </c>
      <c r="MA102" s="65">
        <v>43</v>
      </c>
      <c r="MB102" s="13"/>
      <c r="MC102" s="180" t="s">
        <v>34</v>
      </c>
      <c r="MD102" s="181">
        <v>40</v>
      </c>
      <c r="ME102" s="181">
        <v>1</v>
      </c>
      <c r="MF102" s="181">
        <v>0</v>
      </c>
      <c r="MG102" s="181">
        <v>1</v>
      </c>
      <c r="MH102" s="181">
        <v>0</v>
      </c>
      <c r="MI102" s="181">
        <v>2</v>
      </c>
      <c r="MJ102" s="181">
        <v>0</v>
      </c>
      <c r="MK102" s="181">
        <v>5</v>
      </c>
      <c r="ML102" s="181">
        <v>2</v>
      </c>
      <c r="MM102" s="181">
        <v>0</v>
      </c>
      <c r="MN102" s="181">
        <v>0</v>
      </c>
      <c r="MO102" s="181">
        <v>0</v>
      </c>
      <c r="MP102" s="181">
        <v>0</v>
      </c>
      <c r="MQ102" s="181">
        <v>0</v>
      </c>
      <c r="MR102" s="181">
        <v>0</v>
      </c>
      <c r="MS102" s="181">
        <v>0</v>
      </c>
      <c r="MT102" s="181">
        <v>0</v>
      </c>
      <c r="MU102" s="181">
        <v>0</v>
      </c>
      <c r="MV102" s="181">
        <v>51</v>
      </c>
      <c r="MW102" s="13"/>
      <c r="MX102" s="74" t="s">
        <v>34</v>
      </c>
      <c r="MY102" s="127">
        <v>29</v>
      </c>
      <c r="MZ102" s="127">
        <v>0</v>
      </c>
      <c r="NA102" s="127">
        <v>3</v>
      </c>
      <c r="NB102" s="127">
        <v>0</v>
      </c>
      <c r="NC102" s="127">
        <v>0</v>
      </c>
      <c r="ND102" s="127">
        <v>0</v>
      </c>
      <c r="NE102" s="127">
        <v>0</v>
      </c>
      <c r="NF102" s="127">
        <v>4</v>
      </c>
      <c r="NG102" s="127">
        <v>2</v>
      </c>
      <c r="NH102" s="127">
        <v>0</v>
      </c>
      <c r="NI102" s="127">
        <v>9</v>
      </c>
      <c r="NJ102" s="127">
        <v>0</v>
      </c>
      <c r="NK102" s="127">
        <v>0</v>
      </c>
      <c r="NL102" s="127">
        <v>0</v>
      </c>
      <c r="NM102" s="127">
        <v>0</v>
      </c>
      <c r="NN102" s="127">
        <v>0</v>
      </c>
      <c r="NO102" s="127">
        <v>0</v>
      </c>
      <c r="NP102" s="127">
        <v>1</v>
      </c>
      <c r="NQ102" s="127">
        <v>48</v>
      </c>
      <c r="NR102" s="13"/>
      <c r="NS102" s="74" t="s">
        <v>34</v>
      </c>
      <c r="NT102" s="127">
        <v>37</v>
      </c>
      <c r="NU102" s="127">
        <v>0</v>
      </c>
      <c r="NV102" s="127">
        <v>4</v>
      </c>
      <c r="NW102" s="127">
        <v>1</v>
      </c>
      <c r="NX102" s="127">
        <v>0</v>
      </c>
      <c r="NY102" s="127">
        <v>2</v>
      </c>
      <c r="NZ102" s="127">
        <v>0</v>
      </c>
      <c r="OA102" s="127">
        <v>5</v>
      </c>
      <c r="OB102" s="127">
        <v>4</v>
      </c>
      <c r="OC102" s="127">
        <v>0</v>
      </c>
      <c r="OD102" s="127">
        <v>1</v>
      </c>
      <c r="OE102" s="127">
        <v>2</v>
      </c>
      <c r="OF102" s="127">
        <v>0</v>
      </c>
      <c r="OG102" s="127">
        <v>0</v>
      </c>
      <c r="OH102" s="127">
        <v>1</v>
      </c>
      <c r="OI102" s="127">
        <v>0</v>
      </c>
      <c r="OJ102" s="127">
        <v>6</v>
      </c>
      <c r="OK102" s="127">
        <v>8</v>
      </c>
      <c r="OL102" s="127">
        <v>71</v>
      </c>
    </row>
    <row r="103" spans="1:402" ht="15.5" thickBot="1">
      <c r="A103" s="17" t="s">
        <v>35</v>
      </c>
      <c r="B103" s="89">
        <v>15</v>
      </c>
      <c r="C103" s="89">
        <v>0</v>
      </c>
      <c r="D103" s="89">
        <v>0</v>
      </c>
      <c r="E103" s="89">
        <v>0</v>
      </c>
      <c r="F103" s="89">
        <v>2</v>
      </c>
      <c r="G103" s="89">
        <v>0</v>
      </c>
      <c r="H103" s="89">
        <v>0</v>
      </c>
      <c r="I103" s="89">
        <v>1</v>
      </c>
      <c r="J103" s="89">
        <v>4</v>
      </c>
      <c r="K103" s="89">
        <v>0</v>
      </c>
      <c r="L103" s="89">
        <v>1</v>
      </c>
      <c r="M103" s="89">
        <v>0</v>
      </c>
      <c r="N103" s="89">
        <v>0</v>
      </c>
      <c r="O103" s="89">
        <v>0</v>
      </c>
      <c r="P103" s="89">
        <v>0</v>
      </c>
      <c r="Q103" s="89">
        <v>1</v>
      </c>
      <c r="R103" s="89">
        <v>0</v>
      </c>
      <c r="S103" s="89">
        <v>0</v>
      </c>
      <c r="T103" s="89">
        <v>24</v>
      </c>
      <c r="U103" s="104"/>
      <c r="V103" s="17" t="s">
        <v>35</v>
      </c>
      <c r="W103" s="89">
        <v>15</v>
      </c>
      <c r="X103" s="89">
        <v>0</v>
      </c>
      <c r="Y103" s="89">
        <v>0</v>
      </c>
      <c r="Z103" s="89">
        <v>0</v>
      </c>
      <c r="AA103" s="89">
        <v>3</v>
      </c>
      <c r="AB103" s="89">
        <v>0</v>
      </c>
      <c r="AC103" s="89">
        <v>0</v>
      </c>
      <c r="AD103" s="89">
        <v>2</v>
      </c>
      <c r="AE103" s="89">
        <v>1</v>
      </c>
      <c r="AF103" s="89">
        <v>0</v>
      </c>
      <c r="AG103" s="109">
        <v>1</v>
      </c>
      <c r="AH103" s="89">
        <v>0</v>
      </c>
      <c r="AI103" s="89">
        <v>0</v>
      </c>
      <c r="AJ103" s="89">
        <v>0</v>
      </c>
      <c r="AK103" s="89">
        <v>0</v>
      </c>
      <c r="AL103" s="89">
        <v>0</v>
      </c>
      <c r="AM103" s="89">
        <v>2</v>
      </c>
      <c r="AN103" s="89">
        <v>0</v>
      </c>
      <c r="AO103" s="89">
        <v>24</v>
      </c>
      <c r="AP103" s="104"/>
      <c r="AQ103" s="17" t="s">
        <v>35</v>
      </c>
      <c r="AR103" s="89">
        <v>10</v>
      </c>
      <c r="AS103" s="89">
        <v>0</v>
      </c>
      <c r="AT103" s="89">
        <v>0</v>
      </c>
      <c r="AU103" s="89">
        <v>0</v>
      </c>
      <c r="AV103" s="89">
        <v>1</v>
      </c>
      <c r="AW103" s="89">
        <v>0</v>
      </c>
      <c r="AX103" s="89">
        <v>0</v>
      </c>
      <c r="AY103" s="89">
        <v>2</v>
      </c>
      <c r="AZ103" s="89">
        <v>1</v>
      </c>
      <c r="BA103" s="89">
        <v>1</v>
      </c>
      <c r="BB103" s="89">
        <v>1</v>
      </c>
      <c r="BC103" s="89">
        <v>0</v>
      </c>
      <c r="BD103" s="89">
        <v>0</v>
      </c>
      <c r="BE103" s="89">
        <v>0</v>
      </c>
      <c r="BF103" s="89">
        <v>0</v>
      </c>
      <c r="BG103" s="89">
        <v>0</v>
      </c>
      <c r="BH103" s="89">
        <v>0</v>
      </c>
      <c r="BI103" s="89">
        <v>1</v>
      </c>
      <c r="BJ103" s="89">
        <v>17</v>
      </c>
      <c r="BK103" s="13"/>
      <c r="BL103" s="115" t="s">
        <v>35</v>
      </c>
      <c r="BM103" s="118">
        <v>11</v>
      </c>
      <c r="BN103" s="118">
        <v>0</v>
      </c>
      <c r="BO103" s="118">
        <v>0</v>
      </c>
      <c r="BP103" s="118">
        <v>0</v>
      </c>
      <c r="BQ103" s="118">
        <v>0</v>
      </c>
      <c r="BR103" s="118">
        <v>0</v>
      </c>
      <c r="BS103" s="118">
        <v>0</v>
      </c>
      <c r="BT103" s="118">
        <v>0</v>
      </c>
      <c r="BU103" s="118">
        <v>3</v>
      </c>
      <c r="BV103" s="118">
        <v>0</v>
      </c>
      <c r="BW103" s="118">
        <v>0</v>
      </c>
      <c r="BX103" s="118">
        <v>0</v>
      </c>
      <c r="BY103" s="118">
        <v>0</v>
      </c>
      <c r="BZ103" s="118">
        <v>0</v>
      </c>
      <c r="CA103" s="118">
        <v>0</v>
      </c>
      <c r="CB103" s="118">
        <v>0</v>
      </c>
      <c r="CC103" s="118">
        <v>0</v>
      </c>
      <c r="CD103" s="118">
        <v>1</v>
      </c>
      <c r="CE103" s="119">
        <v>15</v>
      </c>
      <c r="CF103" s="13"/>
      <c r="CG103" s="118" t="s">
        <v>35</v>
      </c>
      <c r="CH103" s="118">
        <v>12</v>
      </c>
      <c r="CI103" s="118">
        <v>0</v>
      </c>
      <c r="CJ103" s="118">
        <v>1</v>
      </c>
      <c r="CK103" s="118">
        <v>3</v>
      </c>
      <c r="CL103" s="118">
        <v>4</v>
      </c>
      <c r="CM103" s="118">
        <v>0</v>
      </c>
      <c r="CN103" s="118">
        <v>1</v>
      </c>
      <c r="CO103" s="118">
        <v>0</v>
      </c>
      <c r="CP103" s="118">
        <v>0</v>
      </c>
      <c r="CQ103" s="118">
        <v>0</v>
      </c>
      <c r="CR103" s="118">
        <v>0</v>
      </c>
      <c r="CS103" s="118">
        <v>0</v>
      </c>
      <c r="CT103" s="118">
        <v>0</v>
      </c>
      <c r="CU103" s="118">
        <v>0</v>
      </c>
      <c r="CV103" s="118">
        <v>0</v>
      </c>
      <c r="CW103" s="118">
        <v>0</v>
      </c>
      <c r="CX103" s="118">
        <v>0</v>
      </c>
      <c r="CY103" s="118">
        <v>2</v>
      </c>
      <c r="CZ103" s="118">
        <v>23</v>
      </c>
      <c r="DA103" s="13"/>
      <c r="DB103" s="118" t="s">
        <v>35</v>
      </c>
      <c r="DC103" s="118">
        <v>12</v>
      </c>
      <c r="DD103" s="118">
        <v>1</v>
      </c>
      <c r="DE103" s="118">
        <v>0</v>
      </c>
      <c r="DF103" s="118">
        <v>1</v>
      </c>
      <c r="DG103" s="118">
        <v>0</v>
      </c>
      <c r="DH103" s="118">
        <v>0</v>
      </c>
      <c r="DI103" s="118">
        <v>0</v>
      </c>
      <c r="DJ103" s="118">
        <v>1</v>
      </c>
      <c r="DK103" s="118">
        <v>0</v>
      </c>
      <c r="DL103" s="118">
        <v>0</v>
      </c>
      <c r="DM103" s="118">
        <v>1</v>
      </c>
      <c r="DN103" s="118">
        <v>0</v>
      </c>
      <c r="DO103" s="118">
        <v>0</v>
      </c>
      <c r="DP103" s="118">
        <v>0</v>
      </c>
      <c r="DQ103" s="118">
        <v>0</v>
      </c>
      <c r="DR103" s="118">
        <v>0</v>
      </c>
      <c r="DS103" s="118">
        <v>0</v>
      </c>
      <c r="DT103" s="118">
        <v>0</v>
      </c>
      <c r="DU103" s="118">
        <v>16</v>
      </c>
      <c r="DV103" s="13"/>
      <c r="DW103" s="118" t="s">
        <v>35</v>
      </c>
      <c r="DX103" s="118">
        <v>17</v>
      </c>
      <c r="DY103" s="118">
        <v>1</v>
      </c>
      <c r="DZ103" s="118">
        <v>0</v>
      </c>
      <c r="EA103" s="118">
        <v>4</v>
      </c>
      <c r="EB103" s="118">
        <v>3</v>
      </c>
      <c r="EC103" s="118">
        <v>1</v>
      </c>
      <c r="ED103" s="118">
        <v>0</v>
      </c>
      <c r="EE103" s="118">
        <v>1</v>
      </c>
      <c r="EF103" s="118">
        <v>0</v>
      </c>
      <c r="EG103" s="118">
        <v>1</v>
      </c>
      <c r="EH103" s="118">
        <v>3</v>
      </c>
      <c r="EI103" s="118">
        <v>0</v>
      </c>
      <c r="EJ103" s="118">
        <v>0</v>
      </c>
      <c r="EK103" s="118">
        <v>0</v>
      </c>
      <c r="EL103" s="118">
        <v>0</v>
      </c>
      <c r="EM103" s="118">
        <v>0</v>
      </c>
      <c r="EN103" s="118">
        <v>0</v>
      </c>
      <c r="EO103" s="118">
        <v>0</v>
      </c>
      <c r="EP103" s="118">
        <v>31</v>
      </c>
      <c r="EQ103" s="13"/>
      <c r="ER103" s="118" t="s">
        <v>35</v>
      </c>
      <c r="ES103" s="118">
        <v>20</v>
      </c>
      <c r="ET103" s="118">
        <v>0</v>
      </c>
      <c r="EU103" s="118">
        <v>2</v>
      </c>
      <c r="EV103" s="118">
        <v>0</v>
      </c>
      <c r="EW103" s="118">
        <v>0</v>
      </c>
      <c r="EX103" s="118">
        <v>0</v>
      </c>
      <c r="EY103" s="118">
        <v>0</v>
      </c>
      <c r="EZ103" s="118">
        <v>3</v>
      </c>
      <c r="FA103" s="118">
        <v>1</v>
      </c>
      <c r="FB103" s="118">
        <v>0</v>
      </c>
      <c r="FC103" s="118">
        <v>0</v>
      </c>
      <c r="FD103" s="118">
        <v>0</v>
      </c>
      <c r="FE103" s="118">
        <v>0</v>
      </c>
      <c r="FF103" s="118">
        <v>0</v>
      </c>
      <c r="FG103" s="118">
        <v>0</v>
      </c>
      <c r="FH103" s="118">
        <v>0</v>
      </c>
      <c r="FI103" s="118">
        <v>0</v>
      </c>
      <c r="FJ103" s="118">
        <v>0</v>
      </c>
      <c r="FK103" s="118">
        <v>26</v>
      </c>
      <c r="FL103" s="13"/>
      <c r="FM103" s="118" t="s">
        <v>35</v>
      </c>
      <c r="FN103" s="118">
        <v>16</v>
      </c>
      <c r="FO103" s="118">
        <v>0</v>
      </c>
      <c r="FP103" s="118">
        <v>2</v>
      </c>
      <c r="FQ103" s="118">
        <v>0</v>
      </c>
      <c r="FR103" s="118">
        <v>1</v>
      </c>
      <c r="FS103" s="118">
        <v>0</v>
      </c>
      <c r="FT103" s="118">
        <v>0</v>
      </c>
      <c r="FU103" s="118">
        <v>0</v>
      </c>
      <c r="FV103" s="118">
        <v>3</v>
      </c>
      <c r="FW103" s="118">
        <v>0</v>
      </c>
      <c r="FX103" s="118">
        <v>0</v>
      </c>
      <c r="FY103" s="118">
        <v>0</v>
      </c>
      <c r="FZ103" s="118">
        <v>0</v>
      </c>
      <c r="GA103" s="118">
        <v>0</v>
      </c>
      <c r="GB103" s="118">
        <v>0</v>
      </c>
      <c r="GC103" s="118">
        <v>0</v>
      </c>
      <c r="GD103" s="118">
        <v>0</v>
      </c>
      <c r="GE103" s="118">
        <v>1</v>
      </c>
      <c r="GF103" s="118">
        <v>23</v>
      </c>
      <c r="GG103" s="13"/>
      <c r="GH103" s="118" t="s">
        <v>35</v>
      </c>
      <c r="GI103" s="118">
        <v>4</v>
      </c>
      <c r="GJ103" s="118">
        <v>0</v>
      </c>
      <c r="GK103" s="118">
        <v>1</v>
      </c>
      <c r="GL103" s="118">
        <v>0</v>
      </c>
      <c r="GM103" s="118">
        <v>0</v>
      </c>
      <c r="GN103" s="118">
        <v>0</v>
      </c>
      <c r="GO103" s="118">
        <v>0</v>
      </c>
      <c r="GP103" s="118">
        <v>1</v>
      </c>
      <c r="GQ103" s="118">
        <v>2</v>
      </c>
      <c r="GR103" s="118">
        <v>0</v>
      </c>
      <c r="GS103" s="118">
        <v>1</v>
      </c>
      <c r="GT103" s="118">
        <v>0</v>
      </c>
      <c r="GU103" s="118">
        <v>0</v>
      </c>
      <c r="GV103" s="118">
        <v>0</v>
      </c>
      <c r="GW103" s="118">
        <v>0</v>
      </c>
      <c r="GX103" s="118">
        <v>0</v>
      </c>
      <c r="GY103" s="118">
        <v>1</v>
      </c>
      <c r="GZ103" s="118">
        <v>1</v>
      </c>
      <c r="HA103" s="118">
        <v>11</v>
      </c>
      <c r="HB103" s="13"/>
      <c r="HC103" s="118" t="s">
        <v>35</v>
      </c>
      <c r="HD103" s="118">
        <v>12</v>
      </c>
      <c r="HE103" s="118">
        <v>0</v>
      </c>
      <c r="HF103" s="118">
        <v>0</v>
      </c>
      <c r="HG103" s="118">
        <v>0</v>
      </c>
      <c r="HH103" s="118">
        <v>2</v>
      </c>
      <c r="HI103" s="118">
        <v>0</v>
      </c>
      <c r="HJ103" s="118">
        <v>0</v>
      </c>
      <c r="HK103" s="118">
        <v>1</v>
      </c>
      <c r="HL103" s="118">
        <v>3</v>
      </c>
      <c r="HM103" s="118">
        <v>0</v>
      </c>
      <c r="HN103" s="118">
        <v>0</v>
      </c>
      <c r="HO103" s="118">
        <v>0</v>
      </c>
      <c r="HP103" s="118">
        <v>0</v>
      </c>
      <c r="HQ103" s="118">
        <v>0</v>
      </c>
      <c r="HR103" s="118">
        <v>0</v>
      </c>
      <c r="HS103" s="118">
        <v>0</v>
      </c>
      <c r="HT103" s="118">
        <v>0</v>
      </c>
      <c r="HU103" s="118">
        <v>1</v>
      </c>
      <c r="HV103" s="118">
        <v>19</v>
      </c>
      <c r="HW103" s="13"/>
      <c r="HX103" s="118" t="s">
        <v>35</v>
      </c>
      <c r="HY103" s="118">
        <v>9</v>
      </c>
      <c r="HZ103" s="118">
        <v>0</v>
      </c>
      <c r="IA103" s="118">
        <v>0</v>
      </c>
      <c r="IB103" s="118">
        <v>0</v>
      </c>
      <c r="IC103" s="118">
        <v>0</v>
      </c>
      <c r="ID103" s="118">
        <v>0</v>
      </c>
      <c r="IE103" s="118">
        <v>0</v>
      </c>
      <c r="IF103" s="118">
        <v>0</v>
      </c>
      <c r="IG103" s="118">
        <v>0</v>
      </c>
      <c r="IH103" s="118">
        <v>0</v>
      </c>
      <c r="II103" s="118">
        <v>0</v>
      </c>
      <c r="IJ103" s="118">
        <v>0</v>
      </c>
      <c r="IK103" s="118">
        <v>0</v>
      </c>
      <c r="IL103" s="118">
        <v>0</v>
      </c>
      <c r="IM103" s="118">
        <v>0</v>
      </c>
      <c r="IN103" s="118">
        <v>0</v>
      </c>
      <c r="IO103" s="118">
        <v>0</v>
      </c>
      <c r="IP103" s="118">
        <v>1</v>
      </c>
      <c r="IQ103" s="118">
        <v>10</v>
      </c>
      <c r="IR103" s="13"/>
      <c r="IS103" s="118" t="s">
        <v>35</v>
      </c>
      <c r="IT103" s="118">
        <v>8</v>
      </c>
      <c r="IU103" s="118">
        <v>0</v>
      </c>
      <c r="IV103" s="118">
        <v>0</v>
      </c>
      <c r="IW103" s="118">
        <v>0</v>
      </c>
      <c r="IX103" s="118">
        <v>0</v>
      </c>
      <c r="IY103" s="118">
        <v>0</v>
      </c>
      <c r="IZ103" s="118">
        <v>0</v>
      </c>
      <c r="JA103" s="118">
        <v>3</v>
      </c>
      <c r="JB103" s="118">
        <v>3</v>
      </c>
      <c r="JC103" s="118">
        <v>0</v>
      </c>
      <c r="JD103" s="118">
        <v>0</v>
      </c>
      <c r="JE103" s="118">
        <v>0</v>
      </c>
      <c r="JF103" s="118">
        <v>0</v>
      </c>
      <c r="JG103" s="118">
        <v>0</v>
      </c>
      <c r="JH103" s="118">
        <v>1</v>
      </c>
      <c r="JI103" s="118">
        <v>0</v>
      </c>
      <c r="JJ103" s="118">
        <v>0</v>
      </c>
      <c r="JK103" s="118">
        <v>0</v>
      </c>
      <c r="JL103" s="118">
        <v>15</v>
      </c>
      <c r="JM103" s="13"/>
      <c r="JN103" s="70" t="s">
        <v>35</v>
      </c>
      <c r="JO103" s="122">
        <v>5</v>
      </c>
      <c r="JP103" s="122">
        <v>0</v>
      </c>
      <c r="JQ103" s="122">
        <v>0</v>
      </c>
      <c r="JR103" s="122">
        <v>0</v>
      </c>
      <c r="JS103" s="122">
        <v>1</v>
      </c>
      <c r="JT103" s="122">
        <v>0</v>
      </c>
      <c r="JU103" s="122">
        <v>0</v>
      </c>
      <c r="JV103" s="122">
        <v>7</v>
      </c>
      <c r="JW103" s="122">
        <v>0</v>
      </c>
      <c r="JX103" s="122">
        <v>0</v>
      </c>
      <c r="JY103" s="122">
        <v>0</v>
      </c>
      <c r="JZ103" s="122">
        <v>0</v>
      </c>
      <c r="KA103" s="122">
        <v>0</v>
      </c>
      <c r="KB103" s="122">
        <v>0</v>
      </c>
      <c r="KC103" s="122">
        <v>0</v>
      </c>
      <c r="KD103" s="122">
        <v>0</v>
      </c>
      <c r="KE103" s="122">
        <v>0</v>
      </c>
      <c r="KF103" s="122">
        <v>0</v>
      </c>
      <c r="KG103" s="123">
        <v>13</v>
      </c>
      <c r="KH103" s="13"/>
      <c r="KI103" s="118" t="s">
        <v>35</v>
      </c>
      <c r="KJ103" s="118">
        <v>8</v>
      </c>
      <c r="KK103" s="118">
        <v>0</v>
      </c>
      <c r="KL103" s="118">
        <v>1</v>
      </c>
      <c r="KM103" s="118">
        <v>0</v>
      </c>
      <c r="KN103" s="118">
        <v>0</v>
      </c>
      <c r="KO103" s="118">
        <v>0</v>
      </c>
      <c r="KP103" s="118">
        <v>1</v>
      </c>
      <c r="KQ103" s="118">
        <v>0</v>
      </c>
      <c r="KR103" s="118">
        <v>0</v>
      </c>
      <c r="KS103" s="118">
        <v>1</v>
      </c>
      <c r="KT103" s="118">
        <v>0</v>
      </c>
      <c r="KU103" s="118">
        <v>0</v>
      </c>
      <c r="KV103" s="118">
        <v>2</v>
      </c>
      <c r="KW103" s="118">
        <v>0</v>
      </c>
      <c r="KX103" s="118">
        <v>0</v>
      </c>
      <c r="KY103" s="118">
        <v>0</v>
      </c>
      <c r="KZ103" s="118">
        <v>0</v>
      </c>
      <c r="LA103" s="118">
        <v>0</v>
      </c>
      <c r="LB103" s="118">
        <v>13</v>
      </c>
      <c r="LC103" s="13"/>
      <c r="LD103" s="58" t="s">
        <v>35</v>
      </c>
      <c r="LE103" s="65">
        <v>6</v>
      </c>
      <c r="LF103" s="65">
        <v>0</v>
      </c>
      <c r="LG103" s="65">
        <v>0</v>
      </c>
      <c r="LH103" s="65">
        <v>1</v>
      </c>
      <c r="LI103" s="65">
        <v>0</v>
      </c>
      <c r="LJ103" s="65">
        <v>0</v>
      </c>
      <c r="LK103" s="65">
        <v>1</v>
      </c>
      <c r="LL103" s="65">
        <v>0</v>
      </c>
      <c r="LM103" s="65">
        <v>0</v>
      </c>
      <c r="LN103" s="65">
        <v>1</v>
      </c>
      <c r="LO103" s="65">
        <v>0</v>
      </c>
      <c r="LP103" s="65">
        <v>0</v>
      </c>
      <c r="LQ103" s="65">
        <v>0</v>
      </c>
      <c r="LR103" s="65">
        <v>0</v>
      </c>
      <c r="LS103" s="65">
        <v>0</v>
      </c>
      <c r="LT103" s="65">
        <v>0</v>
      </c>
      <c r="LU103" s="65">
        <v>0</v>
      </c>
      <c r="LV103" s="65">
        <v>0</v>
      </c>
      <c r="LW103" s="65">
        <v>0</v>
      </c>
      <c r="LX103" s="65">
        <v>0</v>
      </c>
      <c r="LY103" s="65">
        <v>0</v>
      </c>
      <c r="LZ103" s="65">
        <v>0</v>
      </c>
      <c r="MA103" s="65">
        <v>9</v>
      </c>
      <c r="MB103" s="13"/>
      <c r="MC103" s="180" t="s">
        <v>35</v>
      </c>
      <c r="MD103" s="181">
        <v>18</v>
      </c>
      <c r="ME103" s="181">
        <v>2</v>
      </c>
      <c r="MF103" s="181">
        <v>0</v>
      </c>
      <c r="MG103" s="181">
        <v>0</v>
      </c>
      <c r="MH103" s="181">
        <v>1</v>
      </c>
      <c r="MI103" s="181">
        <v>0</v>
      </c>
      <c r="MJ103" s="181">
        <v>0</v>
      </c>
      <c r="MK103" s="181">
        <v>2</v>
      </c>
      <c r="ML103" s="181">
        <v>0</v>
      </c>
      <c r="MM103" s="181">
        <v>1</v>
      </c>
      <c r="MN103" s="181">
        <v>0</v>
      </c>
      <c r="MO103" s="181">
        <v>0</v>
      </c>
      <c r="MP103" s="181">
        <v>0</v>
      </c>
      <c r="MQ103" s="181">
        <v>1</v>
      </c>
      <c r="MR103" s="181">
        <v>0</v>
      </c>
      <c r="MS103" s="181">
        <v>0</v>
      </c>
      <c r="MT103" s="181">
        <v>0</v>
      </c>
      <c r="MU103" s="181">
        <v>0</v>
      </c>
      <c r="MV103" s="181">
        <v>25</v>
      </c>
      <c r="MW103" s="13"/>
      <c r="MX103" s="74" t="s">
        <v>35</v>
      </c>
      <c r="MY103" s="127">
        <v>11</v>
      </c>
      <c r="MZ103" s="127">
        <v>0</v>
      </c>
      <c r="NA103" s="127">
        <v>0</v>
      </c>
      <c r="NB103" s="127">
        <v>0</v>
      </c>
      <c r="NC103" s="127">
        <v>2</v>
      </c>
      <c r="ND103" s="127">
        <v>0</v>
      </c>
      <c r="NE103" s="127">
        <v>0</v>
      </c>
      <c r="NF103" s="127">
        <v>0</v>
      </c>
      <c r="NG103" s="127">
        <v>0</v>
      </c>
      <c r="NH103" s="127">
        <v>1</v>
      </c>
      <c r="NI103" s="127">
        <v>0</v>
      </c>
      <c r="NJ103" s="127">
        <v>0</v>
      </c>
      <c r="NK103" s="127">
        <v>0</v>
      </c>
      <c r="NL103" s="127">
        <v>0</v>
      </c>
      <c r="NM103" s="127">
        <v>0</v>
      </c>
      <c r="NN103" s="127">
        <v>0</v>
      </c>
      <c r="NO103" s="127">
        <v>0</v>
      </c>
      <c r="NP103" s="127">
        <v>1</v>
      </c>
      <c r="NQ103" s="127">
        <v>15</v>
      </c>
      <c r="NR103" s="13"/>
      <c r="NS103" s="74" t="s">
        <v>35</v>
      </c>
      <c r="NT103" s="127">
        <v>13</v>
      </c>
      <c r="NU103" s="127">
        <v>0</v>
      </c>
      <c r="NV103" s="127">
        <v>1</v>
      </c>
      <c r="NW103" s="127">
        <v>0</v>
      </c>
      <c r="NX103" s="127">
        <v>0</v>
      </c>
      <c r="NY103" s="127">
        <v>0</v>
      </c>
      <c r="NZ103" s="127">
        <v>0</v>
      </c>
      <c r="OA103" s="127">
        <v>0</v>
      </c>
      <c r="OB103" s="127">
        <v>1</v>
      </c>
      <c r="OC103" s="127">
        <v>0</v>
      </c>
      <c r="OD103" s="127">
        <v>0</v>
      </c>
      <c r="OE103" s="127">
        <v>1</v>
      </c>
      <c r="OF103" s="127">
        <v>0</v>
      </c>
      <c r="OG103" s="127">
        <v>0</v>
      </c>
      <c r="OH103" s="127">
        <v>0</v>
      </c>
      <c r="OI103" s="127">
        <v>0</v>
      </c>
      <c r="OJ103" s="127">
        <v>0</v>
      </c>
      <c r="OK103" s="127">
        <v>0</v>
      </c>
      <c r="OL103" s="127">
        <v>16</v>
      </c>
    </row>
    <row r="104" spans="1:402" ht="15.5" thickBot="1">
      <c r="A104" s="17" t="s">
        <v>36</v>
      </c>
      <c r="B104" s="89">
        <v>43</v>
      </c>
      <c r="C104" s="89">
        <v>0</v>
      </c>
      <c r="D104" s="89">
        <v>3</v>
      </c>
      <c r="E104" s="89">
        <v>0</v>
      </c>
      <c r="F104" s="89">
        <v>9</v>
      </c>
      <c r="G104" s="89">
        <v>0</v>
      </c>
      <c r="H104" s="89">
        <v>0</v>
      </c>
      <c r="I104" s="89">
        <v>4</v>
      </c>
      <c r="J104" s="89">
        <v>0</v>
      </c>
      <c r="K104" s="89">
        <v>0</v>
      </c>
      <c r="L104" s="89">
        <v>6</v>
      </c>
      <c r="M104" s="89">
        <v>1</v>
      </c>
      <c r="N104" s="89">
        <v>0</v>
      </c>
      <c r="O104" s="89">
        <v>1</v>
      </c>
      <c r="P104" s="89">
        <v>0</v>
      </c>
      <c r="Q104" s="89">
        <v>0</v>
      </c>
      <c r="R104" s="89">
        <v>6</v>
      </c>
      <c r="S104" s="89">
        <v>10</v>
      </c>
      <c r="T104" s="89">
        <v>83</v>
      </c>
      <c r="U104" s="104"/>
      <c r="V104" s="17" t="s">
        <v>36</v>
      </c>
      <c r="W104" s="89">
        <v>59</v>
      </c>
      <c r="X104" s="89">
        <v>0</v>
      </c>
      <c r="Y104" s="89">
        <v>6</v>
      </c>
      <c r="Z104" s="89">
        <v>1</v>
      </c>
      <c r="AA104" s="89">
        <v>21</v>
      </c>
      <c r="AB104" s="89">
        <v>0</v>
      </c>
      <c r="AC104" s="89">
        <v>0</v>
      </c>
      <c r="AD104" s="89">
        <v>6</v>
      </c>
      <c r="AE104" s="89">
        <v>1</v>
      </c>
      <c r="AF104" s="89">
        <v>0</v>
      </c>
      <c r="AG104" s="109">
        <v>4</v>
      </c>
      <c r="AH104" s="89">
        <v>1</v>
      </c>
      <c r="AI104" s="89">
        <v>0</v>
      </c>
      <c r="AJ104" s="89">
        <v>0</v>
      </c>
      <c r="AK104" s="89">
        <v>0</v>
      </c>
      <c r="AL104" s="89">
        <v>0</v>
      </c>
      <c r="AM104" s="89">
        <v>9</v>
      </c>
      <c r="AN104" s="89">
        <v>1</v>
      </c>
      <c r="AO104" s="89">
        <v>109</v>
      </c>
      <c r="AP104" s="104"/>
      <c r="AQ104" s="17" t="s">
        <v>36</v>
      </c>
      <c r="AR104" s="89">
        <v>37</v>
      </c>
      <c r="AS104" s="89">
        <v>0</v>
      </c>
      <c r="AT104" s="89">
        <v>2</v>
      </c>
      <c r="AU104" s="89">
        <v>4</v>
      </c>
      <c r="AV104" s="89">
        <v>38</v>
      </c>
      <c r="AW104" s="89">
        <v>0</v>
      </c>
      <c r="AX104" s="89">
        <v>0</v>
      </c>
      <c r="AY104" s="89">
        <v>6</v>
      </c>
      <c r="AZ104" s="89">
        <v>1</v>
      </c>
      <c r="BA104" s="89">
        <v>0</v>
      </c>
      <c r="BB104" s="89">
        <v>6</v>
      </c>
      <c r="BC104" s="89">
        <v>0</v>
      </c>
      <c r="BD104" s="89">
        <v>1</v>
      </c>
      <c r="BE104" s="89">
        <v>0</v>
      </c>
      <c r="BF104" s="89">
        <v>0</v>
      </c>
      <c r="BG104" s="89">
        <v>0</v>
      </c>
      <c r="BH104" s="89">
        <v>5</v>
      </c>
      <c r="BI104" s="89">
        <v>0</v>
      </c>
      <c r="BJ104" s="89">
        <v>100</v>
      </c>
      <c r="BK104" s="13"/>
      <c r="BL104" s="115" t="s">
        <v>36</v>
      </c>
      <c r="BM104" s="118">
        <v>20</v>
      </c>
      <c r="BN104" s="118">
        <v>0</v>
      </c>
      <c r="BO104" s="118">
        <v>4</v>
      </c>
      <c r="BP104" s="118">
        <v>1</v>
      </c>
      <c r="BQ104" s="118">
        <v>32</v>
      </c>
      <c r="BR104" s="118">
        <v>0</v>
      </c>
      <c r="BS104" s="118">
        <v>0</v>
      </c>
      <c r="BT104" s="118">
        <v>5</v>
      </c>
      <c r="BU104" s="118">
        <v>1</v>
      </c>
      <c r="BV104" s="118">
        <v>0</v>
      </c>
      <c r="BW104" s="118">
        <v>9</v>
      </c>
      <c r="BX104" s="118">
        <v>56</v>
      </c>
      <c r="BY104" s="118">
        <v>0</v>
      </c>
      <c r="BZ104" s="118">
        <v>3</v>
      </c>
      <c r="CA104" s="118">
        <v>0</v>
      </c>
      <c r="CB104" s="118">
        <v>0</v>
      </c>
      <c r="CC104" s="118">
        <v>3</v>
      </c>
      <c r="CD104" s="118">
        <v>12</v>
      </c>
      <c r="CE104" s="119">
        <v>146</v>
      </c>
      <c r="CF104" s="13"/>
      <c r="CG104" s="118" t="s">
        <v>36</v>
      </c>
      <c r="CH104" s="118">
        <v>24</v>
      </c>
      <c r="CI104" s="118">
        <v>0</v>
      </c>
      <c r="CJ104" s="118">
        <v>1</v>
      </c>
      <c r="CK104" s="118">
        <v>3</v>
      </c>
      <c r="CL104" s="118">
        <v>12</v>
      </c>
      <c r="CM104" s="118">
        <v>0</v>
      </c>
      <c r="CN104" s="118">
        <v>0</v>
      </c>
      <c r="CO104" s="118">
        <v>8</v>
      </c>
      <c r="CP104" s="118">
        <v>0</v>
      </c>
      <c r="CQ104" s="118">
        <v>3</v>
      </c>
      <c r="CR104" s="118">
        <v>6</v>
      </c>
      <c r="CS104" s="118">
        <v>2</v>
      </c>
      <c r="CT104" s="118">
        <v>0</v>
      </c>
      <c r="CU104" s="118">
        <v>1</v>
      </c>
      <c r="CV104" s="118">
        <v>0</v>
      </c>
      <c r="CW104" s="118">
        <v>1</v>
      </c>
      <c r="CX104" s="118">
        <v>0</v>
      </c>
      <c r="CY104" s="118">
        <v>3</v>
      </c>
      <c r="CZ104" s="118">
        <v>64</v>
      </c>
      <c r="DA104" s="13"/>
      <c r="DB104" s="118" t="s">
        <v>36</v>
      </c>
      <c r="DC104" s="118">
        <v>24</v>
      </c>
      <c r="DD104" s="118">
        <v>0</v>
      </c>
      <c r="DE104" s="118">
        <v>1</v>
      </c>
      <c r="DF104" s="118">
        <v>0</v>
      </c>
      <c r="DG104" s="118">
        <v>7</v>
      </c>
      <c r="DH104" s="118">
        <v>0</v>
      </c>
      <c r="DI104" s="118">
        <v>0</v>
      </c>
      <c r="DJ104" s="118">
        <v>8</v>
      </c>
      <c r="DK104" s="118">
        <v>0</v>
      </c>
      <c r="DL104" s="118">
        <v>0</v>
      </c>
      <c r="DM104" s="118">
        <v>2</v>
      </c>
      <c r="DN104" s="118">
        <v>3</v>
      </c>
      <c r="DO104" s="118">
        <v>0</v>
      </c>
      <c r="DP104" s="118">
        <v>0</v>
      </c>
      <c r="DQ104" s="118">
        <v>0</v>
      </c>
      <c r="DR104" s="118">
        <v>1</v>
      </c>
      <c r="DS104" s="118">
        <v>0</v>
      </c>
      <c r="DT104" s="118">
        <v>0</v>
      </c>
      <c r="DU104" s="118">
        <v>46</v>
      </c>
      <c r="DV104" s="13"/>
      <c r="DW104" s="118" t="s">
        <v>36</v>
      </c>
      <c r="DX104" s="118">
        <v>7</v>
      </c>
      <c r="DY104" s="118">
        <v>0</v>
      </c>
      <c r="DZ104" s="118">
        <v>0</v>
      </c>
      <c r="EA104" s="118">
        <v>1</v>
      </c>
      <c r="EB104" s="118">
        <v>11</v>
      </c>
      <c r="EC104" s="118">
        <v>0</v>
      </c>
      <c r="ED104" s="118">
        <v>0</v>
      </c>
      <c r="EE104" s="118">
        <v>3</v>
      </c>
      <c r="EF104" s="118">
        <v>0</v>
      </c>
      <c r="EG104" s="118">
        <v>0</v>
      </c>
      <c r="EH104" s="118">
        <v>2</v>
      </c>
      <c r="EI104" s="118">
        <v>1</v>
      </c>
      <c r="EJ104" s="118">
        <v>0</v>
      </c>
      <c r="EK104" s="118">
        <v>0</v>
      </c>
      <c r="EL104" s="118">
        <v>0</v>
      </c>
      <c r="EM104" s="118">
        <v>0</v>
      </c>
      <c r="EN104" s="118">
        <v>5</v>
      </c>
      <c r="EO104" s="118">
        <v>0</v>
      </c>
      <c r="EP104" s="118">
        <v>30</v>
      </c>
      <c r="EQ104" s="13"/>
      <c r="ER104" s="118" t="s">
        <v>36</v>
      </c>
      <c r="ES104" s="118">
        <v>19</v>
      </c>
      <c r="ET104" s="118">
        <v>0</v>
      </c>
      <c r="EU104" s="118">
        <v>1</v>
      </c>
      <c r="EV104" s="118">
        <v>1</v>
      </c>
      <c r="EW104" s="118">
        <v>12</v>
      </c>
      <c r="EX104" s="118">
        <v>1</v>
      </c>
      <c r="EY104" s="118">
        <v>0</v>
      </c>
      <c r="EZ104" s="118">
        <v>4</v>
      </c>
      <c r="FA104" s="118">
        <v>0</v>
      </c>
      <c r="FB104" s="118">
        <v>1</v>
      </c>
      <c r="FC104" s="118">
        <v>4</v>
      </c>
      <c r="FD104" s="118">
        <v>0</v>
      </c>
      <c r="FE104" s="118">
        <v>0</v>
      </c>
      <c r="FF104" s="118">
        <v>1</v>
      </c>
      <c r="FG104" s="118">
        <v>0</v>
      </c>
      <c r="FH104" s="118">
        <v>0</v>
      </c>
      <c r="FI104" s="118">
        <v>4</v>
      </c>
      <c r="FJ104" s="118">
        <v>3</v>
      </c>
      <c r="FK104" s="118">
        <v>51</v>
      </c>
      <c r="FL104" s="13"/>
      <c r="FM104" s="118" t="s">
        <v>36</v>
      </c>
      <c r="FN104" s="118">
        <v>21</v>
      </c>
      <c r="FO104" s="118">
        <v>1</v>
      </c>
      <c r="FP104" s="118">
        <v>2</v>
      </c>
      <c r="FQ104" s="118">
        <v>5</v>
      </c>
      <c r="FR104" s="118">
        <v>12</v>
      </c>
      <c r="FS104" s="118">
        <v>0</v>
      </c>
      <c r="FT104" s="118">
        <v>0</v>
      </c>
      <c r="FU104" s="118">
        <v>0</v>
      </c>
      <c r="FV104" s="118">
        <v>0</v>
      </c>
      <c r="FW104" s="118">
        <v>0</v>
      </c>
      <c r="FX104" s="118">
        <v>0</v>
      </c>
      <c r="FY104" s="118">
        <v>0</v>
      </c>
      <c r="FZ104" s="118">
        <v>0</v>
      </c>
      <c r="GA104" s="118">
        <v>0</v>
      </c>
      <c r="GB104" s="118">
        <v>0</v>
      </c>
      <c r="GC104" s="118">
        <v>0</v>
      </c>
      <c r="GD104" s="118">
        <v>2</v>
      </c>
      <c r="GE104" s="118">
        <v>5</v>
      </c>
      <c r="GF104" s="118">
        <v>48</v>
      </c>
      <c r="GG104" s="13"/>
      <c r="GH104" s="118" t="s">
        <v>36</v>
      </c>
      <c r="GI104" s="118">
        <v>8</v>
      </c>
      <c r="GJ104" s="118">
        <v>0</v>
      </c>
      <c r="GK104" s="118">
        <v>0</v>
      </c>
      <c r="GL104" s="118">
        <v>3</v>
      </c>
      <c r="GM104" s="118">
        <v>1</v>
      </c>
      <c r="GN104" s="118">
        <v>0</v>
      </c>
      <c r="GO104" s="118">
        <v>0</v>
      </c>
      <c r="GP104" s="118">
        <v>2</v>
      </c>
      <c r="GQ104" s="118">
        <v>0</v>
      </c>
      <c r="GR104" s="118">
        <v>0</v>
      </c>
      <c r="GS104" s="118">
        <v>2</v>
      </c>
      <c r="GT104" s="118">
        <v>0</v>
      </c>
      <c r="GU104" s="118">
        <v>0</v>
      </c>
      <c r="GV104" s="118">
        <v>0</v>
      </c>
      <c r="GW104" s="118">
        <v>0</v>
      </c>
      <c r="GX104" s="118">
        <v>0</v>
      </c>
      <c r="GY104" s="118">
        <v>1</v>
      </c>
      <c r="GZ104" s="118">
        <v>2</v>
      </c>
      <c r="HA104" s="118">
        <v>19</v>
      </c>
      <c r="HB104" s="13"/>
      <c r="HC104" s="118" t="s">
        <v>36</v>
      </c>
      <c r="HD104" s="118">
        <v>11</v>
      </c>
      <c r="HE104" s="118">
        <v>0</v>
      </c>
      <c r="HF104" s="118">
        <v>1</v>
      </c>
      <c r="HG104" s="118">
        <v>1</v>
      </c>
      <c r="HH104" s="118">
        <v>8</v>
      </c>
      <c r="HI104" s="118">
        <v>1</v>
      </c>
      <c r="HJ104" s="118">
        <v>0</v>
      </c>
      <c r="HK104" s="118">
        <v>7</v>
      </c>
      <c r="HL104" s="118">
        <v>0</v>
      </c>
      <c r="HM104" s="118">
        <v>0</v>
      </c>
      <c r="HN104" s="118">
        <v>0</v>
      </c>
      <c r="HO104" s="118">
        <v>0</v>
      </c>
      <c r="HP104" s="118">
        <v>0</v>
      </c>
      <c r="HQ104" s="118">
        <v>0</v>
      </c>
      <c r="HR104" s="118">
        <v>0</v>
      </c>
      <c r="HS104" s="118">
        <v>1</v>
      </c>
      <c r="HT104" s="118">
        <v>4</v>
      </c>
      <c r="HU104" s="118">
        <v>0</v>
      </c>
      <c r="HV104" s="118">
        <v>34</v>
      </c>
      <c r="HW104" s="13"/>
      <c r="HX104" s="118" t="s">
        <v>36</v>
      </c>
      <c r="HY104" s="118">
        <v>14</v>
      </c>
      <c r="HZ104" s="118">
        <v>1</v>
      </c>
      <c r="IA104" s="118">
        <v>4</v>
      </c>
      <c r="IB104" s="118">
        <v>0</v>
      </c>
      <c r="IC104" s="118">
        <v>10</v>
      </c>
      <c r="ID104" s="118">
        <v>0</v>
      </c>
      <c r="IE104" s="118">
        <v>0</v>
      </c>
      <c r="IF104" s="118">
        <v>10</v>
      </c>
      <c r="IG104" s="118">
        <v>0</v>
      </c>
      <c r="IH104" s="118">
        <v>0</v>
      </c>
      <c r="II104" s="118">
        <v>0</v>
      </c>
      <c r="IJ104" s="118">
        <v>1</v>
      </c>
      <c r="IK104" s="118">
        <v>0</v>
      </c>
      <c r="IL104" s="118">
        <v>0</v>
      </c>
      <c r="IM104" s="118">
        <v>0</v>
      </c>
      <c r="IN104" s="118">
        <v>0</v>
      </c>
      <c r="IO104" s="118">
        <v>0</v>
      </c>
      <c r="IP104" s="118">
        <v>2</v>
      </c>
      <c r="IQ104" s="118">
        <v>42</v>
      </c>
      <c r="IR104" s="13"/>
      <c r="IS104" s="118" t="s">
        <v>36</v>
      </c>
      <c r="IT104" s="118">
        <v>11</v>
      </c>
      <c r="IU104" s="118">
        <v>0</v>
      </c>
      <c r="IV104" s="118">
        <v>1</v>
      </c>
      <c r="IW104" s="118">
        <v>1</v>
      </c>
      <c r="IX104" s="118">
        <v>8</v>
      </c>
      <c r="IY104" s="118">
        <v>0</v>
      </c>
      <c r="IZ104" s="118">
        <v>0</v>
      </c>
      <c r="JA104" s="118">
        <v>11</v>
      </c>
      <c r="JB104" s="118">
        <v>0</v>
      </c>
      <c r="JC104" s="118">
        <v>0</v>
      </c>
      <c r="JD104" s="118">
        <v>0</v>
      </c>
      <c r="JE104" s="118">
        <v>1</v>
      </c>
      <c r="JF104" s="118">
        <v>0</v>
      </c>
      <c r="JG104" s="118">
        <v>0</v>
      </c>
      <c r="JH104" s="118">
        <v>0</v>
      </c>
      <c r="JI104" s="118">
        <v>0</v>
      </c>
      <c r="JJ104" s="118">
        <v>2</v>
      </c>
      <c r="JK104" s="118">
        <v>1</v>
      </c>
      <c r="JL104" s="118">
        <v>36</v>
      </c>
      <c r="JM104" s="13"/>
      <c r="JN104" s="70" t="s">
        <v>36</v>
      </c>
      <c r="JO104" s="122">
        <v>17</v>
      </c>
      <c r="JP104" s="122">
        <v>0</v>
      </c>
      <c r="JQ104" s="122">
        <v>0</v>
      </c>
      <c r="JR104" s="122">
        <v>0</v>
      </c>
      <c r="JS104" s="122">
        <v>10</v>
      </c>
      <c r="JT104" s="122">
        <v>4</v>
      </c>
      <c r="JU104" s="122">
        <v>0</v>
      </c>
      <c r="JV104" s="122">
        <v>1</v>
      </c>
      <c r="JW104" s="122">
        <v>1</v>
      </c>
      <c r="JX104" s="122">
        <v>0</v>
      </c>
      <c r="JY104" s="122">
        <v>0</v>
      </c>
      <c r="JZ104" s="122">
        <v>1</v>
      </c>
      <c r="KA104" s="122">
        <v>0</v>
      </c>
      <c r="KB104" s="122">
        <v>0</v>
      </c>
      <c r="KC104" s="122">
        <v>0</v>
      </c>
      <c r="KD104" s="122">
        <v>2</v>
      </c>
      <c r="KE104" s="122">
        <v>0</v>
      </c>
      <c r="KF104" s="122">
        <v>0</v>
      </c>
      <c r="KG104" s="123">
        <v>36</v>
      </c>
      <c r="KH104" s="13"/>
      <c r="KI104" s="118" t="s">
        <v>36</v>
      </c>
      <c r="KJ104" s="118">
        <v>12</v>
      </c>
      <c r="KK104" s="118">
        <v>0</v>
      </c>
      <c r="KL104" s="118">
        <v>0</v>
      </c>
      <c r="KM104" s="118">
        <v>0</v>
      </c>
      <c r="KN104" s="118">
        <v>1</v>
      </c>
      <c r="KO104" s="118">
        <v>7</v>
      </c>
      <c r="KP104" s="118">
        <v>5</v>
      </c>
      <c r="KQ104" s="118">
        <v>0</v>
      </c>
      <c r="KR104" s="118">
        <v>0</v>
      </c>
      <c r="KS104" s="118">
        <v>0</v>
      </c>
      <c r="KT104" s="118">
        <v>0</v>
      </c>
      <c r="KU104" s="118">
        <v>0</v>
      </c>
      <c r="KV104" s="118">
        <v>0</v>
      </c>
      <c r="KW104" s="118">
        <v>2</v>
      </c>
      <c r="KX104" s="118">
        <v>0</v>
      </c>
      <c r="KY104" s="118">
        <v>0</v>
      </c>
      <c r="KZ104" s="118">
        <v>0</v>
      </c>
      <c r="LA104" s="118">
        <v>1</v>
      </c>
      <c r="LB104" s="118">
        <v>28</v>
      </c>
      <c r="LC104" s="13"/>
      <c r="LD104" s="58" t="s">
        <v>36</v>
      </c>
      <c r="LE104" s="65">
        <v>4</v>
      </c>
      <c r="LF104" s="65">
        <v>0</v>
      </c>
      <c r="LG104" s="65">
        <v>2</v>
      </c>
      <c r="LH104" s="65">
        <v>0</v>
      </c>
      <c r="LI104" s="65">
        <v>1</v>
      </c>
      <c r="LJ104" s="65">
        <v>4</v>
      </c>
      <c r="LK104" s="65">
        <v>8</v>
      </c>
      <c r="LL104" s="65">
        <v>0</v>
      </c>
      <c r="LM104" s="65">
        <v>0</v>
      </c>
      <c r="LN104" s="65">
        <v>0</v>
      </c>
      <c r="LO104" s="65">
        <v>0</v>
      </c>
      <c r="LP104" s="65">
        <v>0</v>
      </c>
      <c r="LQ104" s="65">
        <v>1</v>
      </c>
      <c r="LR104" s="65">
        <v>0</v>
      </c>
      <c r="LS104" s="65">
        <v>0</v>
      </c>
      <c r="LT104" s="65">
        <v>0</v>
      </c>
      <c r="LU104" s="65">
        <v>0</v>
      </c>
      <c r="LV104" s="65">
        <v>2</v>
      </c>
      <c r="LW104" s="65">
        <v>0</v>
      </c>
      <c r="LX104" s="65">
        <v>0</v>
      </c>
      <c r="LY104" s="65">
        <v>2</v>
      </c>
      <c r="LZ104" s="65">
        <v>0</v>
      </c>
      <c r="MA104" s="65">
        <v>24</v>
      </c>
      <c r="MB104" s="13"/>
      <c r="MC104" s="180" t="s">
        <v>36</v>
      </c>
      <c r="MD104" s="181">
        <v>12</v>
      </c>
      <c r="ME104" s="181">
        <v>1</v>
      </c>
      <c r="MF104" s="181">
        <v>1</v>
      </c>
      <c r="MG104" s="181">
        <v>1</v>
      </c>
      <c r="MH104" s="181">
        <v>7</v>
      </c>
      <c r="MI104" s="181">
        <v>1</v>
      </c>
      <c r="MJ104" s="181">
        <v>0</v>
      </c>
      <c r="MK104" s="181">
        <v>5</v>
      </c>
      <c r="ML104" s="181">
        <v>3</v>
      </c>
      <c r="MM104" s="181">
        <v>0</v>
      </c>
      <c r="MN104" s="181">
        <v>1</v>
      </c>
      <c r="MO104" s="181">
        <v>0</v>
      </c>
      <c r="MP104" s="181">
        <v>0</v>
      </c>
      <c r="MQ104" s="181">
        <v>0</v>
      </c>
      <c r="MR104" s="181">
        <v>0</v>
      </c>
      <c r="MS104" s="181">
        <v>0</v>
      </c>
      <c r="MT104" s="181">
        <v>0</v>
      </c>
      <c r="MU104" s="181">
        <v>0</v>
      </c>
      <c r="MV104" s="181">
        <v>32</v>
      </c>
      <c r="MW104" s="13"/>
      <c r="MX104" s="74" t="s">
        <v>36</v>
      </c>
      <c r="MY104" s="127">
        <v>13</v>
      </c>
      <c r="MZ104" s="127">
        <v>0</v>
      </c>
      <c r="NA104" s="127">
        <v>0</v>
      </c>
      <c r="NB104" s="127">
        <v>1</v>
      </c>
      <c r="NC104" s="127">
        <v>7</v>
      </c>
      <c r="ND104" s="127">
        <v>0</v>
      </c>
      <c r="NE104" s="127">
        <v>0</v>
      </c>
      <c r="NF104" s="127">
        <v>5</v>
      </c>
      <c r="NG104" s="127">
        <v>2</v>
      </c>
      <c r="NH104" s="127">
        <v>0</v>
      </c>
      <c r="NI104" s="127">
        <v>1</v>
      </c>
      <c r="NJ104" s="127">
        <v>1</v>
      </c>
      <c r="NK104" s="127">
        <v>0</v>
      </c>
      <c r="NL104" s="127">
        <v>0</v>
      </c>
      <c r="NM104" s="127">
        <v>0</v>
      </c>
      <c r="NN104" s="127">
        <v>0</v>
      </c>
      <c r="NO104" s="127">
        <v>0</v>
      </c>
      <c r="NP104" s="127">
        <v>0</v>
      </c>
      <c r="NQ104" s="127">
        <v>30</v>
      </c>
      <c r="NR104" s="13"/>
      <c r="NS104" s="74" t="s">
        <v>36</v>
      </c>
      <c r="NT104" s="127">
        <v>21</v>
      </c>
      <c r="NU104" s="127">
        <v>0</v>
      </c>
      <c r="NV104" s="127">
        <v>5</v>
      </c>
      <c r="NW104" s="127">
        <v>1</v>
      </c>
      <c r="NX104" s="127">
        <v>3</v>
      </c>
      <c r="NY104" s="127">
        <v>1</v>
      </c>
      <c r="NZ104" s="127">
        <v>0</v>
      </c>
      <c r="OA104" s="127">
        <v>3</v>
      </c>
      <c r="OB104" s="127">
        <v>0</v>
      </c>
      <c r="OC104" s="127">
        <v>0</v>
      </c>
      <c r="OD104" s="127">
        <v>1</v>
      </c>
      <c r="OE104" s="127">
        <v>0</v>
      </c>
      <c r="OF104" s="127">
        <v>0</v>
      </c>
      <c r="OG104" s="127">
        <v>0</v>
      </c>
      <c r="OH104" s="127">
        <v>0</v>
      </c>
      <c r="OI104" s="127">
        <v>0</v>
      </c>
      <c r="OJ104" s="127">
        <v>0</v>
      </c>
      <c r="OK104" s="127">
        <v>0</v>
      </c>
      <c r="OL104" s="127">
        <v>35</v>
      </c>
    </row>
    <row r="105" spans="1:402" ht="15.5" thickBot="1">
      <c r="A105" s="17" t="s">
        <v>37</v>
      </c>
      <c r="B105" s="89">
        <v>74</v>
      </c>
      <c r="C105" s="89">
        <v>0</v>
      </c>
      <c r="D105" s="89">
        <v>11</v>
      </c>
      <c r="E105" s="89">
        <v>3</v>
      </c>
      <c r="F105" s="89">
        <v>0</v>
      </c>
      <c r="G105" s="89">
        <v>5</v>
      </c>
      <c r="H105" s="89">
        <v>2</v>
      </c>
      <c r="I105" s="89">
        <v>21</v>
      </c>
      <c r="J105" s="89">
        <v>7</v>
      </c>
      <c r="K105" s="89">
        <v>2</v>
      </c>
      <c r="L105" s="89">
        <v>4</v>
      </c>
      <c r="M105" s="89">
        <v>3</v>
      </c>
      <c r="N105" s="89">
        <v>0</v>
      </c>
      <c r="O105" s="89">
        <v>0</v>
      </c>
      <c r="P105" s="89">
        <v>0</v>
      </c>
      <c r="Q105" s="89">
        <v>0</v>
      </c>
      <c r="R105" s="89">
        <v>8</v>
      </c>
      <c r="S105" s="89">
        <v>0</v>
      </c>
      <c r="T105" s="89">
        <v>140</v>
      </c>
      <c r="U105" s="104"/>
      <c r="V105" s="17" t="s">
        <v>37</v>
      </c>
      <c r="W105" s="89">
        <v>77</v>
      </c>
      <c r="X105" s="89">
        <v>0</v>
      </c>
      <c r="Y105" s="89">
        <v>16</v>
      </c>
      <c r="Z105" s="89">
        <v>3</v>
      </c>
      <c r="AA105" s="89">
        <v>0</v>
      </c>
      <c r="AB105" s="89">
        <v>0</v>
      </c>
      <c r="AC105" s="89">
        <v>1</v>
      </c>
      <c r="AD105" s="89">
        <v>18</v>
      </c>
      <c r="AE105" s="89">
        <v>15</v>
      </c>
      <c r="AF105" s="89">
        <v>1</v>
      </c>
      <c r="AG105" s="109">
        <v>4</v>
      </c>
      <c r="AH105" s="89">
        <v>2</v>
      </c>
      <c r="AI105" s="89">
        <v>1</v>
      </c>
      <c r="AJ105" s="89">
        <v>0</v>
      </c>
      <c r="AK105" s="89">
        <v>0</v>
      </c>
      <c r="AL105" s="89">
        <v>0</v>
      </c>
      <c r="AM105" s="89">
        <v>14</v>
      </c>
      <c r="AN105" s="89">
        <v>1</v>
      </c>
      <c r="AO105" s="89">
        <v>153</v>
      </c>
      <c r="AP105" s="104"/>
      <c r="AQ105" s="17" t="s">
        <v>37</v>
      </c>
      <c r="AR105" s="89">
        <v>55</v>
      </c>
      <c r="AS105" s="89">
        <v>0</v>
      </c>
      <c r="AT105" s="89">
        <v>8</v>
      </c>
      <c r="AU105" s="89">
        <v>5</v>
      </c>
      <c r="AV105" s="89">
        <v>0</v>
      </c>
      <c r="AW105" s="89">
        <v>2</v>
      </c>
      <c r="AX105" s="89">
        <v>0</v>
      </c>
      <c r="AY105" s="89">
        <v>17</v>
      </c>
      <c r="AZ105" s="89">
        <v>7</v>
      </c>
      <c r="BA105" s="89">
        <v>0</v>
      </c>
      <c r="BB105" s="89">
        <v>5</v>
      </c>
      <c r="BC105" s="89">
        <v>5</v>
      </c>
      <c r="BD105" s="89">
        <v>1</v>
      </c>
      <c r="BE105" s="89">
        <v>0</v>
      </c>
      <c r="BF105" s="89">
        <v>0</v>
      </c>
      <c r="BG105" s="89">
        <v>0</v>
      </c>
      <c r="BH105" s="89">
        <v>7</v>
      </c>
      <c r="BI105" s="89">
        <v>0</v>
      </c>
      <c r="BJ105" s="89">
        <v>112</v>
      </c>
      <c r="BK105" s="13"/>
      <c r="BL105" s="115" t="s">
        <v>37</v>
      </c>
      <c r="BM105" s="118">
        <v>69</v>
      </c>
      <c r="BN105" s="118">
        <v>0</v>
      </c>
      <c r="BO105" s="118">
        <v>7</v>
      </c>
      <c r="BP105" s="118">
        <v>7</v>
      </c>
      <c r="BQ105" s="118">
        <v>0</v>
      </c>
      <c r="BR105" s="118">
        <v>2</v>
      </c>
      <c r="BS105" s="118">
        <v>1</v>
      </c>
      <c r="BT105" s="118">
        <v>15</v>
      </c>
      <c r="BU105" s="118">
        <v>6</v>
      </c>
      <c r="BV105" s="118">
        <v>1</v>
      </c>
      <c r="BW105" s="118">
        <v>8</v>
      </c>
      <c r="BX105" s="118">
        <v>0</v>
      </c>
      <c r="BY105" s="118">
        <v>4</v>
      </c>
      <c r="BZ105" s="118">
        <v>0</v>
      </c>
      <c r="CA105" s="118">
        <v>1</v>
      </c>
      <c r="CB105" s="118">
        <v>0</v>
      </c>
      <c r="CC105" s="118">
        <v>5</v>
      </c>
      <c r="CD105" s="118">
        <v>1</v>
      </c>
      <c r="CE105" s="119">
        <v>127</v>
      </c>
      <c r="CF105" s="13"/>
      <c r="CG105" s="118" t="s">
        <v>37</v>
      </c>
      <c r="CH105" s="118">
        <v>124</v>
      </c>
      <c r="CI105" s="118">
        <v>2</v>
      </c>
      <c r="CJ105" s="118">
        <v>18</v>
      </c>
      <c r="CK105" s="118">
        <v>2</v>
      </c>
      <c r="CL105" s="118">
        <v>0</v>
      </c>
      <c r="CM105" s="118">
        <v>9</v>
      </c>
      <c r="CN105" s="118">
        <v>1</v>
      </c>
      <c r="CO105" s="118">
        <v>29</v>
      </c>
      <c r="CP105" s="118">
        <v>21</v>
      </c>
      <c r="CQ105" s="118">
        <v>5</v>
      </c>
      <c r="CR105" s="118">
        <v>9</v>
      </c>
      <c r="CS105" s="118">
        <v>9</v>
      </c>
      <c r="CT105" s="118">
        <v>2</v>
      </c>
      <c r="CU105" s="118">
        <v>0</v>
      </c>
      <c r="CV105" s="118">
        <v>0</v>
      </c>
      <c r="CW105" s="118">
        <v>1</v>
      </c>
      <c r="CX105" s="118">
        <v>8</v>
      </c>
      <c r="CY105" s="118">
        <v>7</v>
      </c>
      <c r="CZ105" s="118">
        <v>247</v>
      </c>
      <c r="DA105" s="13"/>
      <c r="DB105" s="118" t="s">
        <v>37</v>
      </c>
      <c r="DC105" s="118">
        <v>90</v>
      </c>
      <c r="DD105" s="118">
        <v>0</v>
      </c>
      <c r="DE105" s="118">
        <v>8</v>
      </c>
      <c r="DF105" s="118">
        <v>2</v>
      </c>
      <c r="DG105" s="118">
        <v>0</v>
      </c>
      <c r="DH105" s="118">
        <v>2</v>
      </c>
      <c r="DI105" s="118">
        <v>0</v>
      </c>
      <c r="DJ105" s="118">
        <v>19</v>
      </c>
      <c r="DK105" s="118">
        <v>17</v>
      </c>
      <c r="DL105" s="118">
        <v>5</v>
      </c>
      <c r="DM105" s="118">
        <v>11</v>
      </c>
      <c r="DN105" s="118">
        <v>3</v>
      </c>
      <c r="DO105" s="118">
        <v>0</v>
      </c>
      <c r="DP105" s="118">
        <v>0</v>
      </c>
      <c r="DQ105" s="118">
        <v>0</v>
      </c>
      <c r="DR105" s="118">
        <v>0</v>
      </c>
      <c r="DS105" s="118">
        <v>7</v>
      </c>
      <c r="DT105" s="118">
        <v>1</v>
      </c>
      <c r="DU105" s="118">
        <v>165</v>
      </c>
      <c r="DV105" s="13"/>
      <c r="DW105" s="118" t="s">
        <v>37</v>
      </c>
      <c r="DX105" s="118">
        <v>62</v>
      </c>
      <c r="DY105" s="118">
        <v>0</v>
      </c>
      <c r="DZ105" s="118">
        <v>7</v>
      </c>
      <c r="EA105" s="118">
        <v>3</v>
      </c>
      <c r="EB105" s="118">
        <v>2</v>
      </c>
      <c r="EC105" s="118">
        <v>0</v>
      </c>
      <c r="ED105" s="118">
        <v>0</v>
      </c>
      <c r="EE105" s="118">
        <v>6</v>
      </c>
      <c r="EF105" s="118">
        <v>3</v>
      </c>
      <c r="EG105" s="118">
        <v>7</v>
      </c>
      <c r="EH105" s="118">
        <v>4</v>
      </c>
      <c r="EI105" s="118">
        <v>1</v>
      </c>
      <c r="EJ105" s="118">
        <v>0</v>
      </c>
      <c r="EK105" s="118">
        <v>0</v>
      </c>
      <c r="EL105" s="118">
        <v>0</v>
      </c>
      <c r="EM105" s="118">
        <v>0</v>
      </c>
      <c r="EN105" s="118">
        <v>9</v>
      </c>
      <c r="EO105" s="118">
        <v>3</v>
      </c>
      <c r="EP105" s="118">
        <v>107</v>
      </c>
      <c r="EQ105" s="13"/>
      <c r="ER105" s="118" t="s">
        <v>37</v>
      </c>
      <c r="ES105" s="118">
        <v>98</v>
      </c>
      <c r="ET105" s="118">
        <v>0</v>
      </c>
      <c r="EU105" s="118">
        <v>14</v>
      </c>
      <c r="EV105" s="118">
        <v>2</v>
      </c>
      <c r="EW105" s="118">
        <v>1</v>
      </c>
      <c r="EX105" s="118">
        <v>3</v>
      </c>
      <c r="EY105" s="118">
        <v>1</v>
      </c>
      <c r="EZ105" s="118">
        <v>10</v>
      </c>
      <c r="FA105" s="118">
        <v>15</v>
      </c>
      <c r="FB105" s="118">
        <v>7</v>
      </c>
      <c r="FC105" s="118">
        <v>3</v>
      </c>
      <c r="FD105" s="118">
        <v>4</v>
      </c>
      <c r="FE105" s="118">
        <v>0</v>
      </c>
      <c r="FF105" s="118">
        <v>0</v>
      </c>
      <c r="FG105" s="118">
        <v>0</v>
      </c>
      <c r="FH105" s="118">
        <v>1</v>
      </c>
      <c r="FI105" s="118">
        <v>7</v>
      </c>
      <c r="FJ105" s="118">
        <v>8</v>
      </c>
      <c r="FK105" s="118">
        <v>174</v>
      </c>
      <c r="FL105" s="13"/>
      <c r="FM105" s="118" t="s">
        <v>37</v>
      </c>
      <c r="FN105" s="118">
        <v>72</v>
      </c>
      <c r="FO105" s="118">
        <v>0</v>
      </c>
      <c r="FP105" s="118">
        <v>4</v>
      </c>
      <c r="FQ105" s="118">
        <v>2</v>
      </c>
      <c r="FR105" s="118">
        <v>2</v>
      </c>
      <c r="FS105" s="118">
        <v>1</v>
      </c>
      <c r="FT105" s="118">
        <v>2</v>
      </c>
      <c r="FU105" s="118">
        <v>9</v>
      </c>
      <c r="FV105" s="118">
        <v>11</v>
      </c>
      <c r="FW105" s="118">
        <v>5</v>
      </c>
      <c r="FX105" s="118">
        <v>2</v>
      </c>
      <c r="FY105" s="118">
        <v>2</v>
      </c>
      <c r="FZ105" s="118">
        <v>0</v>
      </c>
      <c r="GA105" s="118">
        <v>0</v>
      </c>
      <c r="GB105" s="118">
        <v>0</v>
      </c>
      <c r="GC105" s="118">
        <v>1</v>
      </c>
      <c r="GD105" s="118">
        <v>6</v>
      </c>
      <c r="GE105" s="118">
        <v>42</v>
      </c>
      <c r="GF105" s="118">
        <v>161</v>
      </c>
      <c r="GG105" s="13"/>
      <c r="GH105" s="118" t="s">
        <v>37</v>
      </c>
      <c r="GI105" s="118">
        <v>79</v>
      </c>
      <c r="GJ105" s="118">
        <v>0</v>
      </c>
      <c r="GK105" s="118">
        <v>12</v>
      </c>
      <c r="GL105" s="118">
        <v>3</v>
      </c>
      <c r="GM105" s="118">
        <v>2</v>
      </c>
      <c r="GN105" s="118">
        <v>2</v>
      </c>
      <c r="GO105" s="118">
        <v>1</v>
      </c>
      <c r="GP105" s="118">
        <v>24</v>
      </c>
      <c r="GQ105" s="118">
        <v>5</v>
      </c>
      <c r="GR105" s="118">
        <v>2</v>
      </c>
      <c r="GS105" s="118">
        <v>4</v>
      </c>
      <c r="GT105" s="118">
        <v>4</v>
      </c>
      <c r="GU105" s="118">
        <v>0</v>
      </c>
      <c r="GV105" s="118">
        <v>0</v>
      </c>
      <c r="GW105" s="118">
        <v>0</v>
      </c>
      <c r="GX105" s="118">
        <v>0</v>
      </c>
      <c r="GY105" s="118">
        <v>7</v>
      </c>
      <c r="GZ105" s="118">
        <v>10</v>
      </c>
      <c r="HA105" s="118">
        <v>155</v>
      </c>
      <c r="HB105" s="13"/>
      <c r="HC105" s="118" t="s">
        <v>37</v>
      </c>
      <c r="HD105" s="118">
        <v>80</v>
      </c>
      <c r="HE105" s="118">
        <v>0</v>
      </c>
      <c r="HF105" s="118">
        <v>21</v>
      </c>
      <c r="HG105" s="118">
        <v>8</v>
      </c>
      <c r="HH105" s="118">
        <v>0</v>
      </c>
      <c r="HI105" s="118">
        <v>1</v>
      </c>
      <c r="HJ105" s="118">
        <v>0</v>
      </c>
      <c r="HK105" s="118">
        <v>8</v>
      </c>
      <c r="HL105" s="118">
        <v>4</v>
      </c>
      <c r="HM105" s="118">
        <v>0</v>
      </c>
      <c r="HN105" s="118">
        <v>2</v>
      </c>
      <c r="HO105" s="118">
        <v>2</v>
      </c>
      <c r="HP105" s="118">
        <v>0</v>
      </c>
      <c r="HQ105" s="118">
        <v>0</v>
      </c>
      <c r="HR105" s="118">
        <v>0</v>
      </c>
      <c r="HS105" s="118">
        <v>0</v>
      </c>
      <c r="HT105" s="118">
        <v>3</v>
      </c>
      <c r="HU105" s="118">
        <v>4</v>
      </c>
      <c r="HV105" s="118">
        <v>133</v>
      </c>
      <c r="HW105" s="13"/>
      <c r="HX105" s="118" t="s">
        <v>37</v>
      </c>
      <c r="HY105" s="118">
        <v>36</v>
      </c>
      <c r="HZ105" s="118">
        <v>0</v>
      </c>
      <c r="IA105" s="118">
        <v>9</v>
      </c>
      <c r="IB105" s="118">
        <v>4</v>
      </c>
      <c r="IC105" s="118">
        <v>0</v>
      </c>
      <c r="ID105" s="118">
        <v>1</v>
      </c>
      <c r="IE105" s="118">
        <v>0</v>
      </c>
      <c r="IF105" s="118">
        <v>2</v>
      </c>
      <c r="IG105" s="118">
        <v>1</v>
      </c>
      <c r="IH105" s="118">
        <v>1</v>
      </c>
      <c r="II105" s="118">
        <v>1</v>
      </c>
      <c r="IJ105" s="118">
        <v>1</v>
      </c>
      <c r="IK105" s="118">
        <v>0</v>
      </c>
      <c r="IL105" s="118">
        <v>0</v>
      </c>
      <c r="IM105" s="118">
        <v>0</v>
      </c>
      <c r="IN105" s="118">
        <v>0</v>
      </c>
      <c r="IO105" s="118">
        <v>0</v>
      </c>
      <c r="IP105" s="118">
        <v>1</v>
      </c>
      <c r="IQ105" s="118">
        <v>57</v>
      </c>
      <c r="IR105" s="13"/>
      <c r="IS105" s="118" t="s">
        <v>37</v>
      </c>
      <c r="IT105" s="118">
        <v>55</v>
      </c>
      <c r="IU105" s="118">
        <v>0</v>
      </c>
      <c r="IV105" s="118">
        <v>13</v>
      </c>
      <c r="IW105" s="118">
        <v>0</v>
      </c>
      <c r="IX105" s="118">
        <v>2</v>
      </c>
      <c r="IY105" s="118">
        <v>1</v>
      </c>
      <c r="IZ105" s="118">
        <v>0</v>
      </c>
      <c r="JA105" s="118">
        <v>3</v>
      </c>
      <c r="JB105" s="118">
        <v>2</v>
      </c>
      <c r="JC105" s="118">
        <v>1</v>
      </c>
      <c r="JD105" s="118">
        <v>8</v>
      </c>
      <c r="JE105" s="118">
        <v>9</v>
      </c>
      <c r="JF105" s="118">
        <v>0</v>
      </c>
      <c r="JG105" s="118">
        <v>0</v>
      </c>
      <c r="JH105" s="118">
        <v>0</v>
      </c>
      <c r="JI105" s="118">
        <v>2</v>
      </c>
      <c r="JJ105" s="118">
        <v>7</v>
      </c>
      <c r="JK105" s="118">
        <v>33</v>
      </c>
      <c r="JL105" s="118">
        <v>136</v>
      </c>
      <c r="JM105" s="13"/>
      <c r="JN105" s="70" t="s">
        <v>37</v>
      </c>
      <c r="JO105" s="122">
        <v>67</v>
      </c>
      <c r="JP105" s="122">
        <v>0</v>
      </c>
      <c r="JQ105" s="122">
        <v>23</v>
      </c>
      <c r="JR105" s="122">
        <v>3</v>
      </c>
      <c r="JS105" s="122">
        <v>5</v>
      </c>
      <c r="JT105" s="122">
        <v>4</v>
      </c>
      <c r="JU105" s="122">
        <v>0</v>
      </c>
      <c r="JV105" s="122">
        <v>5</v>
      </c>
      <c r="JW105" s="122">
        <v>9</v>
      </c>
      <c r="JX105" s="122">
        <v>4</v>
      </c>
      <c r="JY105" s="122">
        <v>3</v>
      </c>
      <c r="JZ105" s="122">
        <v>0</v>
      </c>
      <c r="KA105" s="122">
        <v>0</v>
      </c>
      <c r="KB105" s="122">
        <v>0</v>
      </c>
      <c r="KC105" s="122">
        <v>0</v>
      </c>
      <c r="KD105" s="122">
        <v>1</v>
      </c>
      <c r="KE105" s="122">
        <v>0</v>
      </c>
      <c r="KF105" s="122">
        <v>0</v>
      </c>
      <c r="KG105" s="123">
        <v>124</v>
      </c>
      <c r="KH105" s="13"/>
      <c r="KI105" s="118" t="s">
        <v>37</v>
      </c>
      <c r="KJ105" s="118">
        <v>37</v>
      </c>
      <c r="KK105" s="118">
        <v>0</v>
      </c>
      <c r="KL105" s="118">
        <v>13</v>
      </c>
      <c r="KM105" s="118">
        <v>14</v>
      </c>
      <c r="KN105" s="118">
        <v>0</v>
      </c>
      <c r="KO105" s="118">
        <v>1</v>
      </c>
      <c r="KP105" s="118">
        <v>3</v>
      </c>
      <c r="KQ105" s="118">
        <v>1</v>
      </c>
      <c r="KR105" s="118">
        <v>0</v>
      </c>
      <c r="KS105" s="118">
        <v>0</v>
      </c>
      <c r="KT105" s="118">
        <v>5</v>
      </c>
      <c r="KU105" s="118">
        <v>1</v>
      </c>
      <c r="KV105" s="118">
        <v>1</v>
      </c>
      <c r="KW105" s="118">
        <v>1</v>
      </c>
      <c r="KX105" s="118">
        <v>0</v>
      </c>
      <c r="KY105" s="118">
        <v>0</v>
      </c>
      <c r="KZ105" s="118">
        <v>0</v>
      </c>
      <c r="LA105" s="118">
        <v>0</v>
      </c>
      <c r="LB105" s="118">
        <v>77</v>
      </c>
      <c r="LC105" s="13"/>
      <c r="LD105" s="58" t="s">
        <v>37</v>
      </c>
      <c r="LE105" s="65">
        <v>22</v>
      </c>
      <c r="LF105" s="65">
        <v>0</v>
      </c>
      <c r="LG105" s="65">
        <v>8</v>
      </c>
      <c r="LH105" s="65">
        <v>14</v>
      </c>
      <c r="LI105" s="65">
        <v>0</v>
      </c>
      <c r="LJ105" s="65">
        <v>1</v>
      </c>
      <c r="LK105" s="65">
        <v>0</v>
      </c>
      <c r="LL105" s="65">
        <v>3</v>
      </c>
      <c r="LM105" s="65">
        <v>0</v>
      </c>
      <c r="LN105" s="65">
        <v>1</v>
      </c>
      <c r="LO105" s="65">
        <v>4</v>
      </c>
      <c r="LP105" s="65">
        <v>2</v>
      </c>
      <c r="LQ105" s="65">
        <v>2</v>
      </c>
      <c r="LR105" s="65">
        <v>2</v>
      </c>
      <c r="LS105" s="65">
        <v>0</v>
      </c>
      <c r="LT105" s="65">
        <v>0</v>
      </c>
      <c r="LU105" s="65">
        <v>0</v>
      </c>
      <c r="LV105" s="65">
        <v>0</v>
      </c>
      <c r="LW105" s="65">
        <v>0</v>
      </c>
      <c r="LX105" s="65">
        <v>0</v>
      </c>
      <c r="LY105" s="65">
        <v>0</v>
      </c>
      <c r="LZ105" s="65">
        <v>0</v>
      </c>
      <c r="MA105" s="65">
        <v>59</v>
      </c>
      <c r="MB105" s="13"/>
      <c r="MC105" s="180" t="s">
        <v>37</v>
      </c>
      <c r="MD105" s="181">
        <v>27</v>
      </c>
      <c r="ME105" s="181">
        <v>0</v>
      </c>
      <c r="MF105" s="181">
        <v>6</v>
      </c>
      <c r="MG105" s="181">
        <v>0</v>
      </c>
      <c r="MH105" s="181">
        <v>0</v>
      </c>
      <c r="MI105" s="181">
        <v>9</v>
      </c>
      <c r="MJ105" s="181">
        <v>0</v>
      </c>
      <c r="MK105" s="181">
        <v>3</v>
      </c>
      <c r="ML105" s="181">
        <v>0</v>
      </c>
      <c r="MM105" s="181">
        <v>6</v>
      </c>
      <c r="MN105" s="181">
        <v>6</v>
      </c>
      <c r="MO105" s="181">
        <v>6</v>
      </c>
      <c r="MP105" s="181">
        <v>0</v>
      </c>
      <c r="MQ105" s="181">
        <v>0</v>
      </c>
      <c r="MR105" s="181">
        <v>0</v>
      </c>
      <c r="MS105" s="181">
        <v>0</v>
      </c>
      <c r="MT105" s="181">
        <v>0</v>
      </c>
      <c r="MU105" s="181">
        <v>0</v>
      </c>
      <c r="MV105" s="181">
        <v>63</v>
      </c>
      <c r="MW105" s="13"/>
      <c r="MX105" s="74" t="s">
        <v>37</v>
      </c>
      <c r="MY105" s="127">
        <v>43</v>
      </c>
      <c r="MZ105" s="127">
        <v>0</v>
      </c>
      <c r="NA105" s="127">
        <v>8</v>
      </c>
      <c r="NB105" s="127">
        <v>2</v>
      </c>
      <c r="NC105" s="127">
        <v>0</v>
      </c>
      <c r="ND105" s="127">
        <v>3</v>
      </c>
      <c r="NE105" s="127">
        <v>0</v>
      </c>
      <c r="NF105" s="127">
        <v>6</v>
      </c>
      <c r="NG105" s="127">
        <v>4</v>
      </c>
      <c r="NH105" s="127">
        <v>3</v>
      </c>
      <c r="NI105" s="127">
        <v>4</v>
      </c>
      <c r="NJ105" s="127">
        <v>0</v>
      </c>
      <c r="NK105" s="127">
        <v>0</v>
      </c>
      <c r="NL105" s="127">
        <v>0</v>
      </c>
      <c r="NM105" s="127">
        <v>0</v>
      </c>
      <c r="NN105" s="127">
        <v>0</v>
      </c>
      <c r="NO105" s="127">
        <v>1</v>
      </c>
      <c r="NP105" s="127">
        <v>3</v>
      </c>
      <c r="NQ105" s="127">
        <v>77</v>
      </c>
      <c r="NR105" s="13"/>
      <c r="NS105" s="74" t="s">
        <v>37</v>
      </c>
      <c r="NT105" s="127">
        <v>53</v>
      </c>
      <c r="NU105" s="127">
        <v>0</v>
      </c>
      <c r="NV105" s="127">
        <v>6</v>
      </c>
      <c r="NW105" s="127">
        <v>2</v>
      </c>
      <c r="NX105" s="127">
        <v>0</v>
      </c>
      <c r="NY105" s="127">
        <v>2</v>
      </c>
      <c r="NZ105" s="127">
        <v>0</v>
      </c>
      <c r="OA105" s="127">
        <v>4</v>
      </c>
      <c r="OB105" s="127">
        <v>1</v>
      </c>
      <c r="OC105" s="127">
        <v>4</v>
      </c>
      <c r="OD105" s="127">
        <v>2</v>
      </c>
      <c r="OE105" s="127">
        <v>1</v>
      </c>
      <c r="OF105" s="127">
        <v>0</v>
      </c>
      <c r="OG105" s="127">
        <v>0</v>
      </c>
      <c r="OH105" s="127">
        <v>0</v>
      </c>
      <c r="OI105" s="127">
        <v>0</v>
      </c>
      <c r="OJ105" s="127">
        <v>1</v>
      </c>
      <c r="OK105" s="127">
        <v>1</v>
      </c>
      <c r="OL105" s="127">
        <v>77</v>
      </c>
    </row>
    <row r="106" spans="1:402" ht="15.5" thickBot="1">
      <c r="A106" s="17" t="s">
        <v>38</v>
      </c>
      <c r="B106" s="89">
        <v>1</v>
      </c>
      <c r="C106" s="89">
        <v>0</v>
      </c>
      <c r="D106" s="89">
        <v>0</v>
      </c>
      <c r="E106" s="89">
        <v>0</v>
      </c>
      <c r="F106" s="89">
        <v>0</v>
      </c>
      <c r="G106" s="89">
        <v>0</v>
      </c>
      <c r="H106" s="89">
        <v>0</v>
      </c>
      <c r="I106" s="89">
        <v>0</v>
      </c>
      <c r="J106" s="89">
        <v>0</v>
      </c>
      <c r="K106" s="89">
        <v>0</v>
      </c>
      <c r="L106" s="89">
        <v>0</v>
      </c>
      <c r="M106" s="89">
        <v>0</v>
      </c>
      <c r="N106" s="89">
        <v>0</v>
      </c>
      <c r="O106" s="89">
        <v>0</v>
      </c>
      <c r="P106" s="89">
        <v>0</v>
      </c>
      <c r="Q106" s="89">
        <v>0</v>
      </c>
      <c r="R106" s="89">
        <v>0</v>
      </c>
      <c r="S106" s="89">
        <v>0</v>
      </c>
      <c r="T106" s="89">
        <v>1</v>
      </c>
      <c r="U106" s="104"/>
      <c r="V106" s="17" t="s">
        <v>38</v>
      </c>
      <c r="W106" s="89">
        <v>7</v>
      </c>
      <c r="X106" s="89">
        <v>0</v>
      </c>
      <c r="Y106" s="89">
        <v>0</v>
      </c>
      <c r="Z106" s="89">
        <v>0</v>
      </c>
      <c r="AA106" s="89">
        <v>0</v>
      </c>
      <c r="AB106" s="89">
        <v>0</v>
      </c>
      <c r="AC106" s="89">
        <v>0</v>
      </c>
      <c r="AD106" s="89">
        <v>0</v>
      </c>
      <c r="AE106" s="89">
        <v>1</v>
      </c>
      <c r="AF106" s="89">
        <v>0</v>
      </c>
      <c r="AG106" s="109">
        <v>0</v>
      </c>
      <c r="AH106" s="89">
        <v>0</v>
      </c>
      <c r="AI106" s="89">
        <v>0</v>
      </c>
      <c r="AJ106" s="89">
        <v>0</v>
      </c>
      <c r="AK106" s="89">
        <v>1</v>
      </c>
      <c r="AL106" s="89">
        <v>0</v>
      </c>
      <c r="AM106" s="89">
        <v>0</v>
      </c>
      <c r="AN106" s="89">
        <v>0</v>
      </c>
      <c r="AO106" s="89">
        <v>9</v>
      </c>
      <c r="AP106" s="104"/>
      <c r="AQ106" s="17" t="s">
        <v>38</v>
      </c>
      <c r="AR106" s="89">
        <v>5</v>
      </c>
      <c r="AS106" s="89">
        <v>0</v>
      </c>
      <c r="AT106" s="89">
        <v>0</v>
      </c>
      <c r="AU106" s="89">
        <v>0</v>
      </c>
      <c r="AV106" s="89">
        <v>0</v>
      </c>
      <c r="AW106" s="89">
        <v>0</v>
      </c>
      <c r="AX106" s="89">
        <v>0</v>
      </c>
      <c r="AY106" s="89">
        <v>0</v>
      </c>
      <c r="AZ106" s="89">
        <v>1</v>
      </c>
      <c r="BA106" s="89">
        <v>0</v>
      </c>
      <c r="BB106" s="89">
        <v>1</v>
      </c>
      <c r="BC106" s="89">
        <v>0</v>
      </c>
      <c r="BD106" s="89">
        <v>0</v>
      </c>
      <c r="BE106" s="89">
        <v>0</v>
      </c>
      <c r="BF106" s="89">
        <v>0</v>
      </c>
      <c r="BG106" s="89">
        <v>0</v>
      </c>
      <c r="BH106" s="89">
        <v>0</v>
      </c>
      <c r="BI106" s="89">
        <v>3</v>
      </c>
      <c r="BJ106" s="89">
        <v>10</v>
      </c>
      <c r="BK106" s="13"/>
      <c r="BL106" s="115" t="s">
        <v>38</v>
      </c>
      <c r="BM106" s="118">
        <v>16</v>
      </c>
      <c r="BN106" s="118">
        <v>0</v>
      </c>
      <c r="BO106" s="118">
        <v>0</v>
      </c>
      <c r="BP106" s="118">
        <v>2</v>
      </c>
      <c r="BQ106" s="118">
        <v>0</v>
      </c>
      <c r="BR106" s="118">
        <v>1</v>
      </c>
      <c r="BS106" s="118">
        <v>0</v>
      </c>
      <c r="BT106" s="118">
        <v>0</v>
      </c>
      <c r="BU106" s="118">
        <v>1</v>
      </c>
      <c r="BV106" s="118">
        <v>0</v>
      </c>
      <c r="BW106" s="118">
        <v>1</v>
      </c>
      <c r="BX106" s="118">
        <v>0</v>
      </c>
      <c r="BY106" s="118">
        <v>0</v>
      </c>
      <c r="BZ106" s="118">
        <v>0</v>
      </c>
      <c r="CA106" s="118">
        <v>0</v>
      </c>
      <c r="CB106" s="118">
        <v>1</v>
      </c>
      <c r="CC106" s="118">
        <v>0</v>
      </c>
      <c r="CD106" s="118">
        <v>0</v>
      </c>
      <c r="CE106" s="119">
        <v>22</v>
      </c>
      <c r="CF106" s="13"/>
      <c r="CG106" s="118" t="s">
        <v>38</v>
      </c>
      <c r="CH106" s="118">
        <v>16</v>
      </c>
      <c r="CI106" s="118">
        <v>0</v>
      </c>
      <c r="CJ106" s="118">
        <v>1</v>
      </c>
      <c r="CK106" s="118">
        <v>1</v>
      </c>
      <c r="CL106" s="118">
        <v>0</v>
      </c>
      <c r="CM106" s="118">
        <v>0</v>
      </c>
      <c r="CN106" s="118">
        <v>0</v>
      </c>
      <c r="CO106" s="118">
        <v>1</v>
      </c>
      <c r="CP106" s="118">
        <v>0</v>
      </c>
      <c r="CQ106" s="118">
        <v>0</v>
      </c>
      <c r="CR106" s="118">
        <v>0</v>
      </c>
      <c r="CS106" s="118">
        <v>0</v>
      </c>
      <c r="CT106" s="118">
        <v>0</v>
      </c>
      <c r="CU106" s="118">
        <v>0</v>
      </c>
      <c r="CV106" s="118">
        <v>0</v>
      </c>
      <c r="CW106" s="118">
        <v>0</v>
      </c>
      <c r="CX106" s="118">
        <v>0</v>
      </c>
      <c r="CY106" s="118">
        <v>0</v>
      </c>
      <c r="CZ106" s="118">
        <v>19</v>
      </c>
      <c r="DA106" s="13"/>
      <c r="DB106" s="118" t="s">
        <v>38</v>
      </c>
      <c r="DC106" s="118">
        <v>29</v>
      </c>
      <c r="DD106" s="118">
        <v>0</v>
      </c>
      <c r="DE106" s="118">
        <v>0</v>
      </c>
      <c r="DF106" s="118">
        <v>0</v>
      </c>
      <c r="DG106" s="118">
        <v>0</v>
      </c>
      <c r="DH106" s="118">
        <v>1</v>
      </c>
      <c r="DI106" s="118">
        <v>0</v>
      </c>
      <c r="DJ106" s="118">
        <v>5</v>
      </c>
      <c r="DK106" s="118">
        <v>0</v>
      </c>
      <c r="DL106" s="118">
        <v>0</v>
      </c>
      <c r="DM106" s="118">
        <v>0</v>
      </c>
      <c r="DN106" s="118">
        <v>0</v>
      </c>
      <c r="DO106" s="118">
        <v>0</v>
      </c>
      <c r="DP106" s="118">
        <v>0</v>
      </c>
      <c r="DQ106" s="118">
        <v>0</v>
      </c>
      <c r="DR106" s="118">
        <v>0</v>
      </c>
      <c r="DS106" s="118">
        <v>0</v>
      </c>
      <c r="DT106" s="118">
        <v>0</v>
      </c>
      <c r="DU106" s="118">
        <v>35</v>
      </c>
      <c r="DV106" s="13"/>
      <c r="DW106" s="118" t="s">
        <v>38</v>
      </c>
      <c r="DX106" s="118">
        <v>21</v>
      </c>
      <c r="DY106" s="118">
        <v>0</v>
      </c>
      <c r="DZ106" s="118">
        <v>0</v>
      </c>
      <c r="EA106" s="118">
        <v>0</v>
      </c>
      <c r="EB106" s="118">
        <v>0</v>
      </c>
      <c r="EC106" s="118">
        <v>1</v>
      </c>
      <c r="ED106" s="118">
        <v>0</v>
      </c>
      <c r="EE106" s="118">
        <v>0</v>
      </c>
      <c r="EF106" s="118">
        <v>0</v>
      </c>
      <c r="EG106" s="118">
        <v>0</v>
      </c>
      <c r="EH106" s="118">
        <v>1</v>
      </c>
      <c r="EI106" s="118">
        <v>0</v>
      </c>
      <c r="EJ106" s="118">
        <v>0</v>
      </c>
      <c r="EK106" s="118">
        <v>0</v>
      </c>
      <c r="EL106" s="118">
        <v>0</v>
      </c>
      <c r="EM106" s="118">
        <v>0</v>
      </c>
      <c r="EN106" s="118">
        <v>0</v>
      </c>
      <c r="EO106" s="118">
        <v>0</v>
      </c>
      <c r="EP106" s="118">
        <v>23</v>
      </c>
      <c r="EQ106" s="13"/>
      <c r="ER106" s="118" t="s">
        <v>38</v>
      </c>
      <c r="ES106" s="118">
        <v>15</v>
      </c>
      <c r="ET106" s="118">
        <v>0</v>
      </c>
      <c r="EU106" s="118">
        <v>0</v>
      </c>
      <c r="EV106" s="118">
        <v>0</v>
      </c>
      <c r="EW106" s="118">
        <v>0</v>
      </c>
      <c r="EX106" s="118">
        <v>0</v>
      </c>
      <c r="EY106" s="118">
        <v>0</v>
      </c>
      <c r="EZ106" s="118">
        <v>0</v>
      </c>
      <c r="FA106" s="118">
        <v>0</v>
      </c>
      <c r="FB106" s="118">
        <v>0</v>
      </c>
      <c r="FC106" s="118">
        <v>0</v>
      </c>
      <c r="FD106" s="118">
        <v>0</v>
      </c>
      <c r="FE106" s="118">
        <v>0</v>
      </c>
      <c r="FF106" s="118">
        <v>0</v>
      </c>
      <c r="FG106" s="118">
        <v>0</v>
      </c>
      <c r="FH106" s="118">
        <v>0</v>
      </c>
      <c r="FI106" s="118">
        <v>0</v>
      </c>
      <c r="FJ106" s="118">
        <v>0</v>
      </c>
      <c r="FK106" s="118">
        <v>15</v>
      </c>
      <c r="FL106" s="13"/>
      <c r="FM106" s="118" t="s">
        <v>38</v>
      </c>
      <c r="FN106" s="118">
        <v>4</v>
      </c>
      <c r="FO106" s="118">
        <v>0</v>
      </c>
      <c r="FP106" s="118">
        <v>1</v>
      </c>
      <c r="FQ106" s="118">
        <v>0</v>
      </c>
      <c r="FR106" s="118">
        <v>0</v>
      </c>
      <c r="FS106" s="118">
        <v>0</v>
      </c>
      <c r="FT106" s="118">
        <v>0</v>
      </c>
      <c r="FU106" s="118">
        <v>0</v>
      </c>
      <c r="FV106" s="118">
        <v>0</v>
      </c>
      <c r="FW106" s="118">
        <v>0</v>
      </c>
      <c r="FX106" s="118">
        <v>0</v>
      </c>
      <c r="FY106" s="118">
        <v>0</v>
      </c>
      <c r="FZ106" s="118">
        <v>0</v>
      </c>
      <c r="GA106" s="118">
        <v>0</v>
      </c>
      <c r="GB106" s="118">
        <v>0</v>
      </c>
      <c r="GC106" s="118">
        <v>0</v>
      </c>
      <c r="GD106" s="118">
        <v>0</v>
      </c>
      <c r="GE106" s="118">
        <v>4</v>
      </c>
      <c r="GF106" s="118">
        <v>9</v>
      </c>
      <c r="GG106" s="13"/>
      <c r="GH106" s="118" t="s">
        <v>38</v>
      </c>
      <c r="GI106" s="118">
        <v>8</v>
      </c>
      <c r="GJ106" s="118">
        <v>0</v>
      </c>
      <c r="GK106" s="118">
        <v>1</v>
      </c>
      <c r="GL106" s="118">
        <v>0</v>
      </c>
      <c r="GM106" s="118">
        <v>0</v>
      </c>
      <c r="GN106" s="118">
        <v>1</v>
      </c>
      <c r="GO106" s="118">
        <v>0</v>
      </c>
      <c r="GP106" s="118">
        <v>0</v>
      </c>
      <c r="GQ106" s="118">
        <v>0</v>
      </c>
      <c r="GR106" s="118">
        <v>0</v>
      </c>
      <c r="GS106" s="118">
        <v>0</v>
      </c>
      <c r="GT106" s="118">
        <v>0</v>
      </c>
      <c r="GU106" s="118">
        <v>0</v>
      </c>
      <c r="GV106" s="118">
        <v>0</v>
      </c>
      <c r="GW106" s="118">
        <v>0</v>
      </c>
      <c r="GX106" s="118">
        <v>0</v>
      </c>
      <c r="GY106" s="118">
        <v>0</v>
      </c>
      <c r="GZ106" s="118">
        <v>0</v>
      </c>
      <c r="HA106" s="118">
        <v>10</v>
      </c>
      <c r="HB106" s="13"/>
      <c r="HC106" s="118" t="s">
        <v>38</v>
      </c>
      <c r="HD106" s="118">
        <v>3</v>
      </c>
      <c r="HE106" s="118">
        <v>0</v>
      </c>
      <c r="HF106" s="118">
        <v>2</v>
      </c>
      <c r="HG106" s="118">
        <v>0</v>
      </c>
      <c r="HH106" s="118">
        <v>0</v>
      </c>
      <c r="HI106" s="118">
        <v>1</v>
      </c>
      <c r="HJ106" s="118">
        <v>0</v>
      </c>
      <c r="HK106" s="118">
        <v>3</v>
      </c>
      <c r="HL106" s="118">
        <v>0</v>
      </c>
      <c r="HM106" s="118">
        <v>0</v>
      </c>
      <c r="HN106" s="118">
        <v>0</v>
      </c>
      <c r="HO106" s="118">
        <v>0</v>
      </c>
      <c r="HP106" s="118">
        <v>0</v>
      </c>
      <c r="HQ106" s="118">
        <v>0</v>
      </c>
      <c r="HR106" s="118">
        <v>0</v>
      </c>
      <c r="HS106" s="118">
        <v>0</v>
      </c>
      <c r="HT106" s="118">
        <v>0</v>
      </c>
      <c r="HU106" s="118">
        <v>0</v>
      </c>
      <c r="HV106" s="118">
        <v>9</v>
      </c>
      <c r="HW106" s="13"/>
      <c r="HX106" s="118" t="s">
        <v>38</v>
      </c>
      <c r="HY106" s="118">
        <v>6</v>
      </c>
      <c r="HZ106" s="118">
        <v>0</v>
      </c>
      <c r="IA106" s="118">
        <v>0</v>
      </c>
      <c r="IB106" s="118">
        <v>0</v>
      </c>
      <c r="IC106" s="118">
        <v>0</v>
      </c>
      <c r="ID106" s="118">
        <v>0</v>
      </c>
      <c r="IE106" s="118">
        <v>0</v>
      </c>
      <c r="IF106" s="118">
        <v>1</v>
      </c>
      <c r="IG106" s="118">
        <v>0</v>
      </c>
      <c r="IH106" s="118">
        <v>0</v>
      </c>
      <c r="II106" s="118">
        <v>0</v>
      </c>
      <c r="IJ106" s="118">
        <v>0</v>
      </c>
      <c r="IK106" s="118">
        <v>0</v>
      </c>
      <c r="IL106" s="118">
        <v>0</v>
      </c>
      <c r="IM106" s="118">
        <v>0</v>
      </c>
      <c r="IN106" s="118">
        <v>0</v>
      </c>
      <c r="IO106" s="118">
        <v>0</v>
      </c>
      <c r="IP106" s="118">
        <v>0</v>
      </c>
      <c r="IQ106" s="118">
        <v>7</v>
      </c>
      <c r="IR106" s="13"/>
      <c r="IS106" s="118" t="s">
        <v>38</v>
      </c>
      <c r="IT106" s="118">
        <v>0</v>
      </c>
      <c r="IU106" s="118">
        <v>0</v>
      </c>
      <c r="IV106" s="118">
        <v>1</v>
      </c>
      <c r="IW106" s="118">
        <v>0</v>
      </c>
      <c r="IX106" s="118">
        <v>0</v>
      </c>
      <c r="IY106" s="118">
        <v>0</v>
      </c>
      <c r="IZ106" s="118">
        <v>0</v>
      </c>
      <c r="JA106" s="118">
        <v>2</v>
      </c>
      <c r="JB106" s="118">
        <v>0</v>
      </c>
      <c r="JC106" s="118">
        <v>0</v>
      </c>
      <c r="JD106" s="118">
        <v>0</v>
      </c>
      <c r="JE106" s="118">
        <v>0</v>
      </c>
      <c r="JF106" s="118">
        <v>0</v>
      </c>
      <c r="JG106" s="118">
        <v>0</v>
      </c>
      <c r="JH106" s="118">
        <v>0</v>
      </c>
      <c r="JI106" s="118">
        <v>0</v>
      </c>
      <c r="JJ106" s="118">
        <v>1</v>
      </c>
      <c r="JK106" s="118">
        <v>0</v>
      </c>
      <c r="JL106" s="118">
        <v>4</v>
      </c>
      <c r="JM106" s="13"/>
      <c r="JN106" s="70" t="s">
        <v>38</v>
      </c>
      <c r="JO106" s="122">
        <v>13</v>
      </c>
      <c r="JP106" s="122">
        <v>0</v>
      </c>
      <c r="JQ106" s="122">
        <v>2</v>
      </c>
      <c r="JR106" s="122">
        <v>0</v>
      </c>
      <c r="JS106" s="122">
        <v>1</v>
      </c>
      <c r="JT106" s="122">
        <v>1</v>
      </c>
      <c r="JU106" s="122">
        <v>0</v>
      </c>
      <c r="JV106" s="122">
        <v>1</v>
      </c>
      <c r="JW106" s="122">
        <v>1</v>
      </c>
      <c r="JX106" s="122">
        <v>0</v>
      </c>
      <c r="JY106" s="122">
        <v>2</v>
      </c>
      <c r="JZ106" s="122">
        <v>0</v>
      </c>
      <c r="KA106" s="122">
        <v>0</v>
      </c>
      <c r="KB106" s="122">
        <v>0</v>
      </c>
      <c r="KC106" s="122">
        <v>0</v>
      </c>
      <c r="KD106" s="122">
        <v>0</v>
      </c>
      <c r="KE106" s="122">
        <v>0</v>
      </c>
      <c r="KF106" s="122">
        <v>0</v>
      </c>
      <c r="KG106" s="123">
        <v>21</v>
      </c>
      <c r="KH106" s="13"/>
      <c r="KI106" s="118" t="s">
        <v>38</v>
      </c>
      <c r="KJ106" s="118">
        <v>3</v>
      </c>
      <c r="KK106" s="118">
        <v>0</v>
      </c>
      <c r="KL106" s="118">
        <v>1</v>
      </c>
      <c r="KM106" s="118">
        <v>3</v>
      </c>
      <c r="KN106" s="118">
        <v>1</v>
      </c>
      <c r="KO106" s="118">
        <v>0</v>
      </c>
      <c r="KP106" s="118">
        <v>1</v>
      </c>
      <c r="KQ106" s="118">
        <v>0</v>
      </c>
      <c r="KR106" s="118">
        <v>0</v>
      </c>
      <c r="KS106" s="118">
        <v>0</v>
      </c>
      <c r="KT106" s="118">
        <v>0</v>
      </c>
      <c r="KU106" s="118">
        <v>0</v>
      </c>
      <c r="KV106" s="118">
        <v>0</v>
      </c>
      <c r="KW106" s="118">
        <v>0</v>
      </c>
      <c r="KX106" s="118">
        <v>0</v>
      </c>
      <c r="KY106" s="118">
        <v>0</v>
      </c>
      <c r="KZ106" s="118">
        <v>0</v>
      </c>
      <c r="LA106" s="118">
        <v>0</v>
      </c>
      <c r="LB106" s="118">
        <v>9</v>
      </c>
      <c r="LC106" s="13"/>
      <c r="LD106" s="58" t="s">
        <v>38</v>
      </c>
      <c r="LE106" s="65">
        <v>2</v>
      </c>
      <c r="LF106" s="65">
        <v>0</v>
      </c>
      <c r="LG106" s="65">
        <v>1</v>
      </c>
      <c r="LH106" s="65">
        <v>1</v>
      </c>
      <c r="LI106" s="65">
        <v>0</v>
      </c>
      <c r="LJ106" s="65">
        <v>0</v>
      </c>
      <c r="LK106" s="65">
        <v>1</v>
      </c>
      <c r="LL106" s="65">
        <v>0</v>
      </c>
      <c r="LM106" s="65">
        <v>0</v>
      </c>
      <c r="LN106" s="65">
        <v>0</v>
      </c>
      <c r="LO106" s="65">
        <v>1</v>
      </c>
      <c r="LP106" s="65">
        <v>0</v>
      </c>
      <c r="LQ106" s="65">
        <v>1</v>
      </c>
      <c r="LR106" s="65">
        <v>0</v>
      </c>
      <c r="LS106" s="65">
        <v>0</v>
      </c>
      <c r="LT106" s="65">
        <v>0</v>
      </c>
      <c r="LU106" s="65">
        <v>0</v>
      </c>
      <c r="LV106" s="65">
        <v>0</v>
      </c>
      <c r="LW106" s="65">
        <v>0</v>
      </c>
      <c r="LX106" s="65">
        <v>0</v>
      </c>
      <c r="LY106" s="65">
        <v>0</v>
      </c>
      <c r="LZ106" s="65">
        <v>1</v>
      </c>
      <c r="MA106" s="65">
        <v>8</v>
      </c>
      <c r="MB106" s="13"/>
      <c r="MC106" s="180" t="s">
        <v>38</v>
      </c>
      <c r="MD106" s="181">
        <v>4</v>
      </c>
      <c r="ME106" s="181">
        <v>0</v>
      </c>
      <c r="MF106" s="181">
        <v>0</v>
      </c>
      <c r="MG106" s="181">
        <v>0</v>
      </c>
      <c r="MH106" s="181">
        <v>3</v>
      </c>
      <c r="MI106" s="181">
        <v>0</v>
      </c>
      <c r="MJ106" s="181">
        <v>0</v>
      </c>
      <c r="MK106" s="181">
        <v>0</v>
      </c>
      <c r="ML106" s="181">
        <v>0</v>
      </c>
      <c r="MM106" s="181">
        <v>0</v>
      </c>
      <c r="MN106" s="181">
        <v>0</v>
      </c>
      <c r="MO106" s="181">
        <v>0</v>
      </c>
      <c r="MP106" s="181">
        <v>0</v>
      </c>
      <c r="MQ106" s="181">
        <v>0</v>
      </c>
      <c r="MR106" s="181">
        <v>0</v>
      </c>
      <c r="MS106" s="181">
        <v>1</v>
      </c>
      <c r="MT106" s="181">
        <v>0</v>
      </c>
      <c r="MU106" s="181">
        <v>0</v>
      </c>
      <c r="MV106" s="181">
        <v>8</v>
      </c>
      <c r="MW106" s="13"/>
      <c r="MX106" s="74" t="s">
        <v>38</v>
      </c>
      <c r="MY106" s="127">
        <v>11</v>
      </c>
      <c r="MZ106" s="127">
        <v>1</v>
      </c>
      <c r="NA106" s="127">
        <v>2</v>
      </c>
      <c r="NB106" s="127">
        <v>1</v>
      </c>
      <c r="NC106" s="127">
        <v>0</v>
      </c>
      <c r="ND106" s="127">
        <v>0</v>
      </c>
      <c r="NE106" s="127">
        <v>0</v>
      </c>
      <c r="NF106" s="127">
        <v>0</v>
      </c>
      <c r="NG106" s="127">
        <v>0</v>
      </c>
      <c r="NH106" s="127">
        <v>0</v>
      </c>
      <c r="NI106" s="127">
        <v>0</v>
      </c>
      <c r="NJ106" s="127">
        <v>0</v>
      </c>
      <c r="NK106" s="127">
        <v>0</v>
      </c>
      <c r="NL106" s="127">
        <v>0</v>
      </c>
      <c r="NM106" s="127">
        <v>0</v>
      </c>
      <c r="NN106" s="127">
        <v>1</v>
      </c>
      <c r="NO106" s="127">
        <v>0</v>
      </c>
      <c r="NP106" s="127">
        <v>0</v>
      </c>
      <c r="NQ106" s="127">
        <v>16</v>
      </c>
      <c r="NR106" s="13"/>
      <c r="NS106" s="74" t="s">
        <v>38</v>
      </c>
      <c r="NT106" s="127">
        <v>10</v>
      </c>
      <c r="NU106" s="127">
        <v>0</v>
      </c>
      <c r="NV106" s="127">
        <v>3</v>
      </c>
      <c r="NW106" s="127">
        <v>0</v>
      </c>
      <c r="NX106" s="127">
        <v>1</v>
      </c>
      <c r="NY106" s="127">
        <v>0</v>
      </c>
      <c r="NZ106" s="127">
        <v>0</v>
      </c>
      <c r="OA106" s="127">
        <v>1</v>
      </c>
      <c r="OB106" s="127">
        <v>0</v>
      </c>
      <c r="OC106" s="127">
        <v>0</v>
      </c>
      <c r="OD106" s="127">
        <v>1</v>
      </c>
      <c r="OE106" s="127">
        <v>0</v>
      </c>
      <c r="OF106" s="127">
        <v>1</v>
      </c>
      <c r="OG106" s="127">
        <v>0</v>
      </c>
      <c r="OH106" s="127">
        <v>0</v>
      </c>
      <c r="OI106" s="127">
        <v>1</v>
      </c>
      <c r="OJ106" s="127">
        <v>0</v>
      </c>
      <c r="OK106" s="127">
        <v>0</v>
      </c>
      <c r="OL106" s="127">
        <v>18</v>
      </c>
    </row>
    <row r="107" spans="1:402" ht="15.5" thickBot="1">
      <c r="A107" s="17" t="s">
        <v>39</v>
      </c>
      <c r="B107" s="89">
        <v>81</v>
      </c>
      <c r="C107" s="89">
        <v>0</v>
      </c>
      <c r="D107" s="89">
        <v>0</v>
      </c>
      <c r="E107" s="89">
        <v>0</v>
      </c>
      <c r="F107" s="89">
        <v>0</v>
      </c>
      <c r="G107" s="89">
        <v>0</v>
      </c>
      <c r="H107" s="89">
        <v>0</v>
      </c>
      <c r="I107" s="89">
        <v>0</v>
      </c>
      <c r="J107" s="89">
        <v>0</v>
      </c>
      <c r="K107" s="89">
        <v>0</v>
      </c>
      <c r="L107" s="89">
        <v>0</v>
      </c>
      <c r="M107" s="89">
        <v>0</v>
      </c>
      <c r="N107" s="89">
        <v>0</v>
      </c>
      <c r="O107" s="89">
        <v>0</v>
      </c>
      <c r="P107" s="89">
        <v>0</v>
      </c>
      <c r="Q107" s="89">
        <v>0</v>
      </c>
      <c r="R107" s="89">
        <v>0</v>
      </c>
      <c r="S107" s="89">
        <v>0</v>
      </c>
      <c r="T107" s="89">
        <v>81</v>
      </c>
      <c r="U107" s="104"/>
      <c r="V107" s="17" t="s">
        <v>39</v>
      </c>
      <c r="W107" s="89">
        <v>46</v>
      </c>
      <c r="X107" s="89">
        <v>0</v>
      </c>
      <c r="Y107" s="89">
        <v>1</v>
      </c>
      <c r="Z107" s="89">
        <v>0</v>
      </c>
      <c r="AA107" s="89">
        <v>1</v>
      </c>
      <c r="AB107" s="89">
        <v>0</v>
      </c>
      <c r="AC107" s="89">
        <v>0</v>
      </c>
      <c r="AD107" s="89">
        <v>0</v>
      </c>
      <c r="AE107" s="89">
        <v>2</v>
      </c>
      <c r="AF107" s="89">
        <v>0</v>
      </c>
      <c r="AG107" s="109">
        <v>0</v>
      </c>
      <c r="AH107" s="89">
        <v>0</v>
      </c>
      <c r="AI107" s="89">
        <v>0</v>
      </c>
      <c r="AJ107" s="89">
        <v>0</v>
      </c>
      <c r="AK107" s="89">
        <v>0</v>
      </c>
      <c r="AL107" s="89">
        <v>0</v>
      </c>
      <c r="AM107" s="89">
        <v>1</v>
      </c>
      <c r="AN107" s="89">
        <v>3</v>
      </c>
      <c r="AO107" s="89">
        <v>54</v>
      </c>
      <c r="AP107" s="104"/>
      <c r="AQ107" s="17" t="s">
        <v>39</v>
      </c>
      <c r="AR107" s="89">
        <v>63</v>
      </c>
      <c r="AS107" s="89">
        <v>1</v>
      </c>
      <c r="AT107" s="89">
        <v>0</v>
      </c>
      <c r="AU107" s="89">
        <v>0</v>
      </c>
      <c r="AV107" s="89">
        <v>0</v>
      </c>
      <c r="AW107" s="89">
        <v>0</v>
      </c>
      <c r="AX107" s="89">
        <v>0</v>
      </c>
      <c r="AY107" s="89">
        <v>0</v>
      </c>
      <c r="AZ107" s="89">
        <v>2</v>
      </c>
      <c r="BA107" s="89">
        <v>0</v>
      </c>
      <c r="BB107" s="89">
        <v>1</v>
      </c>
      <c r="BC107" s="89">
        <v>0</v>
      </c>
      <c r="BD107" s="89">
        <v>0</v>
      </c>
      <c r="BE107" s="89">
        <v>0</v>
      </c>
      <c r="BF107" s="89">
        <v>0</v>
      </c>
      <c r="BG107" s="89">
        <v>0</v>
      </c>
      <c r="BH107" s="89">
        <v>2</v>
      </c>
      <c r="BI107" s="89">
        <v>0</v>
      </c>
      <c r="BJ107" s="89">
        <v>69</v>
      </c>
      <c r="BK107" s="13"/>
      <c r="BL107" s="115" t="s">
        <v>39</v>
      </c>
      <c r="BM107" s="118">
        <v>37</v>
      </c>
      <c r="BN107" s="118">
        <v>0</v>
      </c>
      <c r="BO107" s="118">
        <v>0</v>
      </c>
      <c r="BP107" s="118">
        <v>0</v>
      </c>
      <c r="BQ107" s="118">
        <v>1</v>
      </c>
      <c r="BR107" s="118">
        <v>0</v>
      </c>
      <c r="BS107" s="118">
        <v>0</v>
      </c>
      <c r="BT107" s="118">
        <v>2</v>
      </c>
      <c r="BU107" s="118">
        <v>7</v>
      </c>
      <c r="BV107" s="118">
        <v>0</v>
      </c>
      <c r="BW107" s="118">
        <v>0</v>
      </c>
      <c r="BX107" s="118">
        <v>0</v>
      </c>
      <c r="BY107" s="118">
        <v>0</v>
      </c>
      <c r="BZ107" s="118">
        <v>1</v>
      </c>
      <c r="CA107" s="118">
        <v>0</v>
      </c>
      <c r="CB107" s="118">
        <v>0</v>
      </c>
      <c r="CC107" s="118">
        <v>0</v>
      </c>
      <c r="CD107" s="118">
        <v>5</v>
      </c>
      <c r="CE107" s="119">
        <v>53</v>
      </c>
      <c r="CF107" s="13"/>
      <c r="CG107" s="118" t="s">
        <v>39</v>
      </c>
      <c r="CH107" s="118">
        <v>34</v>
      </c>
      <c r="CI107" s="118">
        <v>1</v>
      </c>
      <c r="CJ107" s="118">
        <v>2</v>
      </c>
      <c r="CK107" s="118">
        <v>0</v>
      </c>
      <c r="CL107" s="118">
        <v>0</v>
      </c>
      <c r="CM107" s="118">
        <v>0</v>
      </c>
      <c r="CN107" s="118">
        <v>0</v>
      </c>
      <c r="CO107" s="118">
        <v>3</v>
      </c>
      <c r="CP107" s="118">
        <v>4</v>
      </c>
      <c r="CQ107" s="118">
        <v>1</v>
      </c>
      <c r="CR107" s="118">
        <v>1</v>
      </c>
      <c r="CS107" s="118">
        <v>0</v>
      </c>
      <c r="CT107" s="118">
        <v>0</v>
      </c>
      <c r="CU107" s="118">
        <v>1</v>
      </c>
      <c r="CV107" s="118">
        <v>0</v>
      </c>
      <c r="CW107" s="118">
        <v>0</v>
      </c>
      <c r="CX107" s="118">
        <v>0</v>
      </c>
      <c r="CY107" s="118">
        <v>4</v>
      </c>
      <c r="CZ107" s="118">
        <v>51</v>
      </c>
      <c r="DA107" s="13"/>
      <c r="DB107" s="118" t="s">
        <v>39</v>
      </c>
      <c r="DC107" s="118">
        <v>55</v>
      </c>
      <c r="DD107" s="118">
        <v>2</v>
      </c>
      <c r="DE107" s="118">
        <v>2</v>
      </c>
      <c r="DF107" s="118">
        <v>3</v>
      </c>
      <c r="DG107" s="118">
        <v>3</v>
      </c>
      <c r="DH107" s="118">
        <v>0</v>
      </c>
      <c r="DI107" s="118">
        <v>0</v>
      </c>
      <c r="DJ107" s="118">
        <v>4</v>
      </c>
      <c r="DK107" s="118">
        <v>4</v>
      </c>
      <c r="DL107" s="118">
        <v>1</v>
      </c>
      <c r="DM107" s="118">
        <v>2</v>
      </c>
      <c r="DN107" s="118">
        <v>2</v>
      </c>
      <c r="DO107" s="118">
        <v>1</v>
      </c>
      <c r="DP107" s="118">
        <v>0</v>
      </c>
      <c r="DQ107" s="118">
        <v>0</v>
      </c>
      <c r="DR107" s="118">
        <v>0</v>
      </c>
      <c r="DS107" s="118">
        <v>0</v>
      </c>
      <c r="DT107" s="118">
        <v>1</v>
      </c>
      <c r="DU107" s="118">
        <v>80</v>
      </c>
      <c r="DV107" s="13"/>
      <c r="DW107" s="118" t="s">
        <v>39</v>
      </c>
      <c r="DX107" s="118">
        <v>51</v>
      </c>
      <c r="DY107" s="118">
        <v>1</v>
      </c>
      <c r="DZ107" s="118">
        <v>6</v>
      </c>
      <c r="EA107" s="118">
        <v>1</v>
      </c>
      <c r="EB107" s="118">
        <v>3</v>
      </c>
      <c r="EC107" s="118">
        <v>0</v>
      </c>
      <c r="ED107" s="118">
        <v>1</v>
      </c>
      <c r="EE107" s="118">
        <v>11</v>
      </c>
      <c r="EF107" s="118">
        <v>8</v>
      </c>
      <c r="EG107" s="118">
        <v>0</v>
      </c>
      <c r="EH107" s="118">
        <v>0</v>
      </c>
      <c r="EI107" s="118">
        <v>1</v>
      </c>
      <c r="EJ107" s="118">
        <v>0</v>
      </c>
      <c r="EK107" s="118">
        <v>1</v>
      </c>
      <c r="EL107" s="118">
        <v>0</v>
      </c>
      <c r="EM107" s="118">
        <v>0</v>
      </c>
      <c r="EN107" s="118">
        <v>0</v>
      </c>
      <c r="EO107" s="118">
        <v>6</v>
      </c>
      <c r="EP107" s="118">
        <v>90</v>
      </c>
      <c r="EQ107" s="13"/>
      <c r="ER107" s="118" t="s">
        <v>39</v>
      </c>
      <c r="ES107" s="118">
        <v>49</v>
      </c>
      <c r="ET107" s="118">
        <v>0</v>
      </c>
      <c r="EU107" s="118">
        <v>3</v>
      </c>
      <c r="EV107" s="118">
        <v>0</v>
      </c>
      <c r="EW107" s="118">
        <v>6</v>
      </c>
      <c r="EX107" s="118">
        <v>0</v>
      </c>
      <c r="EY107" s="118">
        <v>0</v>
      </c>
      <c r="EZ107" s="118">
        <v>8</v>
      </c>
      <c r="FA107" s="118">
        <v>1</v>
      </c>
      <c r="FB107" s="118">
        <v>0</v>
      </c>
      <c r="FC107" s="118">
        <v>2</v>
      </c>
      <c r="FD107" s="118">
        <v>0</v>
      </c>
      <c r="FE107" s="118">
        <v>0</v>
      </c>
      <c r="FF107" s="118">
        <v>0</v>
      </c>
      <c r="FG107" s="118">
        <v>0</v>
      </c>
      <c r="FH107" s="118">
        <v>0</v>
      </c>
      <c r="FI107" s="118">
        <v>0</v>
      </c>
      <c r="FJ107" s="118">
        <v>4</v>
      </c>
      <c r="FK107" s="118">
        <v>73</v>
      </c>
      <c r="FL107" s="13"/>
      <c r="FM107" s="118" t="s">
        <v>39</v>
      </c>
      <c r="FN107" s="118">
        <v>52</v>
      </c>
      <c r="FO107" s="118">
        <v>0</v>
      </c>
      <c r="FP107" s="118">
        <v>7</v>
      </c>
      <c r="FQ107" s="118">
        <v>1</v>
      </c>
      <c r="FR107" s="118">
        <v>3</v>
      </c>
      <c r="FS107" s="118">
        <v>0</v>
      </c>
      <c r="FT107" s="118">
        <v>0</v>
      </c>
      <c r="FU107" s="118">
        <v>0</v>
      </c>
      <c r="FV107" s="118">
        <v>0</v>
      </c>
      <c r="FW107" s="118">
        <v>0</v>
      </c>
      <c r="FX107" s="118">
        <v>4</v>
      </c>
      <c r="FY107" s="118">
        <v>1</v>
      </c>
      <c r="FZ107" s="118">
        <v>0</v>
      </c>
      <c r="GA107" s="118">
        <v>1</v>
      </c>
      <c r="GB107" s="118">
        <v>0</v>
      </c>
      <c r="GC107" s="118">
        <v>0</v>
      </c>
      <c r="GD107" s="118">
        <v>0</v>
      </c>
      <c r="GE107" s="118">
        <v>8</v>
      </c>
      <c r="GF107" s="118">
        <v>77</v>
      </c>
      <c r="GG107" s="13"/>
      <c r="GH107" s="118" t="s">
        <v>39</v>
      </c>
      <c r="GI107" s="118">
        <v>19</v>
      </c>
      <c r="GJ107" s="118">
        <v>0</v>
      </c>
      <c r="GK107" s="118">
        <v>1</v>
      </c>
      <c r="GL107" s="118">
        <v>2</v>
      </c>
      <c r="GM107" s="118">
        <v>1</v>
      </c>
      <c r="GN107" s="118">
        <v>0</v>
      </c>
      <c r="GO107" s="118">
        <v>0</v>
      </c>
      <c r="GP107" s="118">
        <v>3</v>
      </c>
      <c r="GQ107" s="118">
        <v>1</v>
      </c>
      <c r="GR107" s="118">
        <v>0</v>
      </c>
      <c r="GS107" s="118">
        <v>4</v>
      </c>
      <c r="GT107" s="118">
        <v>1</v>
      </c>
      <c r="GU107" s="118">
        <v>0</v>
      </c>
      <c r="GV107" s="118">
        <v>0</v>
      </c>
      <c r="GW107" s="118">
        <v>0</v>
      </c>
      <c r="GX107" s="118">
        <v>0</v>
      </c>
      <c r="GY107" s="118">
        <v>0</v>
      </c>
      <c r="GZ107" s="118">
        <v>5</v>
      </c>
      <c r="HA107" s="118">
        <v>37</v>
      </c>
      <c r="HB107" s="13"/>
      <c r="HC107" s="118" t="s">
        <v>39</v>
      </c>
      <c r="HD107" s="118">
        <v>47</v>
      </c>
      <c r="HE107" s="118">
        <v>0</v>
      </c>
      <c r="HF107" s="118">
        <v>2</v>
      </c>
      <c r="HG107" s="118">
        <v>0</v>
      </c>
      <c r="HH107" s="118">
        <v>0</v>
      </c>
      <c r="HI107" s="118">
        <v>0</v>
      </c>
      <c r="HJ107" s="118">
        <v>0</v>
      </c>
      <c r="HK107" s="118">
        <v>6</v>
      </c>
      <c r="HL107" s="118">
        <v>0</v>
      </c>
      <c r="HM107" s="118">
        <v>0</v>
      </c>
      <c r="HN107" s="118">
        <v>1</v>
      </c>
      <c r="HO107" s="118">
        <v>0</v>
      </c>
      <c r="HP107" s="118">
        <v>0</v>
      </c>
      <c r="HQ107" s="118">
        <v>0</v>
      </c>
      <c r="HR107" s="118">
        <v>0</v>
      </c>
      <c r="HS107" s="118">
        <v>0</v>
      </c>
      <c r="HT107" s="118">
        <v>0</v>
      </c>
      <c r="HU107" s="118">
        <v>1</v>
      </c>
      <c r="HV107" s="118">
        <v>57</v>
      </c>
      <c r="HW107" s="13"/>
      <c r="HX107" s="118" t="s">
        <v>39</v>
      </c>
      <c r="HY107" s="118">
        <v>44</v>
      </c>
      <c r="HZ107" s="118">
        <v>0</v>
      </c>
      <c r="IA107" s="118">
        <v>3</v>
      </c>
      <c r="IB107" s="118">
        <v>1</v>
      </c>
      <c r="IC107" s="118">
        <v>1</v>
      </c>
      <c r="ID107" s="118">
        <v>0</v>
      </c>
      <c r="IE107" s="118">
        <v>0</v>
      </c>
      <c r="IF107" s="118">
        <v>2</v>
      </c>
      <c r="IG107" s="118">
        <v>1</v>
      </c>
      <c r="IH107" s="118">
        <v>0</v>
      </c>
      <c r="II107" s="118">
        <v>3</v>
      </c>
      <c r="IJ107" s="118">
        <v>0</v>
      </c>
      <c r="IK107" s="118">
        <v>0</v>
      </c>
      <c r="IL107" s="118">
        <v>0</v>
      </c>
      <c r="IM107" s="118">
        <v>0</v>
      </c>
      <c r="IN107" s="118">
        <v>0</v>
      </c>
      <c r="IO107" s="118">
        <v>1</v>
      </c>
      <c r="IP107" s="118">
        <v>1</v>
      </c>
      <c r="IQ107" s="118">
        <v>57</v>
      </c>
      <c r="IR107" s="13"/>
      <c r="IS107" s="118" t="s">
        <v>39</v>
      </c>
      <c r="IT107" s="118">
        <v>27</v>
      </c>
      <c r="IU107" s="118">
        <v>0</v>
      </c>
      <c r="IV107" s="118">
        <v>3</v>
      </c>
      <c r="IW107" s="118">
        <v>2</v>
      </c>
      <c r="IX107" s="118">
        <v>0</v>
      </c>
      <c r="IY107" s="118">
        <v>0</v>
      </c>
      <c r="IZ107" s="118">
        <v>1</v>
      </c>
      <c r="JA107" s="118">
        <v>3</v>
      </c>
      <c r="JB107" s="118">
        <v>2</v>
      </c>
      <c r="JC107" s="118">
        <v>1</v>
      </c>
      <c r="JD107" s="118">
        <v>2</v>
      </c>
      <c r="JE107" s="118">
        <v>0</v>
      </c>
      <c r="JF107" s="118">
        <v>0</v>
      </c>
      <c r="JG107" s="118">
        <v>0</v>
      </c>
      <c r="JH107" s="118">
        <v>0</v>
      </c>
      <c r="JI107" s="118">
        <v>0</v>
      </c>
      <c r="JJ107" s="118">
        <v>0</v>
      </c>
      <c r="JK107" s="118">
        <v>1</v>
      </c>
      <c r="JL107" s="118">
        <v>42</v>
      </c>
      <c r="JM107" s="13"/>
      <c r="JN107" s="70" t="s">
        <v>39</v>
      </c>
      <c r="JO107" s="122">
        <v>62</v>
      </c>
      <c r="JP107" s="122">
        <v>0</v>
      </c>
      <c r="JQ107" s="122">
        <v>8</v>
      </c>
      <c r="JR107" s="122">
        <v>2</v>
      </c>
      <c r="JS107" s="122">
        <v>0</v>
      </c>
      <c r="JT107" s="122">
        <v>4</v>
      </c>
      <c r="JU107" s="122">
        <v>0</v>
      </c>
      <c r="JV107" s="122">
        <v>11</v>
      </c>
      <c r="JW107" s="122">
        <v>6</v>
      </c>
      <c r="JX107" s="122">
        <v>1</v>
      </c>
      <c r="JY107" s="122">
        <v>1</v>
      </c>
      <c r="JZ107" s="122">
        <v>1</v>
      </c>
      <c r="KA107" s="122">
        <v>1</v>
      </c>
      <c r="KB107" s="122">
        <v>2</v>
      </c>
      <c r="KC107" s="122">
        <v>0</v>
      </c>
      <c r="KD107" s="122">
        <v>0</v>
      </c>
      <c r="KE107" s="122">
        <v>0</v>
      </c>
      <c r="KF107" s="122">
        <v>2</v>
      </c>
      <c r="KG107" s="123">
        <v>101</v>
      </c>
      <c r="KH107" s="13"/>
      <c r="KI107" s="118" t="s">
        <v>39</v>
      </c>
      <c r="KJ107" s="118">
        <v>25</v>
      </c>
      <c r="KK107" s="118">
        <v>0</v>
      </c>
      <c r="KL107" s="118">
        <v>11</v>
      </c>
      <c r="KM107" s="118">
        <v>4</v>
      </c>
      <c r="KN107" s="118">
        <v>2</v>
      </c>
      <c r="KO107" s="118">
        <v>4</v>
      </c>
      <c r="KP107" s="118">
        <v>2</v>
      </c>
      <c r="KQ107" s="118">
        <v>2</v>
      </c>
      <c r="KR107" s="118">
        <v>0</v>
      </c>
      <c r="KS107" s="118">
        <v>0</v>
      </c>
      <c r="KT107" s="118">
        <v>12</v>
      </c>
      <c r="KU107" s="118">
        <v>2</v>
      </c>
      <c r="KV107" s="118">
        <v>1</v>
      </c>
      <c r="KW107" s="118">
        <v>0</v>
      </c>
      <c r="KX107" s="118">
        <v>0</v>
      </c>
      <c r="KY107" s="118">
        <v>0</v>
      </c>
      <c r="KZ107" s="118">
        <v>0</v>
      </c>
      <c r="LA107" s="118">
        <v>1</v>
      </c>
      <c r="LB107" s="118">
        <v>66</v>
      </c>
      <c r="LC107" s="13"/>
      <c r="LD107" s="58" t="s">
        <v>39</v>
      </c>
      <c r="LE107" s="65">
        <v>29</v>
      </c>
      <c r="LF107" s="65">
        <v>0</v>
      </c>
      <c r="LG107" s="65">
        <v>2</v>
      </c>
      <c r="LH107" s="65">
        <v>4</v>
      </c>
      <c r="LI107" s="65">
        <v>1</v>
      </c>
      <c r="LJ107" s="65">
        <v>1</v>
      </c>
      <c r="LK107" s="65">
        <v>1</v>
      </c>
      <c r="LL107" s="65">
        <v>0</v>
      </c>
      <c r="LM107" s="65">
        <v>0</v>
      </c>
      <c r="LN107" s="65">
        <v>0</v>
      </c>
      <c r="LO107" s="65">
        <v>5</v>
      </c>
      <c r="LP107" s="65">
        <v>2</v>
      </c>
      <c r="LQ107" s="65">
        <v>1</v>
      </c>
      <c r="LR107" s="65">
        <v>0</v>
      </c>
      <c r="LS107" s="65">
        <v>0</v>
      </c>
      <c r="LT107" s="65">
        <v>0</v>
      </c>
      <c r="LU107" s="65">
        <v>1</v>
      </c>
      <c r="LV107" s="65">
        <v>0</v>
      </c>
      <c r="LW107" s="65">
        <v>0</v>
      </c>
      <c r="LX107" s="65">
        <v>0</v>
      </c>
      <c r="LY107" s="65">
        <v>0</v>
      </c>
      <c r="LZ107" s="65">
        <v>0</v>
      </c>
      <c r="MA107" s="65">
        <v>47</v>
      </c>
      <c r="MB107" s="13"/>
      <c r="MC107" s="180" t="s">
        <v>39</v>
      </c>
      <c r="MD107" s="181">
        <v>30</v>
      </c>
      <c r="ME107" s="181">
        <v>1</v>
      </c>
      <c r="MF107" s="181">
        <v>3</v>
      </c>
      <c r="MG107" s="181">
        <v>1</v>
      </c>
      <c r="MH107" s="181">
        <v>2</v>
      </c>
      <c r="MI107" s="181">
        <v>0</v>
      </c>
      <c r="MJ107" s="181">
        <v>0</v>
      </c>
      <c r="MK107" s="181">
        <v>9</v>
      </c>
      <c r="ML107" s="181">
        <v>3</v>
      </c>
      <c r="MM107" s="181">
        <v>0</v>
      </c>
      <c r="MN107" s="181">
        <v>0</v>
      </c>
      <c r="MO107" s="181">
        <v>0</v>
      </c>
      <c r="MP107" s="181">
        <v>0</v>
      </c>
      <c r="MQ107" s="181">
        <v>0</v>
      </c>
      <c r="MR107" s="181">
        <v>0</v>
      </c>
      <c r="MS107" s="181">
        <v>0</v>
      </c>
      <c r="MT107" s="181">
        <v>0</v>
      </c>
      <c r="MU107" s="181">
        <v>0</v>
      </c>
      <c r="MV107" s="181">
        <v>49</v>
      </c>
      <c r="MW107" s="13"/>
      <c r="MX107" s="74" t="s">
        <v>39</v>
      </c>
      <c r="MY107" s="127">
        <v>45</v>
      </c>
      <c r="MZ107" s="127">
        <v>0</v>
      </c>
      <c r="NA107" s="127">
        <v>4</v>
      </c>
      <c r="NB107" s="127">
        <v>0</v>
      </c>
      <c r="NC107" s="127">
        <v>3</v>
      </c>
      <c r="ND107" s="127">
        <v>1</v>
      </c>
      <c r="NE107" s="127">
        <v>0</v>
      </c>
      <c r="NF107" s="127">
        <v>6</v>
      </c>
      <c r="NG107" s="127">
        <v>10</v>
      </c>
      <c r="NH107" s="127">
        <v>0</v>
      </c>
      <c r="NI107" s="127">
        <v>0</v>
      </c>
      <c r="NJ107" s="127">
        <v>2</v>
      </c>
      <c r="NK107" s="127">
        <v>0</v>
      </c>
      <c r="NL107" s="127">
        <v>1</v>
      </c>
      <c r="NM107" s="127">
        <v>0</v>
      </c>
      <c r="NN107" s="127">
        <v>0</v>
      </c>
      <c r="NO107" s="127">
        <v>0</v>
      </c>
      <c r="NP107" s="127">
        <v>3</v>
      </c>
      <c r="NQ107" s="127">
        <v>75</v>
      </c>
      <c r="NR107" s="13"/>
      <c r="NS107" s="74" t="s">
        <v>39</v>
      </c>
      <c r="NT107" s="127">
        <v>38</v>
      </c>
      <c r="NU107" s="127">
        <v>0</v>
      </c>
      <c r="NV107" s="127">
        <v>4</v>
      </c>
      <c r="NW107" s="127">
        <v>2</v>
      </c>
      <c r="NX107" s="127">
        <v>0</v>
      </c>
      <c r="NY107" s="127">
        <v>0</v>
      </c>
      <c r="NZ107" s="127">
        <v>0</v>
      </c>
      <c r="OA107" s="127">
        <v>3</v>
      </c>
      <c r="OB107" s="127">
        <v>4</v>
      </c>
      <c r="OC107" s="127">
        <v>0</v>
      </c>
      <c r="OD107" s="127">
        <v>0</v>
      </c>
      <c r="OE107" s="127">
        <v>0</v>
      </c>
      <c r="OF107" s="127">
        <v>1</v>
      </c>
      <c r="OG107" s="127">
        <v>0</v>
      </c>
      <c r="OH107" s="127">
        <v>0</v>
      </c>
      <c r="OI107" s="127">
        <v>0</v>
      </c>
      <c r="OJ107" s="127">
        <v>0</v>
      </c>
      <c r="OK107" s="127">
        <v>0</v>
      </c>
      <c r="OL107" s="127">
        <v>52</v>
      </c>
    </row>
    <row r="108" spans="1:402" ht="15.5" thickBot="1">
      <c r="A108" s="17" t="s">
        <v>40</v>
      </c>
      <c r="B108" s="89">
        <v>11</v>
      </c>
      <c r="C108" s="89">
        <v>0</v>
      </c>
      <c r="D108" s="89">
        <v>4</v>
      </c>
      <c r="E108" s="89">
        <v>2</v>
      </c>
      <c r="F108" s="89">
        <v>0</v>
      </c>
      <c r="G108" s="89">
        <v>0</v>
      </c>
      <c r="H108" s="89">
        <v>0</v>
      </c>
      <c r="I108" s="89">
        <v>0</v>
      </c>
      <c r="J108" s="89">
        <v>1</v>
      </c>
      <c r="K108" s="89">
        <v>0</v>
      </c>
      <c r="L108" s="89">
        <v>0</v>
      </c>
      <c r="M108" s="89">
        <v>0</v>
      </c>
      <c r="N108" s="89">
        <v>0</v>
      </c>
      <c r="O108" s="89">
        <v>0</v>
      </c>
      <c r="P108" s="89">
        <v>0</v>
      </c>
      <c r="Q108" s="89">
        <v>0</v>
      </c>
      <c r="R108" s="89">
        <v>0</v>
      </c>
      <c r="S108" s="89">
        <v>0</v>
      </c>
      <c r="T108" s="89">
        <v>18</v>
      </c>
      <c r="U108" s="104"/>
      <c r="V108" s="17" t="s">
        <v>40</v>
      </c>
      <c r="W108" s="89">
        <v>31</v>
      </c>
      <c r="X108" s="89">
        <v>0</v>
      </c>
      <c r="Y108" s="89">
        <v>3</v>
      </c>
      <c r="Z108" s="89">
        <v>0</v>
      </c>
      <c r="AA108" s="89">
        <v>0</v>
      </c>
      <c r="AB108" s="89">
        <v>0</v>
      </c>
      <c r="AC108" s="89">
        <v>0</v>
      </c>
      <c r="AD108" s="89">
        <v>2</v>
      </c>
      <c r="AE108" s="89">
        <v>5</v>
      </c>
      <c r="AF108" s="89">
        <v>0</v>
      </c>
      <c r="AG108" s="109">
        <v>2</v>
      </c>
      <c r="AH108" s="89">
        <v>1</v>
      </c>
      <c r="AI108" s="89">
        <v>0</v>
      </c>
      <c r="AJ108" s="89">
        <v>0</v>
      </c>
      <c r="AK108" s="89">
        <v>0</v>
      </c>
      <c r="AL108" s="89">
        <v>0</v>
      </c>
      <c r="AM108" s="89">
        <v>2</v>
      </c>
      <c r="AN108" s="89">
        <v>0</v>
      </c>
      <c r="AO108" s="89">
        <v>46</v>
      </c>
      <c r="AP108" s="104"/>
      <c r="AQ108" s="17" t="s">
        <v>40</v>
      </c>
      <c r="AR108" s="89">
        <v>7</v>
      </c>
      <c r="AS108" s="89">
        <v>0</v>
      </c>
      <c r="AT108" s="89">
        <v>7</v>
      </c>
      <c r="AU108" s="89">
        <v>0</v>
      </c>
      <c r="AV108" s="89">
        <v>0</v>
      </c>
      <c r="AW108" s="89">
        <v>0</v>
      </c>
      <c r="AX108" s="89">
        <v>0</v>
      </c>
      <c r="AY108" s="89">
        <v>3</v>
      </c>
      <c r="AZ108" s="89">
        <v>0</v>
      </c>
      <c r="BA108" s="89">
        <v>0</v>
      </c>
      <c r="BB108" s="89">
        <v>0</v>
      </c>
      <c r="BC108" s="89">
        <v>0</v>
      </c>
      <c r="BD108" s="89">
        <v>0</v>
      </c>
      <c r="BE108" s="89">
        <v>0</v>
      </c>
      <c r="BF108" s="89">
        <v>0</v>
      </c>
      <c r="BG108" s="89">
        <v>0</v>
      </c>
      <c r="BH108" s="89">
        <v>7</v>
      </c>
      <c r="BI108" s="89">
        <v>0</v>
      </c>
      <c r="BJ108" s="89">
        <v>24</v>
      </c>
      <c r="BK108" s="13"/>
      <c r="BL108" s="115" t="s">
        <v>40</v>
      </c>
      <c r="BM108" s="118">
        <v>9</v>
      </c>
      <c r="BN108" s="118">
        <v>0</v>
      </c>
      <c r="BO108" s="118">
        <v>4</v>
      </c>
      <c r="BP108" s="118">
        <v>0</v>
      </c>
      <c r="BQ108" s="118">
        <v>0</v>
      </c>
      <c r="BR108" s="118">
        <v>0</v>
      </c>
      <c r="BS108" s="118">
        <v>0</v>
      </c>
      <c r="BT108" s="118">
        <v>2</v>
      </c>
      <c r="BU108" s="118">
        <v>0</v>
      </c>
      <c r="BV108" s="118">
        <v>0</v>
      </c>
      <c r="BW108" s="118">
        <v>0</v>
      </c>
      <c r="BX108" s="118">
        <v>0</v>
      </c>
      <c r="BY108" s="118">
        <v>0</v>
      </c>
      <c r="BZ108" s="118">
        <v>0</v>
      </c>
      <c r="CA108" s="118">
        <v>0</v>
      </c>
      <c r="CB108" s="118">
        <v>0</v>
      </c>
      <c r="CC108" s="118">
        <v>1</v>
      </c>
      <c r="CD108" s="118">
        <v>0</v>
      </c>
      <c r="CE108" s="119">
        <v>16</v>
      </c>
      <c r="CF108" s="13"/>
      <c r="CG108" s="118" t="s">
        <v>40</v>
      </c>
      <c r="CH108" s="118">
        <v>13</v>
      </c>
      <c r="CI108" s="118">
        <v>0</v>
      </c>
      <c r="CJ108" s="118">
        <v>1</v>
      </c>
      <c r="CK108" s="118">
        <v>1</v>
      </c>
      <c r="CL108" s="118">
        <v>0</v>
      </c>
      <c r="CM108" s="118">
        <v>1</v>
      </c>
      <c r="CN108" s="118">
        <v>0</v>
      </c>
      <c r="CO108" s="118">
        <v>2</v>
      </c>
      <c r="CP108" s="118">
        <v>1</v>
      </c>
      <c r="CQ108" s="118">
        <v>0</v>
      </c>
      <c r="CR108" s="118">
        <v>1</v>
      </c>
      <c r="CS108" s="118">
        <v>0</v>
      </c>
      <c r="CT108" s="118">
        <v>0</v>
      </c>
      <c r="CU108" s="118">
        <v>0</v>
      </c>
      <c r="CV108" s="118">
        <v>0</v>
      </c>
      <c r="CW108" s="118">
        <v>0</v>
      </c>
      <c r="CX108" s="118">
        <v>1</v>
      </c>
      <c r="CY108" s="118">
        <v>0</v>
      </c>
      <c r="CZ108" s="118">
        <v>21</v>
      </c>
      <c r="DA108" s="13"/>
      <c r="DB108" s="118" t="s">
        <v>40</v>
      </c>
      <c r="DC108" s="118">
        <v>15</v>
      </c>
      <c r="DD108" s="118">
        <v>0</v>
      </c>
      <c r="DE108" s="118">
        <v>4</v>
      </c>
      <c r="DF108" s="118">
        <v>1</v>
      </c>
      <c r="DG108" s="118">
        <v>0</v>
      </c>
      <c r="DH108" s="118">
        <v>0</v>
      </c>
      <c r="DI108" s="118">
        <v>0</v>
      </c>
      <c r="DJ108" s="118">
        <v>0</v>
      </c>
      <c r="DK108" s="118">
        <v>0</v>
      </c>
      <c r="DL108" s="118">
        <v>0</v>
      </c>
      <c r="DM108" s="118">
        <v>0</v>
      </c>
      <c r="DN108" s="118">
        <v>0</v>
      </c>
      <c r="DO108" s="118">
        <v>0</v>
      </c>
      <c r="DP108" s="118">
        <v>0</v>
      </c>
      <c r="DQ108" s="118">
        <v>0</v>
      </c>
      <c r="DR108" s="118">
        <v>0</v>
      </c>
      <c r="DS108" s="118">
        <v>6</v>
      </c>
      <c r="DT108" s="118">
        <v>0</v>
      </c>
      <c r="DU108" s="118">
        <v>26</v>
      </c>
      <c r="DV108" s="13"/>
      <c r="DW108" s="118" t="s">
        <v>40</v>
      </c>
      <c r="DX108" s="118">
        <v>6</v>
      </c>
      <c r="DY108" s="118">
        <v>0</v>
      </c>
      <c r="DZ108" s="118">
        <v>1</v>
      </c>
      <c r="EA108" s="118">
        <v>0</v>
      </c>
      <c r="EB108" s="118">
        <v>0</v>
      </c>
      <c r="EC108" s="118">
        <v>0</v>
      </c>
      <c r="ED108" s="118">
        <v>0</v>
      </c>
      <c r="EE108" s="118">
        <v>0</v>
      </c>
      <c r="EF108" s="118">
        <v>0</v>
      </c>
      <c r="EG108" s="118">
        <v>0</v>
      </c>
      <c r="EH108" s="118">
        <v>0</v>
      </c>
      <c r="EI108" s="118">
        <v>0</v>
      </c>
      <c r="EJ108" s="118">
        <v>0</v>
      </c>
      <c r="EK108" s="118">
        <v>0</v>
      </c>
      <c r="EL108" s="118">
        <v>0</v>
      </c>
      <c r="EM108" s="118">
        <v>0</v>
      </c>
      <c r="EN108" s="118">
        <v>5</v>
      </c>
      <c r="EO108" s="118">
        <v>0</v>
      </c>
      <c r="EP108" s="118">
        <v>12</v>
      </c>
      <c r="EQ108" s="13"/>
      <c r="ER108" s="118" t="s">
        <v>40</v>
      </c>
      <c r="ES108" s="118">
        <v>10</v>
      </c>
      <c r="ET108" s="118">
        <v>0</v>
      </c>
      <c r="EU108" s="118">
        <v>2</v>
      </c>
      <c r="EV108" s="118">
        <v>0</v>
      </c>
      <c r="EW108" s="118">
        <v>0</v>
      </c>
      <c r="EX108" s="118">
        <v>0</v>
      </c>
      <c r="EY108" s="118">
        <v>0</v>
      </c>
      <c r="EZ108" s="118">
        <v>3</v>
      </c>
      <c r="FA108" s="118">
        <v>0</v>
      </c>
      <c r="FB108" s="118">
        <v>0</v>
      </c>
      <c r="FC108" s="118">
        <v>1</v>
      </c>
      <c r="FD108" s="118">
        <v>0</v>
      </c>
      <c r="FE108" s="118">
        <v>0</v>
      </c>
      <c r="FF108" s="118">
        <v>0</v>
      </c>
      <c r="FG108" s="118">
        <v>0</v>
      </c>
      <c r="FH108" s="118">
        <v>0</v>
      </c>
      <c r="FI108" s="118">
        <v>9</v>
      </c>
      <c r="FJ108" s="118">
        <v>1</v>
      </c>
      <c r="FK108" s="118">
        <v>26</v>
      </c>
      <c r="FL108" s="13"/>
      <c r="FM108" s="118" t="s">
        <v>40</v>
      </c>
      <c r="FN108" s="118">
        <v>5</v>
      </c>
      <c r="FO108" s="118">
        <v>0</v>
      </c>
      <c r="FP108" s="118">
        <v>3</v>
      </c>
      <c r="FQ108" s="118">
        <v>3</v>
      </c>
      <c r="FR108" s="118">
        <v>0</v>
      </c>
      <c r="FS108" s="118">
        <v>0</v>
      </c>
      <c r="FT108" s="118">
        <v>0</v>
      </c>
      <c r="FU108" s="118">
        <v>0</v>
      </c>
      <c r="FV108" s="118">
        <v>3</v>
      </c>
      <c r="FW108" s="118">
        <v>0</v>
      </c>
      <c r="FX108" s="118">
        <v>0</v>
      </c>
      <c r="FY108" s="118">
        <v>0</v>
      </c>
      <c r="FZ108" s="118">
        <v>0</v>
      </c>
      <c r="GA108" s="118">
        <v>0</v>
      </c>
      <c r="GB108" s="118">
        <v>0</v>
      </c>
      <c r="GC108" s="118">
        <v>0</v>
      </c>
      <c r="GD108" s="118">
        <v>25</v>
      </c>
      <c r="GE108" s="118">
        <v>8</v>
      </c>
      <c r="GF108" s="118">
        <v>47</v>
      </c>
      <c r="GG108" s="13"/>
      <c r="GH108" s="118" t="s">
        <v>40</v>
      </c>
      <c r="GI108" s="118">
        <v>6</v>
      </c>
      <c r="GJ108" s="118">
        <v>0</v>
      </c>
      <c r="GK108" s="118">
        <v>7</v>
      </c>
      <c r="GL108" s="118">
        <v>1</v>
      </c>
      <c r="GM108" s="118">
        <v>0</v>
      </c>
      <c r="GN108" s="118">
        <v>0</v>
      </c>
      <c r="GO108" s="118">
        <v>0</v>
      </c>
      <c r="GP108" s="118">
        <v>0</v>
      </c>
      <c r="GQ108" s="118">
        <v>2</v>
      </c>
      <c r="GR108" s="118">
        <v>0</v>
      </c>
      <c r="GS108" s="118">
        <v>0</v>
      </c>
      <c r="GT108" s="118">
        <v>0</v>
      </c>
      <c r="GU108" s="118">
        <v>0</v>
      </c>
      <c r="GV108" s="118">
        <v>0</v>
      </c>
      <c r="GW108" s="118">
        <v>0</v>
      </c>
      <c r="GX108" s="118">
        <v>0</v>
      </c>
      <c r="GY108" s="118">
        <v>9</v>
      </c>
      <c r="GZ108" s="118">
        <v>1</v>
      </c>
      <c r="HA108" s="118">
        <v>26</v>
      </c>
      <c r="HB108" s="13"/>
      <c r="HC108" s="118" t="s">
        <v>40</v>
      </c>
      <c r="HD108" s="118">
        <v>20</v>
      </c>
      <c r="HE108" s="118">
        <v>0</v>
      </c>
      <c r="HF108" s="118">
        <v>10</v>
      </c>
      <c r="HG108" s="118">
        <v>2</v>
      </c>
      <c r="HH108" s="118">
        <v>0</v>
      </c>
      <c r="HI108" s="118">
        <v>0</v>
      </c>
      <c r="HJ108" s="118">
        <v>0</v>
      </c>
      <c r="HK108" s="118">
        <v>5</v>
      </c>
      <c r="HL108" s="118">
        <v>3</v>
      </c>
      <c r="HM108" s="118">
        <v>0</v>
      </c>
      <c r="HN108" s="118">
        <v>1</v>
      </c>
      <c r="HO108" s="118">
        <v>0</v>
      </c>
      <c r="HP108" s="118">
        <v>0</v>
      </c>
      <c r="HQ108" s="118">
        <v>0</v>
      </c>
      <c r="HR108" s="118">
        <v>0</v>
      </c>
      <c r="HS108" s="118">
        <v>0</v>
      </c>
      <c r="HT108" s="118">
        <v>13</v>
      </c>
      <c r="HU108" s="118">
        <v>1</v>
      </c>
      <c r="HV108" s="118">
        <v>55</v>
      </c>
      <c r="HW108" s="13"/>
      <c r="HX108" s="118" t="s">
        <v>40</v>
      </c>
      <c r="HY108" s="118">
        <v>8</v>
      </c>
      <c r="HZ108" s="118">
        <v>0</v>
      </c>
      <c r="IA108" s="118">
        <v>2</v>
      </c>
      <c r="IB108" s="118">
        <v>0</v>
      </c>
      <c r="IC108" s="118">
        <v>0</v>
      </c>
      <c r="ID108" s="118">
        <v>2</v>
      </c>
      <c r="IE108" s="118">
        <v>0</v>
      </c>
      <c r="IF108" s="118">
        <v>6</v>
      </c>
      <c r="IG108" s="118">
        <v>0</v>
      </c>
      <c r="IH108" s="118">
        <v>0</v>
      </c>
      <c r="II108" s="118">
        <v>1</v>
      </c>
      <c r="IJ108" s="118">
        <v>0</v>
      </c>
      <c r="IK108" s="118">
        <v>0</v>
      </c>
      <c r="IL108" s="118">
        <v>0</v>
      </c>
      <c r="IM108" s="118">
        <v>0</v>
      </c>
      <c r="IN108" s="118">
        <v>0</v>
      </c>
      <c r="IO108" s="118">
        <v>7</v>
      </c>
      <c r="IP108" s="118">
        <v>0</v>
      </c>
      <c r="IQ108" s="118">
        <v>26</v>
      </c>
      <c r="IR108" s="13"/>
      <c r="IS108" s="118" t="s">
        <v>40</v>
      </c>
      <c r="IT108" s="118">
        <v>4</v>
      </c>
      <c r="IU108" s="118">
        <v>0</v>
      </c>
      <c r="IV108" s="118">
        <v>1</v>
      </c>
      <c r="IW108" s="118">
        <v>0</v>
      </c>
      <c r="IX108" s="118">
        <v>0</v>
      </c>
      <c r="IY108" s="118">
        <v>0</v>
      </c>
      <c r="IZ108" s="118">
        <v>0</v>
      </c>
      <c r="JA108" s="118">
        <v>3</v>
      </c>
      <c r="JB108" s="118">
        <v>0</v>
      </c>
      <c r="JC108" s="118">
        <v>0</v>
      </c>
      <c r="JD108" s="118">
        <v>0</v>
      </c>
      <c r="JE108" s="118">
        <v>0</v>
      </c>
      <c r="JF108" s="118">
        <v>0</v>
      </c>
      <c r="JG108" s="118">
        <v>0</v>
      </c>
      <c r="JH108" s="118">
        <v>0</v>
      </c>
      <c r="JI108" s="118">
        <v>0</v>
      </c>
      <c r="JJ108" s="118">
        <v>15</v>
      </c>
      <c r="JK108" s="118">
        <v>9</v>
      </c>
      <c r="JL108" s="118">
        <v>32</v>
      </c>
      <c r="JM108" s="13"/>
      <c r="JN108" s="70" t="s">
        <v>40</v>
      </c>
      <c r="JO108" s="122">
        <v>19</v>
      </c>
      <c r="JP108" s="122">
        <v>0</v>
      </c>
      <c r="JQ108" s="122">
        <v>1</v>
      </c>
      <c r="JR108" s="122">
        <v>2</v>
      </c>
      <c r="JS108" s="122">
        <v>0</v>
      </c>
      <c r="JT108" s="122">
        <v>0</v>
      </c>
      <c r="JU108" s="122">
        <v>0</v>
      </c>
      <c r="JV108" s="122">
        <v>6</v>
      </c>
      <c r="JW108" s="122">
        <v>4</v>
      </c>
      <c r="JX108" s="122">
        <v>0</v>
      </c>
      <c r="JY108" s="122">
        <v>0</v>
      </c>
      <c r="JZ108" s="122">
        <v>0</v>
      </c>
      <c r="KA108" s="122">
        <v>0</v>
      </c>
      <c r="KB108" s="122">
        <v>0</v>
      </c>
      <c r="KC108" s="122">
        <v>0</v>
      </c>
      <c r="KD108" s="122">
        <v>0</v>
      </c>
      <c r="KE108" s="122">
        <v>10</v>
      </c>
      <c r="KF108" s="122">
        <v>0</v>
      </c>
      <c r="KG108" s="123">
        <v>42</v>
      </c>
      <c r="KH108" s="13"/>
      <c r="KI108" s="118" t="s">
        <v>40</v>
      </c>
      <c r="KJ108" s="118">
        <v>4</v>
      </c>
      <c r="KK108" s="118">
        <v>0</v>
      </c>
      <c r="KL108" s="118">
        <v>1</v>
      </c>
      <c r="KM108" s="118">
        <v>0</v>
      </c>
      <c r="KN108" s="118">
        <v>2</v>
      </c>
      <c r="KO108" s="118">
        <v>0</v>
      </c>
      <c r="KP108" s="118">
        <v>0</v>
      </c>
      <c r="KQ108" s="118">
        <v>0</v>
      </c>
      <c r="KR108" s="118">
        <v>0</v>
      </c>
      <c r="KS108" s="118">
        <v>1</v>
      </c>
      <c r="KT108" s="118">
        <v>0</v>
      </c>
      <c r="KU108" s="118">
        <v>0</v>
      </c>
      <c r="KV108" s="118">
        <v>1</v>
      </c>
      <c r="KW108" s="118">
        <v>1</v>
      </c>
      <c r="KX108" s="118">
        <v>0</v>
      </c>
      <c r="KY108" s="118">
        <v>0</v>
      </c>
      <c r="KZ108" s="118">
        <v>0</v>
      </c>
      <c r="LA108" s="118">
        <v>1</v>
      </c>
      <c r="LB108" s="118">
        <v>11</v>
      </c>
      <c r="LC108" s="13"/>
      <c r="LD108" s="58" t="s">
        <v>40</v>
      </c>
      <c r="LE108" s="65">
        <v>5</v>
      </c>
      <c r="LF108" s="65">
        <v>0</v>
      </c>
      <c r="LG108" s="65">
        <v>0</v>
      </c>
      <c r="LH108" s="65">
        <v>2</v>
      </c>
      <c r="LI108" s="65">
        <v>2</v>
      </c>
      <c r="LJ108" s="65">
        <v>0</v>
      </c>
      <c r="LK108" s="65">
        <v>0</v>
      </c>
      <c r="LL108" s="65">
        <v>2</v>
      </c>
      <c r="LM108" s="65">
        <v>2</v>
      </c>
      <c r="LN108" s="65">
        <v>0</v>
      </c>
      <c r="LO108" s="65">
        <v>0</v>
      </c>
      <c r="LP108" s="65">
        <v>0</v>
      </c>
      <c r="LQ108" s="65">
        <v>2</v>
      </c>
      <c r="LR108" s="65">
        <v>4</v>
      </c>
      <c r="LS108" s="65">
        <v>0</v>
      </c>
      <c r="LT108" s="65">
        <v>0</v>
      </c>
      <c r="LU108" s="65">
        <v>0</v>
      </c>
      <c r="LV108" s="65">
        <v>2</v>
      </c>
      <c r="LW108" s="65">
        <v>0</v>
      </c>
      <c r="LX108" s="65">
        <v>0</v>
      </c>
      <c r="LY108" s="65">
        <v>0</v>
      </c>
      <c r="LZ108" s="65">
        <v>0</v>
      </c>
      <c r="MA108" s="65">
        <v>21</v>
      </c>
      <c r="MB108" s="13"/>
      <c r="MC108" s="180" t="s">
        <v>40</v>
      </c>
      <c r="MD108" s="181">
        <v>6</v>
      </c>
      <c r="ME108" s="181">
        <v>0</v>
      </c>
      <c r="MF108" s="181">
        <v>0</v>
      </c>
      <c r="MG108" s="181">
        <v>0</v>
      </c>
      <c r="MH108" s="181">
        <v>0</v>
      </c>
      <c r="MI108" s="181">
        <v>0</v>
      </c>
      <c r="MJ108" s="181">
        <v>0</v>
      </c>
      <c r="MK108" s="181">
        <v>0</v>
      </c>
      <c r="ML108" s="181">
        <v>0</v>
      </c>
      <c r="MM108" s="181">
        <v>0</v>
      </c>
      <c r="MN108" s="181">
        <v>0</v>
      </c>
      <c r="MO108" s="181">
        <v>0</v>
      </c>
      <c r="MP108" s="181">
        <v>0</v>
      </c>
      <c r="MQ108" s="181">
        <v>0</v>
      </c>
      <c r="MR108" s="181">
        <v>0</v>
      </c>
      <c r="MS108" s="181">
        <v>0</v>
      </c>
      <c r="MT108" s="181">
        <v>0</v>
      </c>
      <c r="MU108" s="181">
        <v>0</v>
      </c>
      <c r="MV108" s="181">
        <v>6</v>
      </c>
      <c r="MW108" s="13"/>
      <c r="MX108" s="74" t="s">
        <v>40</v>
      </c>
      <c r="MY108" s="127">
        <v>16</v>
      </c>
      <c r="MZ108" s="127">
        <v>0</v>
      </c>
      <c r="NA108" s="127">
        <v>4</v>
      </c>
      <c r="NB108" s="127">
        <v>0</v>
      </c>
      <c r="NC108" s="127">
        <v>0</v>
      </c>
      <c r="ND108" s="127">
        <v>2</v>
      </c>
      <c r="NE108" s="127">
        <v>3</v>
      </c>
      <c r="NF108" s="127">
        <v>3</v>
      </c>
      <c r="NG108" s="127">
        <v>2</v>
      </c>
      <c r="NH108" s="127">
        <v>0</v>
      </c>
      <c r="NI108" s="127">
        <v>9</v>
      </c>
      <c r="NJ108" s="127">
        <v>1</v>
      </c>
      <c r="NK108" s="127">
        <v>0</v>
      </c>
      <c r="NL108" s="127">
        <v>0</v>
      </c>
      <c r="NM108" s="127">
        <v>0</v>
      </c>
      <c r="NN108" s="127">
        <v>0</v>
      </c>
      <c r="NO108" s="127">
        <v>1</v>
      </c>
      <c r="NP108" s="127">
        <v>19</v>
      </c>
      <c r="NQ108" s="127">
        <v>60</v>
      </c>
      <c r="NR108" s="13"/>
      <c r="NS108" s="74" t="s">
        <v>40</v>
      </c>
      <c r="NT108" s="127">
        <v>29</v>
      </c>
      <c r="NU108" s="127">
        <v>0</v>
      </c>
      <c r="NV108" s="127">
        <v>0</v>
      </c>
      <c r="NW108" s="127">
        <v>0</v>
      </c>
      <c r="NX108" s="127">
        <v>0</v>
      </c>
      <c r="NY108" s="127">
        <v>0</v>
      </c>
      <c r="NZ108" s="127">
        <v>0</v>
      </c>
      <c r="OA108" s="127">
        <v>0</v>
      </c>
      <c r="OB108" s="127">
        <v>2</v>
      </c>
      <c r="OC108" s="127">
        <v>0</v>
      </c>
      <c r="OD108" s="127">
        <v>9</v>
      </c>
      <c r="OE108" s="127">
        <v>0</v>
      </c>
      <c r="OF108" s="127">
        <v>0</v>
      </c>
      <c r="OG108" s="127">
        <v>0</v>
      </c>
      <c r="OH108" s="127">
        <v>0</v>
      </c>
      <c r="OI108" s="127">
        <v>0</v>
      </c>
      <c r="OJ108" s="127">
        <v>5</v>
      </c>
      <c r="OK108" s="127">
        <v>24</v>
      </c>
      <c r="OL108" s="127">
        <v>69</v>
      </c>
    </row>
    <row r="109" spans="1:402" ht="15.5" thickBot="1">
      <c r="A109" s="17" t="s">
        <v>41</v>
      </c>
      <c r="B109" s="89">
        <v>23</v>
      </c>
      <c r="C109" s="89">
        <v>0</v>
      </c>
      <c r="D109" s="89">
        <v>1</v>
      </c>
      <c r="E109" s="89">
        <v>2</v>
      </c>
      <c r="F109" s="89">
        <v>1</v>
      </c>
      <c r="G109" s="89">
        <v>1</v>
      </c>
      <c r="H109" s="89">
        <v>0</v>
      </c>
      <c r="I109" s="89">
        <v>2</v>
      </c>
      <c r="J109" s="89">
        <v>3</v>
      </c>
      <c r="K109" s="89">
        <v>1</v>
      </c>
      <c r="L109" s="89">
        <v>0</v>
      </c>
      <c r="M109" s="89">
        <v>4</v>
      </c>
      <c r="N109" s="89">
        <v>0</v>
      </c>
      <c r="O109" s="89">
        <v>0</v>
      </c>
      <c r="P109" s="89">
        <v>0</v>
      </c>
      <c r="Q109" s="89">
        <v>0</v>
      </c>
      <c r="R109" s="89">
        <v>0</v>
      </c>
      <c r="S109" s="89">
        <v>1</v>
      </c>
      <c r="T109" s="89">
        <v>39</v>
      </c>
      <c r="U109" s="104"/>
      <c r="V109" s="17" t="s">
        <v>41</v>
      </c>
      <c r="W109" s="89">
        <v>17</v>
      </c>
      <c r="X109" s="89">
        <v>0</v>
      </c>
      <c r="Y109" s="89">
        <v>0</v>
      </c>
      <c r="Z109" s="89">
        <v>2</v>
      </c>
      <c r="AA109" s="89">
        <v>2</v>
      </c>
      <c r="AB109" s="89">
        <v>0</v>
      </c>
      <c r="AC109" s="89">
        <v>0</v>
      </c>
      <c r="AD109" s="89">
        <v>5</v>
      </c>
      <c r="AE109" s="89">
        <v>3</v>
      </c>
      <c r="AF109" s="89">
        <v>0</v>
      </c>
      <c r="AG109" s="109">
        <v>0</v>
      </c>
      <c r="AH109" s="89">
        <v>0</v>
      </c>
      <c r="AI109" s="89">
        <v>0</v>
      </c>
      <c r="AJ109" s="89">
        <v>0</v>
      </c>
      <c r="AK109" s="89">
        <v>0</v>
      </c>
      <c r="AL109" s="89">
        <v>0</v>
      </c>
      <c r="AM109" s="89">
        <v>0</v>
      </c>
      <c r="AN109" s="89">
        <v>2</v>
      </c>
      <c r="AO109" s="89">
        <v>31</v>
      </c>
      <c r="AP109" s="104"/>
      <c r="AQ109" s="17" t="s">
        <v>41</v>
      </c>
      <c r="AR109" s="89">
        <v>17</v>
      </c>
      <c r="AS109" s="89">
        <v>1</v>
      </c>
      <c r="AT109" s="89">
        <v>2</v>
      </c>
      <c r="AU109" s="89">
        <v>1</v>
      </c>
      <c r="AV109" s="89">
        <v>5</v>
      </c>
      <c r="AW109" s="89">
        <v>0</v>
      </c>
      <c r="AX109" s="89">
        <v>0</v>
      </c>
      <c r="AY109" s="89">
        <v>4</v>
      </c>
      <c r="AZ109" s="89">
        <v>1</v>
      </c>
      <c r="BA109" s="89">
        <v>0</v>
      </c>
      <c r="BB109" s="89">
        <v>0</v>
      </c>
      <c r="BC109" s="89">
        <v>1</v>
      </c>
      <c r="BD109" s="89">
        <v>0</v>
      </c>
      <c r="BE109" s="89">
        <v>0</v>
      </c>
      <c r="BF109" s="89">
        <v>0</v>
      </c>
      <c r="BG109" s="89">
        <v>0</v>
      </c>
      <c r="BH109" s="89">
        <v>1</v>
      </c>
      <c r="BI109" s="89">
        <v>1</v>
      </c>
      <c r="BJ109" s="89">
        <v>34</v>
      </c>
      <c r="BK109" s="13"/>
      <c r="BL109" s="115" t="s">
        <v>41</v>
      </c>
      <c r="BM109" s="118">
        <v>24</v>
      </c>
      <c r="BN109" s="118">
        <v>0</v>
      </c>
      <c r="BO109" s="118">
        <v>5</v>
      </c>
      <c r="BP109" s="118">
        <v>1</v>
      </c>
      <c r="BQ109" s="118">
        <v>1</v>
      </c>
      <c r="BR109" s="118">
        <v>0</v>
      </c>
      <c r="BS109" s="118">
        <v>0</v>
      </c>
      <c r="BT109" s="118">
        <v>7</v>
      </c>
      <c r="BU109" s="118">
        <v>0</v>
      </c>
      <c r="BV109" s="118">
        <v>0</v>
      </c>
      <c r="BW109" s="118">
        <v>0</v>
      </c>
      <c r="BX109" s="118">
        <v>0</v>
      </c>
      <c r="BY109" s="118">
        <v>0</v>
      </c>
      <c r="BZ109" s="118">
        <v>0</v>
      </c>
      <c r="CA109" s="118">
        <v>0</v>
      </c>
      <c r="CB109" s="118">
        <v>1</v>
      </c>
      <c r="CC109" s="118">
        <v>0</v>
      </c>
      <c r="CD109" s="118">
        <v>1</v>
      </c>
      <c r="CE109" s="119">
        <v>40</v>
      </c>
      <c r="CF109" s="13"/>
      <c r="CG109" s="118" t="s">
        <v>41</v>
      </c>
      <c r="CH109" s="118">
        <v>48</v>
      </c>
      <c r="CI109" s="118">
        <v>0</v>
      </c>
      <c r="CJ109" s="118">
        <v>2</v>
      </c>
      <c r="CK109" s="118">
        <v>1</v>
      </c>
      <c r="CL109" s="118">
        <v>3</v>
      </c>
      <c r="CM109" s="118">
        <v>2</v>
      </c>
      <c r="CN109" s="118">
        <v>0</v>
      </c>
      <c r="CO109" s="118">
        <v>6</v>
      </c>
      <c r="CP109" s="118">
        <v>3</v>
      </c>
      <c r="CQ109" s="118">
        <v>0</v>
      </c>
      <c r="CR109" s="118">
        <v>2</v>
      </c>
      <c r="CS109" s="118">
        <v>2</v>
      </c>
      <c r="CT109" s="118">
        <v>0</v>
      </c>
      <c r="CU109" s="118">
        <v>0</v>
      </c>
      <c r="CV109" s="118">
        <v>0</v>
      </c>
      <c r="CW109" s="118">
        <v>0</v>
      </c>
      <c r="CX109" s="118">
        <v>0</v>
      </c>
      <c r="CY109" s="118">
        <v>1</v>
      </c>
      <c r="CZ109" s="118">
        <v>70</v>
      </c>
      <c r="DA109" s="13"/>
      <c r="DB109" s="118" t="s">
        <v>41</v>
      </c>
      <c r="DC109" s="118">
        <v>13</v>
      </c>
      <c r="DD109" s="118">
        <v>0</v>
      </c>
      <c r="DE109" s="118">
        <v>1</v>
      </c>
      <c r="DF109" s="118">
        <v>0</v>
      </c>
      <c r="DG109" s="118">
        <v>2</v>
      </c>
      <c r="DH109" s="118">
        <v>0</v>
      </c>
      <c r="DI109" s="118">
        <v>0</v>
      </c>
      <c r="DJ109" s="118">
        <v>1</v>
      </c>
      <c r="DK109" s="118">
        <v>1</v>
      </c>
      <c r="DL109" s="118">
        <v>0</v>
      </c>
      <c r="DM109" s="118">
        <v>1</v>
      </c>
      <c r="DN109" s="118">
        <v>2</v>
      </c>
      <c r="DO109" s="118">
        <v>0</v>
      </c>
      <c r="DP109" s="118">
        <v>0</v>
      </c>
      <c r="DQ109" s="118">
        <v>0</v>
      </c>
      <c r="DR109" s="118">
        <v>0</v>
      </c>
      <c r="DS109" s="118">
        <v>0</v>
      </c>
      <c r="DT109" s="118">
        <v>2</v>
      </c>
      <c r="DU109" s="118">
        <v>23</v>
      </c>
      <c r="DV109" s="13"/>
      <c r="DW109" s="118" t="s">
        <v>41</v>
      </c>
      <c r="DX109" s="118">
        <v>20</v>
      </c>
      <c r="DY109" s="118">
        <v>0</v>
      </c>
      <c r="DZ109" s="118">
        <v>1</v>
      </c>
      <c r="EA109" s="118">
        <v>0</v>
      </c>
      <c r="EB109" s="118">
        <v>1</v>
      </c>
      <c r="EC109" s="118">
        <v>0</v>
      </c>
      <c r="ED109" s="118">
        <v>0</v>
      </c>
      <c r="EE109" s="118">
        <v>10</v>
      </c>
      <c r="EF109" s="118">
        <v>4</v>
      </c>
      <c r="EG109" s="118">
        <v>0</v>
      </c>
      <c r="EH109" s="118">
        <v>0</v>
      </c>
      <c r="EI109" s="118">
        <v>0</v>
      </c>
      <c r="EJ109" s="118">
        <v>0</v>
      </c>
      <c r="EK109" s="118">
        <v>0</v>
      </c>
      <c r="EL109" s="118">
        <v>0</v>
      </c>
      <c r="EM109" s="118">
        <v>0</v>
      </c>
      <c r="EN109" s="118">
        <v>0</v>
      </c>
      <c r="EO109" s="118">
        <v>0</v>
      </c>
      <c r="EP109" s="118">
        <v>36</v>
      </c>
      <c r="EQ109" s="13"/>
      <c r="ER109" s="118" t="s">
        <v>41</v>
      </c>
      <c r="ES109" s="118">
        <v>26</v>
      </c>
      <c r="ET109" s="118">
        <v>0</v>
      </c>
      <c r="EU109" s="118">
        <v>0</v>
      </c>
      <c r="EV109" s="118">
        <v>1</v>
      </c>
      <c r="EW109" s="118">
        <v>2</v>
      </c>
      <c r="EX109" s="118">
        <v>0</v>
      </c>
      <c r="EY109" s="118">
        <v>0</v>
      </c>
      <c r="EZ109" s="118">
        <v>4</v>
      </c>
      <c r="FA109" s="118">
        <v>0</v>
      </c>
      <c r="FB109" s="118">
        <v>1</v>
      </c>
      <c r="FC109" s="118">
        <v>0</v>
      </c>
      <c r="FD109" s="118">
        <v>0</v>
      </c>
      <c r="FE109" s="118">
        <v>0</v>
      </c>
      <c r="FF109" s="118">
        <v>0</v>
      </c>
      <c r="FG109" s="118">
        <v>0</v>
      </c>
      <c r="FH109" s="118">
        <v>0</v>
      </c>
      <c r="FI109" s="118">
        <v>0</v>
      </c>
      <c r="FJ109" s="118">
        <v>0</v>
      </c>
      <c r="FK109" s="118">
        <v>34</v>
      </c>
      <c r="FL109" s="13"/>
      <c r="FM109" s="118" t="s">
        <v>41</v>
      </c>
      <c r="FN109" s="118">
        <v>27</v>
      </c>
      <c r="FO109" s="118">
        <v>0</v>
      </c>
      <c r="FP109" s="118">
        <v>0</v>
      </c>
      <c r="FQ109" s="118">
        <v>1</v>
      </c>
      <c r="FR109" s="118">
        <v>6</v>
      </c>
      <c r="FS109" s="118">
        <v>0</v>
      </c>
      <c r="FT109" s="118">
        <v>0</v>
      </c>
      <c r="FU109" s="118">
        <v>2</v>
      </c>
      <c r="FV109" s="118">
        <v>1</v>
      </c>
      <c r="FW109" s="118">
        <v>0</v>
      </c>
      <c r="FX109" s="118">
        <v>1</v>
      </c>
      <c r="FY109" s="118">
        <v>0</v>
      </c>
      <c r="FZ109" s="118">
        <v>0</v>
      </c>
      <c r="GA109" s="118">
        <v>0</v>
      </c>
      <c r="GB109" s="118">
        <v>0</v>
      </c>
      <c r="GC109" s="118">
        <v>0</v>
      </c>
      <c r="GD109" s="118">
        <v>0</v>
      </c>
      <c r="GE109" s="118">
        <v>13</v>
      </c>
      <c r="GF109" s="118">
        <v>51</v>
      </c>
      <c r="GG109" s="13"/>
      <c r="GH109" s="118" t="s">
        <v>41</v>
      </c>
      <c r="GI109" s="118">
        <v>12</v>
      </c>
      <c r="GJ109" s="118">
        <v>0</v>
      </c>
      <c r="GK109" s="118">
        <v>0</v>
      </c>
      <c r="GL109" s="118">
        <v>0</v>
      </c>
      <c r="GM109" s="118">
        <v>2</v>
      </c>
      <c r="GN109" s="118">
        <v>0</v>
      </c>
      <c r="GO109" s="118">
        <v>0</v>
      </c>
      <c r="GP109" s="118">
        <v>0</v>
      </c>
      <c r="GQ109" s="118">
        <v>0</v>
      </c>
      <c r="GR109" s="118">
        <v>0</v>
      </c>
      <c r="GS109" s="118">
        <v>1</v>
      </c>
      <c r="GT109" s="118">
        <v>0</v>
      </c>
      <c r="GU109" s="118">
        <v>0</v>
      </c>
      <c r="GV109" s="118">
        <v>0</v>
      </c>
      <c r="GW109" s="118">
        <v>0</v>
      </c>
      <c r="GX109" s="118">
        <v>0</v>
      </c>
      <c r="GY109" s="118">
        <v>0</v>
      </c>
      <c r="GZ109" s="118">
        <v>0</v>
      </c>
      <c r="HA109" s="118">
        <v>15</v>
      </c>
      <c r="HB109" s="13"/>
      <c r="HC109" s="118" t="s">
        <v>41</v>
      </c>
      <c r="HD109" s="118">
        <v>25</v>
      </c>
      <c r="HE109" s="118">
        <v>0</v>
      </c>
      <c r="HF109" s="118">
        <v>2</v>
      </c>
      <c r="HG109" s="118">
        <v>0</v>
      </c>
      <c r="HH109" s="118">
        <v>0</v>
      </c>
      <c r="HI109" s="118">
        <v>0</v>
      </c>
      <c r="HJ109" s="118">
        <v>0</v>
      </c>
      <c r="HK109" s="118">
        <v>5</v>
      </c>
      <c r="HL109" s="118">
        <v>0</v>
      </c>
      <c r="HM109" s="118">
        <v>0</v>
      </c>
      <c r="HN109" s="118">
        <v>0</v>
      </c>
      <c r="HO109" s="118">
        <v>0</v>
      </c>
      <c r="HP109" s="118">
        <v>0</v>
      </c>
      <c r="HQ109" s="118">
        <v>0</v>
      </c>
      <c r="HR109" s="118">
        <v>0</v>
      </c>
      <c r="HS109" s="118">
        <v>0</v>
      </c>
      <c r="HT109" s="118">
        <v>0</v>
      </c>
      <c r="HU109" s="118">
        <v>0</v>
      </c>
      <c r="HV109" s="118">
        <v>32</v>
      </c>
      <c r="HW109" s="13"/>
      <c r="HX109" s="118" t="s">
        <v>41</v>
      </c>
      <c r="HY109" s="118">
        <v>10</v>
      </c>
      <c r="HZ109" s="118">
        <v>0</v>
      </c>
      <c r="IA109" s="118">
        <v>1</v>
      </c>
      <c r="IB109" s="118">
        <v>0</v>
      </c>
      <c r="IC109" s="118">
        <v>7</v>
      </c>
      <c r="ID109" s="118">
        <v>0</v>
      </c>
      <c r="IE109" s="118">
        <v>0</v>
      </c>
      <c r="IF109" s="118">
        <v>2</v>
      </c>
      <c r="IG109" s="118">
        <v>0</v>
      </c>
      <c r="IH109" s="118">
        <v>0</v>
      </c>
      <c r="II109" s="118">
        <v>0</v>
      </c>
      <c r="IJ109" s="118">
        <v>0</v>
      </c>
      <c r="IK109" s="118">
        <v>0</v>
      </c>
      <c r="IL109" s="118">
        <v>0</v>
      </c>
      <c r="IM109" s="118">
        <v>0</v>
      </c>
      <c r="IN109" s="118">
        <v>0</v>
      </c>
      <c r="IO109" s="118">
        <v>1</v>
      </c>
      <c r="IP109" s="118">
        <v>0</v>
      </c>
      <c r="IQ109" s="118">
        <v>21</v>
      </c>
      <c r="IR109" s="13"/>
      <c r="IS109" s="118" t="s">
        <v>41</v>
      </c>
      <c r="IT109" s="118">
        <v>15</v>
      </c>
      <c r="IU109" s="118">
        <v>0</v>
      </c>
      <c r="IV109" s="118">
        <v>1</v>
      </c>
      <c r="IW109" s="118">
        <v>1</v>
      </c>
      <c r="IX109" s="118">
        <v>2</v>
      </c>
      <c r="IY109" s="118">
        <v>0</v>
      </c>
      <c r="IZ109" s="118">
        <v>3</v>
      </c>
      <c r="JA109" s="118">
        <v>2</v>
      </c>
      <c r="JB109" s="118">
        <v>0</v>
      </c>
      <c r="JC109" s="118">
        <v>1</v>
      </c>
      <c r="JD109" s="118">
        <v>0</v>
      </c>
      <c r="JE109" s="118">
        <v>0</v>
      </c>
      <c r="JF109" s="118">
        <v>0</v>
      </c>
      <c r="JG109" s="118">
        <v>0</v>
      </c>
      <c r="JH109" s="118">
        <v>0</v>
      </c>
      <c r="JI109" s="118">
        <v>0</v>
      </c>
      <c r="JJ109" s="118">
        <v>1</v>
      </c>
      <c r="JK109" s="118">
        <v>2</v>
      </c>
      <c r="JL109" s="118">
        <v>28</v>
      </c>
      <c r="JM109" s="13"/>
      <c r="JN109" s="70" t="s">
        <v>41</v>
      </c>
      <c r="JO109" s="122">
        <v>25</v>
      </c>
      <c r="JP109" s="122">
        <v>0</v>
      </c>
      <c r="JQ109" s="122">
        <v>0</v>
      </c>
      <c r="JR109" s="122">
        <v>1</v>
      </c>
      <c r="JS109" s="122">
        <v>4</v>
      </c>
      <c r="JT109" s="122">
        <v>0</v>
      </c>
      <c r="JU109" s="122">
        <v>0</v>
      </c>
      <c r="JV109" s="122">
        <v>6</v>
      </c>
      <c r="JW109" s="122">
        <v>1</v>
      </c>
      <c r="JX109" s="122">
        <v>0</v>
      </c>
      <c r="JY109" s="122">
        <v>1</v>
      </c>
      <c r="JZ109" s="122">
        <v>0</v>
      </c>
      <c r="KA109" s="122">
        <v>0</v>
      </c>
      <c r="KB109" s="122">
        <v>0</v>
      </c>
      <c r="KC109" s="122">
        <v>0</v>
      </c>
      <c r="KD109" s="122">
        <v>0</v>
      </c>
      <c r="KE109" s="122">
        <v>0</v>
      </c>
      <c r="KF109" s="122">
        <v>0</v>
      </c>
      <c r="KG109" s="123">
        <v>38</v>
      </c>
      <c r="KH109" s="13"/>
      <c r="KI109" s="118" t="s">
        <v>41</v>
      </c>
      <c r="KJ109" s="118">
        <v>11</v>
      </c>
      <c r="KK109" s="118">
        <v>0</v>
      </c>
      <c r="KL109" s="118">
        <v>0</v>
      </c>
      <c r="KM109" s="118">
        <v>2</v>
      </c>
      <c r="KN109" s="118">
        <v>0</v>
      </c>
      <c r="KO109" s="118">
        <v>0</v>
      </c>
      <c r="KP109" s="118">
        <v>4</v>
      </c>
      <c r="KQ109" s="118">
        <v>0</v>
      </c>
      <c r="KR109" s="118">
        <v>0</v>
      </c>
      <c r="KS109" s="118">
        <v>3</v>
      </c>
      <c r="KT109" s="118">
        <v>0</v>
      </c>
      <c r="KU109" s="118">
        <v>0</v>
      </c>
      <c r="KV109" s="118">
        <v>0</v>
      </c>
      <c r="KW109" s="118">
        <v>0</v>
      </c>
      <c r="KX109" s="118">
        <v>0</v>
      </c>
      <c r="KY109" s="118">
        <v>0</v>
      </c>
      <c r="KZ109" s="118">
        <v>0</v>
      </c>
      <c r="LA109" s="118">
        <v>0</v>
      </c>
      <c r="LB109" s="118">
        <v>20</v>
      </c>
      <c r="LC109" s="13"/>
      <c r="LD109" s="58" t="s">
        <v>41</v>
      </c>
      <c r="LE109" s="65">
        <v>9</v>
      </c>
      <c r="LF109" s="65">
        <v>0</v>
      </c>
      <c r="LG109" s="65">
        <v>0</v>
      </c>
      <c r="LH109" s="65">
        <v>1</v>
      </c>
      <c r="LI109" s="65">
        <v>0</v>
      </c>
      <c r="LJ109" s="65">
        <v>0</v>
      </c>
      <c r="LK109" s="65">
        <v>1</v>
      </c>
      <c r="LL109" s="65">
        <v>0</v>
      </c>
      <c r="LM109" s="65">
        <v>0</v>
      </c>
      <c r="LN109" s="65">
        <v>4</v>
      </c>
      <c r="LO109" s="65">
        <v>0</v>
      </c>
      <c r="LP109" s="65">
        <v>0</v>
      </c>
      <c r="LQ109" s="65">
        <v>1</v>
      </c>
      <c r="LR109" s="65">
        <v>0</v>
      </c>
      <c r="LS109" s="65">
        <v>0</v>
      </c>
      <c r="LT109" s="65">
        <v>0</v>
      </c>
      <c r="LU109" s="65">
        <v>0</v>
      </c>
      <c r="LV109" s="65">
        <v>0</v>
      </c>
      <c r="LW109" s="65">
        <v>0</v>
      </c>
      <c r="LX109" s="65">
        <v>0</v>
      </c>
      <c r="LY109" s="65">
        <v>1</v>
      </c>
      <c r="LZ109" s="65">
        <v>0</v>
      </c>
      <c r="MA109" s="65">
        <v>17</v>
      </c>
      <c r="MB109" s="13"/>
      <c r="MC109" s="180" t="s">
        <v>41</v>
      </c>
      <c r="MD109" s="181">
        <v>28</v>
      </c>
      <c r="ME109" s="181">
        <v>0</v>
      </c>
      <c r="MF109" s="181">
        <v>1</v>
      </c>
      <c r="MG109" s="181">
        <v>1</v>
      </c>
      <c r="MH109" s="181">
        <v>2</v>
      </c>
      <c r="MI109" s="181">
        <v>0</v>
      </c>
      <c r="MJ109" s="181">
        <v>0</v>
      </c>
      <c r="MK109" s="181">
        <v>4</v>
      </c>
      <c r="ML109" s="181">
        <v>0</v>
      </c>
      <c r="MM109" s="181">
        <v>0</v>
      </c>
      <c r="MN109" s="181">
        <v>0</v>
      </c>
      <c r="MO109" s="181">
        <v>0</v>
      </c>
      <c r="MP109" s="181">
        <v>0</v>
      </c>
      <c r="MQ109" s="181">
        <v>0</v>
      </c>
      <c r="MR109" s="181">
        <v>0</v>
      </c>
      <c r="MS109" s="181">
        <v>0</v>
      </c>
      <c r="MT109" s="181">
        <v>0</v>
      </c>
      <c r="MU109" s="181">
        <v>0</v>
      </c>
      <c r="MV109" s="181">
        <v>36</v>
      </c>
      <c r="MW109" s="13"/>
      <c r="MX109" s="74" t="s">
        <v>41</v>
      </c>
      <c r="MY109" s="127">
        <v>38</v>
      </c>
      <c r="MZ109" s="127">
        <v>0</v>
      </c>
      <c r="NA109" s="127">
        <v>0</v>
      </c>
      <c r="NB109" s="127">
        <v>0</v>
      </c>
      <c r="NC109" s="127">
        <v>5</v>
      </c>
      <c r="ND109" s="127">
        <v>1</v>
      </c>
      <c r="NE109" s="127">
        <v>0</v>
      </c>
      <c r="NF109" s="127">
        <v>3</v>
      </c>
      <c r="NG109" s="127">
        <v>1</v>
      </c>
      <c r="NH109" s="127">
        <v>0</v>
      </c>
      <c r="NI109" s="127">
        <v>0</v>
      </c>
      <c r="NJ109" s="127">
        <v>0</v>
      </c>
      <c r="NK109" s="127">
        <v>0</v>
      </c>
      <c r="NL109" s="127">
        <v>0</v>
      </c>
      <c r="NM109" s="127">
        <v>0</v>
      </c>
      <c r="NN109" s="127">
        <v>0</v>
      </c>
      <c r="NO109" s="127">
        <v>0</v>
      </c>
      <c r="NP109" s="127">
        <v>0</v>
      </c>
      <c r="NQ109" s="127">
        <v>48</v>
      </c>
      <c r="NR109" s="13"/>
      <c r="NS109" s="74" t="s">
        <v>41</v>
      </c>
      <c r="NT109" s="127">
        <v>28</v>
      </c>
      <c r="NU109" s="127">
        <v>0</v>
      </c>
      <c r="NV109" s="127">
        <v>0</v>
      </c>
      <c r="NW109" s="127">
        <v>0</v>
      </c>
      <c r="NX109" s="127">
        <v>0</v>
      </c>
      <c r="NY109" s="127">
        <v>1</v>
      </c>
      <c r="NZ109" s="127">
        <v>0</v>
      </c>
      <c r="OA109" s="127">
        <v>5</v>
      </c>
      <c r="OB109" s="127">
        <v>2</v>
      </c>
      <c r="OC109" s="127">
        <v>0</v>
      </c>
      <c r="OD109" s="127">
        <v>0</v>
      </c>
      <c r="OE109" s="127">
        <v>1</v>
      </c>
      <c r="OF109" s="127">
        <v>0</v>
      </c>
      <c r="OG109" s="127">
        <v>0</v>
      </c>
      <c r="OH109" s="127">
        <v>0</v>
      </c>
      <c r="OI109" s="127">
        <v>0</v>
      </c>
      <c r="OJ109" s="127">
        <v>0</v>
      </c>
      <c r="OK109" s="127">
        <v>0</v>
      </c>
      <c r="OL109" s="127">
        <v>37</v>
      </c>
    </row>
    <row r="110" spans="1:402" ht="15.5" thickBot="1">
      <c r="A110" s="17" t="s">
        <v>42</v>
      </c>
      <c r="B110" s="89">
        <v>70</v>
      </c>
      <c r="C110" s="89">
        <v>0</v>
      </c>
      <c r="D110" s="89">
        <v>10</v>
      </c>
      <c r="E110" s="89">
        <v>0</v>
      </c>
      <c r="F110" s="89">
        <v>4</v>
      </c>
      <c r="G110" s="89">
        <v>0</v>
      </c>
      <c r="H110" s="89">
        <v>0</v>
      </c>
      <c r="I110" s="89">
        <v>8</v>
      </c>
      <c r="J110" s="89">
        <v>1</v>
      </c>
      <c r="K110" s="89">
        <v>0</v>
      </c>
      <c r="L110" s="89">
        <v>1</v>
      </c>
      <c r="M110" s="89">
        <v>0</v>
      </c>
      <c r="N110" s="89">
        <v>0</v>
      </c>
      <c r="O110" s="89">
        <v>0</v>
      </c>
      <c r="P110" s="89">
        <v>0</v>
      </c>
      <c r="Q110" s="89">
        <v>0</v>
      </c>
      <c r="R110" s="89">
        <v>17</v>
      </c>
      <c r="S110" s="89">
        <v>0</v>
      </c>
      <c r="T110" s="89">
        <v>111</v>
      </c>
      <c r="U110" s="104"/>
      <c r="V110" s="17" t="s">
        <v>42</v>
      </c>
      <c r="W110" s="89">
        <v>68</v>
      </c>
      <c r="X110" s="89">
        <v>1</v>
      </c>
      <c r="Y110" s="89">
        <v>6</v>
      </c>
      <c r="Z110" s="89">
        <v>2</v>
      </c>
      <c r="AA110" s="89">
        <v>7</v>
      </c>
      <c r="AB110" s="89">
        <v>0</v>
      </c>
      <c r="AC110" s="89">
        <v>0</v>
      </c>
      <c r="AD110" s="89">
        <v>5</v>
      </c>
      <c r="AE110" s="89">
        <v>3</v>
      </c>
      <c r="AF110" s="89">
        <v>0</v>
      </c>
      <c r="AG110" s="109">
        <v>2</v>
      </c>
      <c r="AH110" s="89">
        <v>0</v>
      </c>
      <c r="AI110" s="89">
        <v>0</v>
      </c>
      <c r="AJ110" s="89">
        <v>0</v>
      </c>
      <c r="AK110" s="89">
        <v>0</v>
      </c>
      <c r="AL110" s="89">
        <v>0</v>
      </c>
      <c r="AM110" s="89">
        <v>11</v>
      </c>
      <c r="AN110" s="89">
        <v>3</v>
      </c>
      <c r="AO110" s="89">
        <v>108</v>
      </c>
      <c r="AP110" s="104"/>
      <c r="AQ110" s="17" t="s">
        <v>42</v>
      </c>
      <c r="AR110" s="89">
        <v>46</v>
      </c>
      <c r="AS110" s="89">
        <v>0</v>
      </c>
      <c r="AT110" s="89">
        <v>6</v>
      </c>
      <c r="AU110" s="89">
        <v>1</v>
      </c>
      <c r="AV110" s="89">
        <v>5</v>
      </c>
      <c r="AW110" s="89">
        <v>0</v>
      </c>
      <c r="AX110" s="89">
        <v>0</v>
      </c>
      <c r="AY110" s="89">
        <v>3</v>
      </c>
      <c r="AZ110" s="89">
        <v>0</v>
      </c>
      <c r="BA110" s="89">
        <v>0</v>
      </c>
      <c r="BB110" s="89">
        <v>0</v>
      </c>
      <c r="BC110" s="89">
        <v>0</v>
      </c>
      <c r="BD110" s="89">
        <v>0</v>
      </c>
      <c r="BE110" s="89">
        <v>0</v>
      </c>
      <c r="BF110" s="89">
        <v>0</v>
      </c>
      <c r="BG110" s="89">
        <v>0</v>
      </c>
      <c r="BH110" s="89">
        <v>10</v>
      </c>
      <c r="BI110" s="89">
        <v>1</v>
      </c>
      <c r="BJ110" s="89">
        <v>72</v>
      </c>
      <c r="BK110" s="13"/>
      <c r="BL110" s="115" t="s">
        <v>42</v>
      </c>
      <c r="BM110" s="118">
        <v>30</v>
      </c>
      <c r="BN110" s="118">
        <v>0</v>
      </c>
      <c r="BO110" s="118">
        <v>2</v>
      </c>
      <c r="BP110" s="118">
        <v>4</v>
      </c>
      <c r="BQ110" s="118">
        <v>2</v>
      </c>
      <c r="BR110" s="118">
        <v>0</v>
      </c>
      <c r="BS110" s="118">
        <v>2</v>
      </c>
      <c r="BT110" s="118">
        <v>3</v>
      </c>
      <c r="BU110" s="118">
        <v>0</v>
      </c>
      <c r="BV110" s="118">
        <v>0</v>
      </c>
      <c r="BW110" s="118">
        <v>6</v>
      </c>
      <c r="BX110" s="118">
        <v>0</v>
      </c>
      <c r="BY110" s="118">
        <v>2</v>
      </c>
      <c r="BZ110" s="118">
        <v>0</v>
      </c>
      <c r="CA110" s="118">
        <v>0</v>
      </c>
      <c r="CB110" s="118">
        <v>0</v>
      </c>
      <c r="CC110" s="118">
        <v>15</v>
      </c>
      <c r="CD110" s="118">
        <v>0</v>
      </c>
      <c r="CE110" s="119">
        <v>66</v>
      </c>
      <c r="CF110" s="13"/>
      <c r="CG110" s="118" t="s">
        <v>42</v>
      </c>
      <c r="CH110" s="118">
        <v>29</v>
      </c>
      <c r="CI110" s="118">
        <v>0</v>
      </c>
      <c r="CJ110" s="118">
        <v>7</v>
      </c>
      <c r="CK110" s="118">
        <v>4</v>
      </c>
      <c r="CL110" s="118">
        <v>1</v>
      </c>
      <c r="CM110" s="118">
        <v>1</v>
      </c>
      <c r="CN110" s="118">
        <v>0</v>
      </c>
      <c r="CO110" s="118">
        <v>1</v>
      </c>
      <c r="CP110" s="118">
        <v>3</v>
      </c>
      <c r="CQ110" s="118">
        <v>0</v>
      </c>
      <c r="CR110" s="118">
        <v>6</v>
      </c>
      <c r="CS110" s="118">
        <v>0</v>
      </c>
      <c r="CT110" s="118">
        <v>2</v>
      </c>
      <c r="CU110" s="118">
        <v>0</v>
      </c>
      <c r="CV110" s="118">
        <v>0</v>
      </c>
      <c r="CW110" s="118">
        <v>0</v>
      </c>
      <c r="CX110" s="118">
        <v>17</v>
      </c>
      <c r="CY110" s="118">
        <v>0</v>
      </c>
      <c r="CZ110" s="118">
        <v>71</v>
      </c>
      <c r="DA110" s="13"/>
      <c r="DB110" s="118" t="s">
        <v>42</v>
      </c>
      <c r="DC110" s="118">
        <v>51</v>
      </c>
      <c r="DD110" s="118">
        <v>0</v>
      </c>
      <c r="DE110" s="118">
        <v>13</v>
      </c>
      <c r="DF110" s="118">
        <v>4</v>
      </c>
      <c r="DG110" s="118">
        <v>6</v>
      </c>
      <c r="DH110" s="118">
        <v>1</v>
      </c>
      <c r="DI110" s="118">
        <v>0</v>
      </c>
      <c r="DJ110" s="118">
        <v>6</v>
      </c>
      <c r="DK110" s="118">
        <v>2</v>
      </c>
      <c r="DL110" s="118">
        <v>0</v>
      </c>
      <c r="DM110" s="118">
        <v>2</v>
      </c>
      <c r="DN110" s="118">
        <v>0</v>
      </c>
      <c r="DO110" s="118">
        <v>0</v>
      </c>
      <c r="DP110" s="118">
        <v>0</v>
      </c>
      <c r="DQ110" s="118">
        <v>0</v>
      </c>
      <c r="DR110" s="118">
        <v>0</v>
      </c>
      <c r="DS110" s="118">
        <v>21</v>
      </c>
      <c r="DT110" s="118">
        <v>0</v>
      </c>
      <c r="DU110" s="118">
        <v>106</v>
      </c>
      <c r="DV110" s="13"/>
      <c r="DW110" s="118" t="s">
        <v>42</v>
      </c>
      <c r="DX110" s="118">
        <v>35</v>
      </c>
      <c r="DY110" s="118">
        <v>0</v>
      </c>
      <c r="DZ110" s="118">
        <v>12</v>
      </c>
      <c r="EA110" s="118">
        <v>5</v>
      </c>
      <c r="EB110" s="118">
        <v>3</v>
      </c>
      <c r="EC110" s="118">
        <v>0</v>
      </c>
      <c r="ED110" s="118">
        <v>1</v>
      </c>
      <c r="EE110" s="118">
        <v>6</v>
      </c>
      <c r="EF110" s="118">
        <v>3</v>
      </c>
      <c r="EG110" s="118">
        <v>0</v>
      </c>
      <c r="EH110" s="118">
        <v>2</v>
      </c>
      <c r="EI110" s="118">
        <v>0</v>
      </c>
      <c r="EJ110" s="118">
        <v>1</v>
      </c>
      <c r="EK110" s="118">
        <v>1</v>
      </c>
      <c r="EL110" s="118">
        <v>0</v>
      </c>
      <c r="EM110" s="118">
        <v>2</v>
      </c>
      <c r="EN110" s="118">
        <v>24</v>
      </c>
      <c r="EO110" s="118">
        <v>1</v>
      </c>
      <c r="EP110" s="118">
        <v>96</v>
      </c>
      <c r="EQ110" s="13"/>
      <c r="ER110" s="118" t="s">
        <v>42</v>
      </c>
      <c r="ES110" s="118">
        <v>13</v>
      </c>
      <c r="ET110" s="118">
        <v>0</v>
      </c>
      <c r="EU110" s="118">
        <v>7</v>
      </c>
      <c r="EV110" s="118">
        <v>1</v>
      </c>
      <c r="EW110" s="118">
        <v>2</v>
      </c>
      <c r="EX110" s="118">
        <v>1</v>
      </c>
      <c r="EY110" s="118">
        <v>1</v>
      </c>
      <c r="EZ110" s="118">
        <v>1</v>
      </c>
      <c r="FA110" s="118">
        <v>1</v>
      </c>
      <c r="FB110" s="118">
        <v>0</v>
      </c>
      <c r="FC110" s="118">
        <v>5</v>
      </c>
      <c r="FD110" s="118">
        <v>1</v>
      </c>
      <c r="FE110" s="118">
        <v>2</v>
      </c>
      <c r="FF110" s="118">
        <v>0</v>
      </c>
      <c r="FG110" s="118">
        <v>0</v>
      </c>
      <c r="FH110" s="118">
        <v>2</v>
      </c>
      <c r="FI110" s="118">
        <v>0</v>
      </c>
      <c r="FJ110" s="118">
        <v>5</v>
      </c>
      <c r="FK110" s="118">
        <v>42</v>
      </c>
      <c r="FL110" s="13"/>
      <c r="FM110" s="118" t="s">
        <v>42</v>
      </c>
      <c r="FN110" s="118">
        <v>27</v>
      </c>
      <c r="FO110" s="118">
        <v>0</v>
      </c>
      <c r="FP110" s="118">
        <v>4</v>
      </c>
      <c r="FQ110" s="118">
        <v>0</v>
      </c>
      <c r="FR110" s="118">
        <v>5</v>
      </c>
      <c r="FS110" s="118">
        <v>2</v>
      </c>
      <c r="FT110" s="118">
        <v>0</v>
      </c>
      <c r="FU110" s="118">
        <v>0</v>
      </c>
      <c r="FV110" s="118">
        <v>0</v>
      </c>
      <c r="FW110" s="118">
        <v>2</v>
      </c>
      <c r="FX110" s="118">
        <v>6</v>
      </c>
      <c r="FY110" s="118">
        <v>0</v>
      </c>
      <c r="FZ110" s="118">
        <v>1</v>
      </c>
      <c r="GA110" s="118">
        <v>0</v>
      </c>
      <c r="GB110" s="118">
        <v>0</v>
      </c>
      <c r="GC110" s="118">
        <v>0</v>
      </c>
      <c r="GD110" s="118">
        <v>2</v>
      </c>
      <c r="GE110" s="118">
        <v>7</v>
      </c>
      <c r="GF110" s="118">
        <v>56</v>
      </c>
      <c r="GG110" s="13"/>
      <c r="GH110" s="118" t="s">
        <v>42</v>
      </c>
      <c r="GI110" s="118">
        <v>15</v>
      </c>
      <c r="GJ110" s="118">
        <v>0</v>
      </c>
      <c r="GK110" s="118">
        <v>7</v>
      </c>
      <c r="GL110" s="118">
        <v>0</v>
      </c>
      <c r="GM110" s="118">
        <v>0</v>
      </c>
      <c r="GN110" s="118">
        <v>1</v>
      </c>
      <c r="GO110" s="118">
        <v>0</v>
      </c>
      <c r="GP110" s="118">
        <v>2</v>
      </c>
      <c r="GQ110" s="118">
        <v>0</v>
      </c>
      <c r="GR110" s="118">
        <v>0</v>
      </c>
      <c r="GS110" s="118">
        <v>0</v>
      </c>
      <c r="GT110" s="118">
        <v>0</v>
      </c>
      <c r="GU110" s="118">
        <v>2</v>
      </c>
      <c r="GV110" s="118">
        <v>0</v>
      </c>
      <c r="GW110" s="118">
        <v>0</v>
      </c>
      <c r="GX110" s="118">
        <v>0</v>
      </c>
      <c r="GY110" s="118">
        <v>7</v>
      </c>
      <c r="GZ110" s="118">
        <v>0</v>
      </c>
      <c r="HA110" s="118">
        <v>34</v>
      </c>
      <c r="HB110" s="13"/>
      <c r="HC110" s="118" t="s">
        <v>42</v>
      </c>
      <c r="HD110" s="118">
        <v>14</v>
      </c>
      <c r="HE110" s="118">
        <v>1</v>
      </c>
      <c r="HF110" s="118">
        <v>6</v>
      </c>
      <c r="HG110" s="118">
        <v>0</v>
      </c>
      <c r="HH110" s="118">
        <v>6</v>
      </c>
      <c r="HI110" s="118">
        <v>0</v>
      </c>
      <c r="HJ110" s="118">
        <v>0</v>
      </c>
      <c r="HK110" s="118">
        <v>4</v>
      </c>
      <c r="HL110" s="118">
        <v>1</v>
      </c>
      <c r="HM110" s="118">
        <v>0</v>
      </c>
      <c r="HN110" s="118">
        <v>0</v>
      </c>
      <c r="HO110" s="118">
        <v>0</v>
      </c>
      <c r="HP110" s="118">
        <v>2</v>
      </c>
      <c r="HQ110" s="118">
        <v>1</v>
      </c>
      <c r="HR110" s="118">
        <v>0</v>
      </c>
      <c r="HS110" s="118">
        <v>0</v>
      </c>
      <c r="HT110" s="118">
        <v>5</v>
      </c>
      <c r="HU110" s="118">
        <v>0</v>
      </c>
      <c r="HV110" s="118">
        <v>40</v>
      </c>
      <c r="HW110" s="13"/>
      <c r="HX110" s="118" t="s">
        <v>42</v>
      </c>
      <c r="HY110" s="118">
        <v>17</v>
      </c>
      <c r="HZ110" s="118">
        <v>0</v>
      </c>
      <c r="IA110" s="118">
        <v>5</v>
      </c>
      <c r="IB110" s="118">
        <v>0</v>
      </c>
      <c r="IC110" s="118">
        <v>3</v>
      </c>
      <c r="ID110" s="118">
        <v>0</v>
      </c>
      <c r="IE110" s="118">
        <v>0</v>
      </c>
      <c r="IF110" s="118">
        <v>3</v>
      </c>
      <c r="IG110" s="118">
        <v>0</v>
      </c>
      <c r="IH110" s="118">
        <v>0</v>
      </c>
      <c r="II110" s="118">
        <v>5</v>
      </c>
      <c r="IJ110" s="118">
        <v>1</v>
      </c>
      <c r="IK110" s="118">
        <v>0</v>
      </c>
      <c r="IL110" s="118">
        <v>0</v>
      </c>
      <c r="IM110" s="118">
        <v>0</v>
      </c>
      <c r="IN110" s="118">
        <v>0</v>
      </c>
      <c r="IO110" s="118">
        <v>6</v>
      </c>
      <c r="IP110" s="118">
        <v>2</v>
      </c>
      <c r="IQ110" s="118">
        <v>42</v>
      </c>
      <c r="IR110" s="13"/>
      <c r="IS110" s="118" t="s">
        <v>42</v>
      </c>
      <c r="IT110" s="118">
        <v>20</v>
      </c>
      <c r="IU110" s="118">
        <v>1</v>
      </c>
      <c r="IV110" s="118">
        <v>2</v>
      </c>
      <c r="IW110" s="118">
        <v>0</v>
      </c>
      <c r="IX110" s="118">
        <v>4</v>
      </c>
      <c r="IY110" s="118">
        <v>1</v>
      </c>
      <c r="IZ110" s="118">
        <v>0</v>
      </c>
      <c r="JA110" s="118">
        <v>6</v>
      </c>
      <c r="JB110" s="118">
        <v>0</v>
      </c>
      <c r="JC110" s="118">
        <v>0</v>
      </c>
      <c r="JD110" s="118">
        <v>2</v>
      </c>
      <c r="JE110" s="118">
        <v>0</v>
      </c>
      <c r="JF110" s="118">
        <v>0</v>
      </c>
      <c r="JG110" s="118">
        <v>0</v>
      </c>
      <c r="JH110" s="118">
        <v>0</v>
      </c>
      <c r="JI110" s="118">
        <v>1</v>
      </c>
      <c r="JJ110" s="118">
        <v>3</v>
      </c>
      <c r="JK110" s="118">
        <v>1</v>
      </c>
      <c r="JL110" s="118">
        <v>41</v>
      </c>
      <c r="JM110" s="13"/>
      <c r="JN110" s="70" t="s">
        <v>42</v>
      </c>
      <c r="JO110" s="122">
        <v>26</v>
      </c>
      <c r="JP110" s="122">
        <v>1</v>
      </c>
      <c r="JQ110" s="122">
        <v>5</v>
      </c>
      <c r="JR110" s="122">
        <v>0</v>
      </c>
      <c r="JS110" s="122">
        <v>3</v>
      </c>
      <c r="JT110" s="122">
        <v>0</v>
      </c>
      <c r="JU110" s="122">
        <v>0</v>
      </c>
      <c r="JV110" s="122">
        <v>4</v>
      </c>
      <c r="JW110" s="122">
        <v>0</v>
      </c>
      <c r="JX110" s="122">
        <v>0</v>
      </c>
      <c r="JY110" s="122">
        <v>3</v>
      </c>
      <c r="JZ110" s="122">
        <v>0</v>
      </c>
      <c r="KA110" s="122">
        <v>0</v>
      </c>
      <c r="KB110" s="122">
        <v>0</v>
      </c>
      <c r="KC110" s="122">
        <v>0</v>
      </c>
      <c r="KD110" s="122">
        <v>0</v>
      </c>
      <c r="KE110" s="122">
        <v>2</v>
      </c>
      <c r="KF110" s="122">
        <v>0</v>
      </c>
      <c r="KG110" s="123">
        <v>44</v>
      </c>
      <c r="KH110" s="13"/>
      <c r="KI110" s="118" t="s">
        <v>42</v>
      </c>
      <c r="KJ110" s="118">
        <v>17</v>
      </c>
      <c r="KK110" s="118">
        <v>0</v>
      </c>
      <c r="KL110" s="118">
        <v>7</v>
      </c>
      <c r="KM110" s="118">
        <v>0</v>
      </c>
      <c r="KN110" s="118">
        <v>0</v>
      </c>
      <c r="KO110" s="118">
        <v>2</v>
      </c>
      <c r="KP110" s="118">
        <v>6</v>
      </c>
      <c r="KQ110" s="118">
        <v>0</v>
      </c>
      <c r="KR110" s="118">
        <v>0</v>
      </c>
      <c r="KS110" s="118">
        <v>0</v>
      </c>
      <c r="KT110" s="118">
        <v>0</v>
      </c>
      <c r="KU110" s="118">
        <v>0</v>
      </c>
      <c r="KV110" s="118">
        <v>6</v>
      </c>
      <c r="KW110" s="118">
        <v>0</v>
      </c>
      <c r="KX110" s="118">
        <v>1</v>
      </c>
      <c r="KY110" s="118">
        <v>0</v>
      </c>
      <c r="KZ110" s="118">
        <v>0</v>
      </c>
      <c r="LA110" s="118">
        <v>1</v>
      </c>
      <c r="LB110" s="118">
        <v>40</v>
      </c>
      <c r="LC110" s="13"/>
      <c r="LD110" s="58" t="s">
        <v>42</v>
      </c>
      <c r="LE110" s="65">
        <v>11</v>
      </c>
      <c r="LF110" s="65">
        <v>0</v>
      </c>
      <c r="LG110" s="65">
        <v>0</v>
      </c>
      <c r="LH110" s="65">
        <v>5</v>
      </c>
      <c r="LI110" s="65">
        <v>0</v>
      </c>
      <c r="LJ110" s="65">
        <v>2</v>
      </c>
      <c r="LK110" s="65">
        <v>1</v>
      </c>
      <c r="LL110" s="65">
        <v>0</v>
      </c>
      <c r="LM110" s="65">
        <v>0</v>
      </c>
      <c r="LN110" s="65">
        <v>1</v>
      </c>
      <c r="LO110" s="65">
        <v>0</v>
      </c>
      <c r="LP110" s="65">
        <v>0</v>
      </c>
      <c r="LQ110" s="65">
        <v>7</v>
      </c>
      <c r="LR110" s="65">
        <v>0</v>
      </c>
      <c r="LS110" s="65">
        <v>1</v>
      </c>
      <c r="LT110" s="65">
        <v>0</v>
      </c>
      <c r="LU110" s="65">
        <v>0</v>
      </c>
      <c r="LV110" s="65">
        <v>0</v>
      </c>
      <c r="LW110" s="65">
        <v>0</v>
      </c>
      <c r="LX110" s="65">
        <v>1</v>
      </c>
      <c r="LY110" s="65">
        <v>1</v>
      </c>
      <c r="LZ110" s="65">
        <v>1</v>
      </c>
      <c r="MA110" s="65">
        <v>31</v>
      </c>
      <c r="MB110" s="13"/>
      <c r="MC110" s="180" t="s">
        <v>42</v>
      </c>
      <c r="MD110" s="181">
        <v>28</v>
      </c>
      <c r="ME110" s="181">
        <v>1</v>
      </c>
      <c r="MF110" s="181">
        <v>7</v>
      </c>
      <c r="MG110" s="181">
        <v>2</v>
      </c>
      <c r="MH110" s="181">
        <v>0</v>
      </c>
      <c r="MI110" s="181">
        <v>0</v>
      </c>
      <c r="MJ110" s="181">
        <v>1</v>
      </c>
      <c r="MK110" s="181">
        <v>1</v>
      </c>
      <c r="ML110" s="181">
        <v>1</v>
      </c>
      <c r="MM110" s="181">
        <v>0</v>
      </c>
      <c r="MN110" s="181">
        <v>2</v>
      </c>
      <c r="MO110" s="181">
        <v>1</v>
      </c>
      <c r="MP110" s="181">
        <v>4</v>
      </c>
      <c r="MQ110" s="181">
        <v>0</v>
      </c>
      <c r="MR110" s="181">
        <v>0</v>
      </c>
      <c r="MS110" s="181">
        <v>0</v>
      </c>
      <c r="MT110" s="181">
        <v>0</v>
      </c>
      <c r="MU110" s="181">
        <v>0</v>
      </c>
      <c r="MV110" s="181">
        <v>48</v>
      </c>
      <c r="MW110" s="13"/>
      <c r="MX110" s="74" t="s">
        <v>42</v>
      </c>
      <c r="MY110" s="127">
        <v>29</v>
      </c>
      <c r="MZ110" s="127">
        <v>0</v>
      </c>
      <c r="NA110" s="127">
        <v>1</v>
      </c>
      <c r="NB110" s="127">
        <v>5</v>
      </c>
      <c r="NC110" s="127">
        <v>3</v>
      </c>
      <c r="ND110" s="127">
        <v>0</v>
      </c>
      <c r="NE110" s="127">
        <v>0</v>
      </c>
      <c r="NF110" s="127">
        <v>3</v>
      </c>
      <c r="NG110" s="127">
        <v>1</v>
      </c>
      <c r="NH110" s="127">
        <v>0</v>
      </c>
      <c r="NI110" s="127">
        <v>2</v>
      </c>
      <c r="NJ110" s="127">
        <v>2</v>
      </c>
      <c r="NK110" s="127">
        <v>0</v>
      </c>
      <c r="NL110" s="127">
        <v>0</v>
      </c>
      <c r="NM110" s="127">
        <v>0</v>
      </c>
      <c r="NN110" s="127">
        <v>0</v>
      </c>
      <c r="NO110" s="127">
        <v>0</v>
      </c>
      <c r="NP110" s="127">
        <v>0</v>
      </c>
      <c r="NQ110" s="127">
        <v>46</v>
      </c>
      <c r="NR110" s="13"/>
      <c r="NS110" s="74" t="s">
        <v>42</v>
      </c>
      <c r="NT110" s="127">
        <v>18</v>
      </c>
      <c r="NU110" s="127">
        <v>0</v>
      </c>
      <c r="NV110" s="127">
        <v>9</v>
      </c>
      <c r="NW110" s="127">
        <v>2</v>
      </c>
      <c r="NX110" s="127">
        <v>2</v>
      </c>
      <c r="NY110" s="127">
        <v>1</v>
      </c>
      <c r="NZ110" s="127">
        <v>0</v>
      </c>
      <c r="OA110" s="127">
        <v>1</v>
      </c>
      <c r="OB110" s="127">
        <v>1</v>
      </c>
      <c r="OC110" s="127">
        <v>0</v>
      </c>
      <c r="OD110" s="127">
        <v>5</v>
      </c>
      <c r="OE110" s="127">
        <v>0</v>
      </c>
      <c r="OF110" s="127">
        <v>1</v>
      </c>
      <c r="OG110" s="127">
        <v>0</v>
      </c>
      <c r="OH110" s="127">
        <v>0</v>
      </c>
      <c r="OI110" s="127">
        <v>1</v>
      </c>
      <c r="OJ110" s="127">
        <v>0</v>
      </c>
      <c r="OK110" s="127">
        <v>0</v>
      </c>
      <c r="OL110" s="127">
        <v>41</v>
      </c>
    </row>
    <row r="111" spans="1:402" ht="15.5" thickBot="1">
      <c r="A111" s="17" t="s">
        <v>43</v>
      </c>
      <c r="B111" s="89">
        <v>9</v>
      </c>
      <c r="C111" s="89">
        <v>0</v>
      </c>
      <c r="D111" s="89">
        <v>8</v>
      </c>
      <c r="E111" s="89">
        <v>0</v>
      </c>
      <c r="F111" s="89">
        <v>0</v>
      </c>
      <c r="G111" s="89">
        <v>0</v>
      </c>
      <c r="H111" s="89">
        <v>0</v>
      </c>
      <c r="I111" s="89">
        <v>6</v>
      </c>
      <c r="J111" s="89">
        <v>3</v>
      </c>
      <c r="K111" s="89">
        <v>0</v>
      </c>
      <c r="L111" s="89">
        <v>0</v>
      </c>
      <c r="M111" s="89">
        <v>0</v>
      </c>
      <c r="N111" s="89">
        <v>0</v>
      </c>
      <c r="O111" s="89">
        <v>0</v>
      </c>
      <c r="P111" s="89">
        <v>0</v>
      </c>
      <c r="Q111" s="89">
        <v>0</v>
      </c>
      <c r="R111" s="89">
        <v>3</v>
      </c>
      <c r="S111" s="89">
        <v>0</v>
      </c>
      <c r="T111" s="89">
        <v>29</v>
      </c>
      <c r="U111" s="104"/>
      <c r="V111" s="17" t="s">
        <v>43</v>
      </c>
      <c r="W111" s="89">
        <v>13</v>
      </c>
      <c r="X111" s="89">
        <v>0</v>
      </c>
      <c r="Y111" s="89">
        <v>6</v>
      </c>
      <c r="Z111" s="89">
        <v>0</v>
      </c>
      <c r="AA111" s="89">
        <v>0</v>
      </c>
      <c r="AB111" s="89">
        <v>0</v>
      </c>
      <c r="AC111" s="89">
        <v>0</v>
      </c>
      <c r="AD111" s="89">
        <v>5</v>
      </c>
      <c r="AE111" s="89">
        <v>0</v>
      </c>
      <c r="AF111" s="89">
        <v>0</v>
      </c>
      <c r="AG111" s="109">
        <v>2</v>
      </c>
      <c r="AH111" s="89">
        <v>0</v>
      </c>
      <c r="AI111" s="89">
        <v>0</v>
      </c>
      <c r="AJ111" s="89">
        <v>0</v>
      </c>
      <c r="AK111" s="89">
        <v>0</v>
      </c>
      <c r="AL111" s="89">
        <v>0</v>
      </c>
      <c r="AM111" s="89">
        <v>6</v>
      </c>
      <c r="AN111" s="89">
        <v>0</v>
      </c>
      <c r="AO111" s="89">
        <v>32</v>
      </c>
      <c r="AP111" s="104"/>
      <c r="AQ111" s="17" t="s">
        <v>43</v>
      </c>
      <c r="AR111" s="89">
        <v>20</v>
      </c>
      <c r="AS111" s="89">
        <v>0</v>
      </c>
      <c r="AT111" s="89">
        <v>6</v>
      </c>
      <c r="AU111" s="89">
        <v>0</v>
      </c>
      <c r="AV111" s="89">
        <v>0</v>
      </c>
      <c r="AW111" s="89">
        <v>0</v>
      </c>
      <c r="AX111" s="89">
        <v>0</v>
      </c>
      <c r="AY111" s="89">
        <v>4</v>
      </c>
      <c r="AZ111" s="89">
        <v>0</v>
      </c>
      <c r="BA111" s="89">
        <v>0</v>
      </c>
      <c r="BB111" s="89">
        <v>1</v>
      </c>
      <c r="BC111" s="89">
        <v>0</v>
      </c>
      <c r="BD111" s="89">
        <v>0</v>
      </c>
      <c r="BE111" s="89">
        <v>0</v>
      </c>
      <c r="BF111" s="89">
        <v>0</v>
      </c>
      <c r="BG111" s="89">
        <v>0</v>
      </c>
      <c r="BH111" s="89">
        <v>2</v>
      </c>
      <c r="BI111" s="89">
        <v>2</v>
      </c>
      <c r="BJ111" s="89">
        <v>35</v>
      </c>
      <c r="BK111" s="13"/>
      <c r="BL111" s="115" t="s">
        <v>43</v>
      </c>
      <c r="BM111" s="118">
        <v>19</v>
      </c>
      <c r="BN111" s="118">
        <v>0</v>
      </c>
      <c r="BO111" s="118">
        <v>4</v>
      </c>
      <c r="BP111" s="118">
        <v>2</v>
      </c>
      <c r="BQ111" s="118">
        <v>0</v>
      </c>
      <c r="BR111" s="118">
        <v>0</v>
      </c>
      <c r="BS111" s="118">
        <v>0</v>
      </c>
      <c r="BT111" s="118">
        <v>4</v>
      </c>
      <c r="BU111" s="118">
        <v>0</v>
      </c>
      <c r="BV111" s="118">
        <v>0</v>
      </c>
      <c r="BW111" s="118">
        <v>1</v>
      </c>
      <c r="BX111" s="118">
        <v>0</v>
      </c>
      <c r="BY111" s="118">
        <v>0</v>
      </c>
      <c r="BZ111" s="118">
        <v>0</v>
      </c>
      <c r="CA111" s="118">
        <v>0</v>
      </c>
      <c r="CB111" s="118">
        <v>0</v>
      </c>
      <c r="CC111" s="118">
        <v>0</v>
      </c>
      <c r="CD111" s="118">
        <v>5</v>
      </c>
      <c r="CE111" s="119">
        <v>35</v>
      </c>
      <c r="CF111" s="13"/>
      <c r="CG111" s="118" t="s">
        <v>43</v>
      </c>
      <c r="CH111" s="118">
        <v>16</v>
      </c>
      <c r="CI111" s="118">
        <v>0</v>
      </c>
      <c r="CJ111" s="118">
        <v>2</v>
      </c>
      <c r="CK111" s="118">
        <v>0</v>
      </c>
      <c r="CL111" s="118">
        <v>1</v>
      </c>
      <c r="CM111" s="118">
        <v>0</v>
      </c>
      <c r="CN111" s="118">
        <v>0</v>
      </c>
      <c r="CO111" s="118">
        <v>4</v>
      </c>
      <c r="CP111" s="118">
        <v>4</v>
      </c>
      <c r="CQ111" s="118">
        <v>0</v>
      </c>
      <c r="CR111" s="118">
        <v>2</v>
      </c>
      <c r="CS111" s="118">
        <v>0</v>
      </c>
      <c r="CT111" s="118">
        <v>0</v>
      </c>
      <c r="CU111" s="118">
        <v>0</v>
      </c>
      <c r="CV111" s="118">
        <v>0</v>
      </c>
      <c r="CW111" s="118">
        <v>0</v>
      </c>
      <c r="CX111" s="118">
        <v>1</v>
      </c>
      <c r="CY111" s="118">
        <v>3</v>
      </c>
      <c r="CZ111" s="118">
        <v>33</v>
      </c>
      <c r="DA111" s="13"/>
      <c r="DB111" s="118" t="s">
        <v>43</v>
      </c>
      <c r="DC111" s="118">
        <v>20</v>
      </c>
      <c r="DD111" s="118">
        <v>0</v>
      </c>
      <c r="DE111" s="118">
        <v>2</v>
      </c>
      <c r="DF111" s="118">
        <v>0</v>
      </c>
      <c r="DG111" s="118">
        <v>0</v>
      </c>
      <c r="DH111" s="118">
        <v>0</v>
      </c>
      <c r="DI111" s="118">
        <v>0</v>
      </c>
      <c r="DJ111" s="118">
        <v>12</v>
      </c>
      <c r="DK111" s="118">
        <v>2</v>
      </c>
      <c r="DL111" s="118">
        <v>0</v>
      </c>
      <c r="DM111" s="118">
        <v>1</v>
      </c>
      <c r="DN111" s="118">
        <v>0</v>
      </c>
      <c r="DO111" s="118">
        <v>0</v>
      </c>
      <c r="DP111" s="118">
        <v>0</v>
      </c>
      <c r="DQ111" s="118">
        <v>0</v>
      </c>
      <c r="DR111" s="118">
        <v>0</v>
      </c>
      <c r="DS111" s="118">
        <v>3</v>
      </c>
      <c r="DT111" s="118">
        <v>0</v>
      </c>
      <c r="DU111" s="118">
        <v>40</v>
      </c>
      <c r="DV111" s="13"/>
      <c r="DW111" s="118" t="s">
        <v>43</v>
      </c>
      <c r="DX111" s="118">
        <v>11</v>
      </c>
      <c r="DY111" s="118">
        <v>0</v>
      </c>
      <c r="DZ111" s="118">
        <v>3</v>
      </c>
      <c r="EA111" s="118">
        <v>0</v>
      </c>
      <c r="EB111" s="118">
        <v>1</v>
      </c>
      <c r="EC111" s="118">
        <v>0</v>
      </c>
      <c r="ED111" s="118">
        <v>0</v>
      </c>
      <c r="EE111" s="118">
        <v>5</v>
      </c>
      <c r="EF111" s="118">
        <v>1</v>
      </c>
      <c r="EG111" s="118">
        <v>0</v>
      </c>
      <c r="EH111" s="118">
        <v>1</v>
      </c>
      <c r="EI111" s="118">
        <v>0</v>
      </c>
      <c r="EJ111" s="118">
        <v>0</v>
      </c>
      <c r="EK111" s="118">
        <v>0</v>
      </c>
      <c r="EL111" s="118">
        <v>0</v>
      </c>
      <c r="EM111" s="118">
        <v>0</v>
      </c>
      <c r="EN111" s="118">
        <v>1</v>
      </c>
      <c r="EO111" s="118">
        <v>3</v>
      </c>
      <c r="EP111" s="118">
        <v>26</v>
      </c>
      <c r="EQ111" s="13"/>
      <c r="ER111" s="118" t="s">
        <v>43</v>
      </c>
      <c r="ES111" s="118">
        <v>34</v>
      </c>
      <c r="ET111" s="118">
        <v>0</v>
      </c>
      <c r="EU111" s="118">
        <v>6</v>
      </c>
      <c r="EV111" s="118">
        <v>1</v>
      </c>
      <c r="EW111" s="118">
        <v>1</v>
      </c>
      <c r="EX111" s="118">
        <v>0</v>
      </c>
      <c r="EY111" s="118">
        <v>0</v>
      </c>
      <c r="EZ111" s="118">
        <v>6</v>
      </c>
      <c r="FA111" s="118">
        <v>1</v>
      </c>
      <c r="FB111" s="118">
        <v>0</v>
      </c>
      <c r="FC111" s="118">
        <v>4</v>
      </c>
      <c r="FD111" s="118">
        <v>0</v>
      </c>
      <c r="FE111" s="118">
        <v>0</v>
      </c>
      <c r="FF111" s="118">
        <v>0</v>
      </c>
      <c r="FG111" s="118">
        <v>0</v>
      </c>
      <c r="FH111" s="118">
        <v>0</v>
      </c>
      <c r="FI111" s="118">
        <v>5</v>
      </c>
      <c r="FJ111" s="118">
        <v>9</v>
      </c>
      <c r="FK111" s="118">
        <v>67</v>
      </c>
      <c r="FL111" s="13"/>
      <c r="FM111" s="118" t="s">
        <v>43</v>
      </c>
      <c r="FN111" s="118">
        <v>16</v>
      </c>
      <c r="FO111" s="118">
        <v>0</v>
      </c>
      <c r="FP111" s="118">
        <v>11</v>
      </c>
      <c r="FQ111" s="118">
        <v>2</v>
      </c>
      <c r="FR111" s="118">
        <v>1</v>
      </c>
      <c r="FS111" s="118">
        <v>0</v>
      </c>
      <c r="FT111" s="118">
        <v>0</v>
      </c>
      <c r="FU111" s="118">
        <v>1</v>
      </c>
      <c r="FV111" s="118">
        <v>0</v>
      </c>
      <c r="FW111" s="118">
        <v>0</v>
      </c>
      <c r="FX111" s="118">
        <v>1</v>
      </c>
      <c r="FY111" s="118">
        <v>0</v>
      </c>
      <c r="FZ111" s="118">
        <v>0</v>
      </c>
      <c r="GA111" s="118">
        <v>0</v>
      </c>
      <c r="GB111" s="118">
        <v>0</v>
      </c>
      <c r="GC111" s="118">
        <v>0</v>
      </c>
      <c r="GD111" s="118">
        <v>4</v>
      </c>
      <c r="GE111" s="118">
        <v>25</v>
      </c>
      <c r="GF111" s="118">
        <v>61</v>
      </c>
      <c r="GG111" s="13"/>
      <c r="GH111" s="118" t="s">
        <v>43</v>
      </c>
      <c r="GI111" s="118">
        <v>28</v>
      </c>
      <c r="GJ111" s="118">
        <v>0</v>
      </c>
      <c r="GK111" s="118">
        <v>2</v>
      </c>
      <c r="GL111" s="118">
        <v>2</v>
      </c>
      <c r="GM111" s="118">
        <v>0</v>
      </c>
      <c r="GN111" s="118">
        <v>1</v>
      </c>
      <c r="GO111" s="118">
        <v>0</v>
      </c>
      <c r="GP111" s="118">
        <v>2</v>
      </c>
      <c r="GQ111" s="118">
        <v>1</v>
      </c>
      <c r="GR111" s="118">
        <v>0</v>
      </c>
      <c r="GS111" s="118">
        <v>0</v>
      </c>
      <c r="GT111" s="118">
        <v>0</v>
      </c>
      <c r="GU111" s="118">
        <v>0</v>
      </c>
      <c r="GV111" s="118">
        <v>1</v>
      </c>
      <c r="GW111" s="118">
        <v>0</v>
      </c>
      <c r="GX111" s="118">
        <v>0</v>
      </c>
      <c r="GY111" s="118">
        <v>0</v>
      </c>
      <c r="GZ111" s="118">
        <v>16</v>
      </c>
      <c r="HA111" s="118">
        <v>53</v>
      </c>
      <c r="HB111" s="13"/>
      <c r="HC111" s="118" t="s">
        <v>43</v>
      </c>
      <c r="HD111" s="118">
        <v>35</v>
      </c>
      <c r="HE111" s="118">
        <v>0</v>
      </c>
      <c r="HF111" s="118">
        <v>4</v>
      </c>
      <c r="HG111" s="118">
        <v>1</v>
      </c>
      <c r="HH111" s="118">
        <v>2</v>
      </c>
      <c r="HI111" s="118">
        <v>1</v>
      </c>
      <c r="HJ111" s="118">
        <v>0</v>
      </c>
      <c r="HK111" s="118">
        <v>2</v>
      </c>
      <c r="HL111" s="118">
        <v>2</v>
      </c>
      <c r="HM111" s="118">
        <v>0</v>
      </c>
      <c r="HN111" s="118">
        <v>5</v>
      </c>
      <c r="HO111" s="118">
        <v>0</v>
      </c>
      <c r="HP111" s="118">
        <v>0</v>
      </c>
      <c r="HQ111" s="118">
        <v>0</v>
      </c>
      <c r="HR111" s="118">
        <v>0</v>
      </c>
      <c r="HS111" s="118">
        <v>0</v>
      </c>
      <c r="HT111" s="118">
        <v>0</v>
      </c>
      <c r="HU111" s="118">
        <v>1</v>
      </c>
      <c r="HV111" s="118">
        <v>53</v>
      </c>
      <c r="HW111" s="13"/>
      <c r="HX111" s="118" t="s">
        <v>43</v>
      </c>
      <c r="HY111" s="118">
        <v>12</v>
      </c>
      <c r="HZ111" s="118">
        <v>0</v>
      </c>
      <c r="IA111" s="118">
        <v>1</v>
      </c>
      <c r="IB111" s="118">
        <v>0</v>
      </c>
      <c r="IC111" s="118">
        <v>0</v>
      </c>
      <c r="ID111" s="118">
        <v>0</v>
      </c>
      <c r="IE111" s="118">
        <v>0</v>
      </c>
      <c r="IF111" s="118">
        <v>4</v>
      </c>
      <c r="IG111" s="118">
        <v>0</v>
      </c>
      <c r="IH111" s="118">
        <v>0</v>
      </c>
      <c r="II111" s="118">
        <v>1</v>
      </c>
      <c r="IJ111" s="118">
        <v>0</v>
      </c>
      <c r="IK111" s="118">
        <v>0</v>
      </c>
      <c r="IL111" s="118">
        <v>0</v>
      </c>
      <c r="IM111" s="118">
        <v>0</v>
      </c>
      <c r="IN111" s="118">
        <v>0</v>
      </c>
      <c r="IO111" s="118">
        <v>0</v>
      </c>
      <c r="IP111" s="118">
        <v>0</v>
      </c>
      <c r="IQ111" s="118">
        <v>18</v>
      </c>
      <c r="IR111" s="13"/>
      <c r="IS111" s="118" t="s">
        <v>43</v>
      </c>
      <c r="IT111" s="118">
        <v>15</v>
      </c>
      <c r="IU111" s="118">
        <v>0</v>
      </c>
      <c r="IV111" s="118">
        <v>2</v>
      </c>
      <c r="IW111" s="118">
        <v>0</v>
      </c>
      <c r="IX111" s="118">
        <v>1</v>
      </c>
      <c r="IY111" s="118">
        <v>0</v>
      </c>
      <c r="IZ111" s="118">
        <v>0</v>
      </c>
      <c r="JA111" s="118">
        <v>5</v>
      </c>
      <c r="JB111" s="118">
        <v>0</v>
      </c>
      <c r="JC111" s="118">
        <v>0</v>
      </c>
      <c r="JD111" s="118">
        <v>2</v>
      </c>
      <c r="JE111" s="118">
        <v>0</v>
      </c>
      <c r="JF111" s="118">
        <v>0</v>
      </c>
      <c r="JG111" s="118">
        <v>0</v>
      </c>
      <c r="JH111" s="118">
        <v>0</v>
      </c>
      <c r="JI111" s="118">
        <v>0</v>
      </c>
      <c r="JJ111" s="118">
        <v>0</v>
      </c>
      <c r="JK111" s="118">
        <v>3</v>
      </c>
      <c r="JL111" s="118">
        <v>28</v>
      </c>
      <c r="JM111" s="13"/>
      <c r="JN111" s="70" t="s">
        <v>43</v>
      </c>
      <c r="JO111" s="122">
        <v>22</v>
      </c>
      <c r="JP111" s="122">
        <v>0</v>
      </c>
      <c r="JQ111" s="122">
        <v>7</v>
      </c>
      <c r="JR111" s="122">
        <v>2</v>
      </c>
      <c r="JS111" s="122">
        <v>1</v>
      </c>
      <c r="JT111" s="122">
        <v>0</v>
      </c>
      <c r="JU111" s="122">
        <v>0</v>
      </c>
      <c r="JV111" s="122">
        <v>1</v>
      </c>
      <c r="JW111" s="122">
        <v>1</v>
      </c>
      <c r="JX111" s="122">
        <v>0</v>
      </c>
      <c r="JY111" s="122">
        <v>0</v>
      </c>
      <c r="JZ111" s="122">
        <v>0</v>
      </c>
      <c r="KA111" s="122">
        <v>0</v>
      </c>
      <c r="KB111" s="122">
        <v>0</v>
      </c>
      <c r="KC111" s="122">
        <v>0</v>
      </c>
      <c r="KD111" s="122">
        <v>0</v>
      </c>
      <c r="KE111" s="122">
        <v>1</v>
      </c>
      <c r="KF111" s="122">
        <v>0</v>
      </c>
      <c r="KG111" s="123">
        <v>35</v>
      </c>
      <c r="KH111" s="13"/>
      <c r="KI111" s="118" t="s">
        <v>43</v>
      </c>
      <c r="KJ111" s="118">
        <v>4</v>
      </c>
      <c r="KK111" s="118">
        <v>0</v>
      </c>
      <c r="KL111" s="118">
        <v>2</v>
      </c>
      <c r="KM111" s="118">
        <v>6</v>
      </c>
      <c r="KN111" s="118">
        <v>0</v>
      </c>
      <c r="KO111" s="118">
        <v>0</v>
      </c>
      <c r="KP111" s="118">
        <v>0</v>
      </c>
      <c r="KQ111" s="118">
        <v>0</v>
      </c>
      <c r="KR111" s="118">
        <v>0</v>
      </c>
      <c r="KS111" s="118">
        <v>1</v>
      </c>
      <c r="KT111" s="118">
        <v>1</v>
      </c>
      <c r="KU111" s="118">
        <v>0</v>
      </c>
      <c r="KV111" s="118">
        <v>0</v>
      </c>
      <c r="KW111" s="118">
        <v>0</v>
      </c>
      <c r="KX111" s="118">
        <v>0</v>
      </c>
      <c r="KY111" s="118">
        <v>0</v>
      </c>
      <c r="KZ111" s="118">
        <v>0</v>
      </c>
      <c r="LA111" s="118">
        <v>0</v>
      </c>
      <c r="LB111" s="118">
        <v>14</v>
      </c>
      <c r="LC111" s="13"/>
      <c r="LD111" s="58" t="s">
        <v>43</v>
      </c>
      <c r="LE111" s="65">
        <v>11</v>
      </c>
      <c r="LF111" s="65">
        <v>0</v>
      </c>
      <c r="LG111" s="65">
        <v>5</v>
      </c>
      <c r="LH111" s="65">
        <v>4</v>
      </c>
      <c r="LI111" s="65">
        <v>0</v>
      </c>
      <c r="LJ111" s="65">
        <v>0</v>
      </c>
      <c r="LK111" s="65">
        <v>0</v>
      </c>
      <c r="LL111" s="65">
        <v>0</v>
      </c>
      <c r="LM111" s="65">
        <v>0</v>
      </c>
      <c r="LN111" s="65">
        <v>1</v>
      </c>
      <c r="LO111" s="65">
        <v>0</v>
      </c>
      <c r="LP111" s="65">
        <v>0</v>
      </c>
      <c r="LQ111" s="65">
        <v>0</v>
      </c>
      <c r="LR111" s="65">
        <v>0</v>
      </c>
      <c r="LS111" s="65">
        <v>0</v>
      </c>
      <c r="LT111" s="65">
        <v>0</v>
      </c>
      <c r="LU111" s="65">
        <v>0</v>
      </c>
      <c r="LV111" s="65">
        <v>0</v>
      </c>
      <c r="LW111" s="65">
        <v>0</v>
      </c>
      <c r="LX111" s="65">
        <v>0</v>
      </c>
      <c r="LY111" s="65">
        <v>0</v>
      </c>
      <c r="LZ111" s="65">
        <v>0</v>
      </c>
      <c r="MA111" s="65">
        <v>21</v>
      </c>
      <c r="MB111" s="13"/>
      <c r="MC111" s="180" t="s">
        <v>43</v>
      </c>
      <c r="MD111" s="181">
        <v>22</v>
      </c>
      <c r="ME111" s="181">
        <v>0</v>
      </c>
      <c r="MF111" s="181">
        <v>1</v>
      </c>
      <c r="MG111" s="181">
        <v>0</v>
      </c>
      <c r="MH111" s="181">
        <v>0</v>
      </c>
      <c r="MI111" s="181">
        <v>0</v>
      </c>
      <c r="MJ111" s="181">
        <v>0</v>
      </c>
      <c r="MK111" s="181">
        <v>1</v>
      </c>
      <c r="ML111" s="181">
        <v>0</v>
      </c>
      <c r="MM111" s="181">
        <v>0</v>
      </c>
      <c r="MN111" s="181">
        <v>0</v>
      </c>
      <c r="MO111" s="181">
        <v>0</v>
      </c>
      <c r="MP111" s="181">
        <v>0</v>
      </c>
      <c r="MQ111" s="181">
        <v>0</v>
      </c>
      <c r="MR111" s="181">
        <v>0</v>
      </c>
      <c r="MS111" s="181">
        <v>0</v>
      </c>
      <c r="MT111" s="181">
        <v>0</v>
      </c>
      <c r="MU111" s="181">
        <v>0</v>
      </c>
      <c r="MV111" s="181">
        <v>24</v>
      </c>
      <c r="MW111" s="13"/>
      <c r="MX111" s="74" t="s">
        <v>43</v>
      </c>
      <c r="MY111" s="127">
        <v>18</v>
      </c>
      <c r="MZ111" s="127">
        <v>0</v>
      </c>
      <c r="NA111" s="127">
        <v>1</v>
      </c>
      <c r="NB111" s="127">
        <v>0</v>
      </c>
      <c r="NC111" s="127">
        <v>1</v>
      </c>
      <c r="ND111" s="127">
        <v>0</v>
      </c>
      <c r="NE111" s="127">
        <v>0</v>
      </c>
      <c r="NF111" s="127">
        <v>8</v>
      </c>
      <c r="NG111" s="127">
        <v>0</v>
      </c>
      <c r="NH111" s="127">
        <v>0</v>
      </c>
      <c r="NI111" s="127">
        <v>0</v>
      </c>
      <c r="NJ111" s="127">
        <v>0</v>
      </c>
      <c r="NK111" s="127">
        <v>0</v>
      </c>
      <c r="NL111" s="127">
        <v>0</v>
      </c>
      <c r="NM111" s="127">
        <v>0</v>
      </c>
      <c r="NN111" s="127">
        <v>0</v>
      </c>
      <c r="NO111" s="127">
        <v>0</v>
      </c>
      <c r="NP111" s="127">
        <v>0</v>
      </c>
      <c r="NQ111" s="127">
        <v>28</v>
      </c>
      <c r="NR111" s="13"/>
      <c r="NS111" s="74" t="s">
        <v>43</v>
      </c>
      <c r="NT111" s="127">
        <v>13</v>
      </c>
      <c r="NU111" s="127">
        <v>0</v>
      </c>
      <c r="NV111" s="127">
        <v>0</v>
      </c>
      <c r="NW111" s="127">
        <v>0</v>
      </c>
      <c r="NX111" s="127">
        <v>1</v>
      </c>
      <c r="NY111" s="127">
        <v>0</v>
      </c>
      <c r="NZ111" s="127">
        <v>0</v>
      </c>
      <c r="OA111" s="127">
        <v>4</v>
      </c>
      <c r="OB111" s="127">
        <v>1</v>
      </c>
      <c r="OC111" s="127">
        <v>0</v>
      </c>
      <c r="OD111" s="127">
        <v>1</v>
      </c>
      <c r="OE111" s="127">
        <v>0</v>
      </c>
      <c r="OF111" s="127">
        <v>0</v>
      </c>
      <c r="OG111" s="127">
        <v>0</v>
      </c>
      <c r="OH111" s="127">
        <v>0</v>
      </c>
      <c r="OI111" s="127">
        <v>1</v>
      </c>
      <c r="OJ111" s="127">
        <v>0</v>
      </c>
      <c r="OK111" s="127">
        <v>0</v>
      </c>
      <c r="OL111" s="127">
        <v>21</v>
      </c>
    </row>
    <row r="112" spans="1:402" ht="15.5" thickBot="1">
      <c r="A112" s="17" t="s">
        <v>44</v>
      </c>
      <c r="B112" s="89">
        <v>77</v>
      </c>
      <c r="C112" s="89">
        <v>0</v>
      </c>
      <c r="D112" s="89">
        <v>9</v>
      </c>
      <c r="E112" s="89">
        <v>2</v>
      </c>
      <c r="F112" s="89">
        <v>2</v>
      </c>
      <c r="G112" s="89">
        <v>2</v>
      </c>
      <c r="H112" s="89">
        <v>0</v>
      </c>
      <c r="I112" s="89">
        <v>4</v>
      </c>
      <c r="J112" s="89">
        <v>5</v>
      </c>
      <c r="K112" s="89">
        <v>0</v>
      </c>
      <c r="L112" s="89">
        <v>1</v>
      </c>
      <c r="M112" s="89">
        <v>0</v>
      </c>
      <c r="N112" s="89">
        <v>0</v>
      </c>
      <c r="O112" s="89">
        <v>0</v>
      </c>
      <c r="P112" s="89">
        <v>0</v>
      </c>
      <c r="Q112" s="89">
        <v>0</v>
      </c>
      <c r="R112" s="89">
        <v>0</v>
      </c>
      <c r="S112" s="89">
        <v>0</v>
      </c>
      <c r="T112" s="89">
        <v>102</v>
      </c>
      <c r="U112" s="104"/>
      <c r="V112" s="17" t="s">
        <v>44</v>
      </c>
      <c r="W112" s="89">
        <v>68</v>
      </c>
      <c r="X112" s="89">
        <v>0</v>
      </c>
      <c r="Y112" s="89">
        <v>2</v>
      </c>
      <c r="Z112" s="89">
        <v>1</v>
      </c>
      <c r="AA112" s="89">
        <v>2</v>
      </c>
      <c r="AB112" s="89">
        <v>0</v>
      </c>
      <c r="AC112" s="89">
        <v>0</v>
      </c>
      <c r="AD112" s="89">
        <v>5</v>
      </c>
      <c r="AE112" s="89">
        <v>4</v>
      </c>
      <c r="AF112" s="89">
        <v>0</v>
      </c>
      <c r="AG112" s="109">
        <v>6</v>
      </c>
      <c r="AH112" s="89">
        <v>0</v>
      </c>
      <c r="AI112" s="89">
        <v>0</v>
      </c>
      <c r="AJ112" s="89">
        <v>0</v>
      </c>
      <c r="AK112" s="89">
        <v>0</v>
      </c>
      <c r="AL112" s="89">
        <v>0</v>
      </c>
      <c r="AM112" s="89">
        <v>0</v>
      </c>
      <c r="AN112" s="89">
        <v>1</v>
      </c>
      <c r="AO112" s="89">
        <v>89</v>
      </c>
      <c r="AP112" s="104"/>
      <c r="AQ112" s="17" t="s">
        <v>44</v>
      </c>
      <c r="AR112" s="89">
        <v>61</v>
      </c>
      <c r="AS112" s="89">
        <v>0</v>
      </c>
      <c r="AT112" s="89">
        <v>3</v>
      </c>
      <c r="AU112" s="89">
        <v>2</v>
      </c>
      <c r="AV112" s="89">
        <v>4</v>
      </c>
      <c r="AW112" s="89">
        <v>0</v>
      </c>
      <c r="AX112" s="89">
        <v>0</v>
      </c>
      <c r="AY112" s="89">
        <v>9</v>
      </c>
      <c r="AZ112" s="89">
        <v>1</v>
      </c>
      <c r="BA112" s="89">
        <v>0</v>
      </c>
      <c r="BB112" s="89">
        <v>1</v>
      </c>
      <c r="BC112" s="89">
        <v>0</v>
      </c>
      <c r="BD112" s="89">
        <v>0</v>
      </c>
      <c r="BE112" s="89">
        <v>0</v>
      </c>
      <c r="BF112" s="89">
        <v>0</v>
      </c>
      <c r="BG112" s="89">
        <v>0</v>
      </c>
      <c r="BH112" s="89">
        <v>0</v>
      </c>
      <c r="BI112" s="89">
        <v>0</v>
      </c>
      <c r="BJ112" s="89">
        <v>81</v>
      </c>
      <c r="BK112" s="13"/>
      <c r="BL112" s="115" t="s">
        <v>44</v>
      </c>
      <c r="BM112" s="118">
        <v>68</v>
      </c>
      <c r="BN112" s="118">
        <v>0</v>
      </c>
      <c r="BO112" s="118">
        <v>2</v>
      </c>
      <c r="BP112" s="118">
        <v>3</v>
      </c>
      <c r="BQ112" s="118">
        <v>7</v>
      </c>
      <c r="BR112" s="118">
        <v>0</v>
      </c>
      <c r="BS112" s="118">
        <v>0</v>
      </c>
      <c r="BT112" s="118">
        <v>11</v>
      </c>
      <c r="BU112" s="118">
        <v>1</v>
      </c>
      <c r="BV112" s="118">
        <v>0</v>
      </c>
      <c r="BW112" s="118">
        <v>0</v>
      </c>
      <c r="BX112" s="118">
        <v>0</v>
      </c>
      <c r="BY112" s="118">
        <v>0</v>
      </c>
      <c r="BZ112" s="118">
        <v>0</v>
      </c>
      <c r="CA112" s="118">
        <v>0</v>
      </c>
      <c r="CB112" s="118">
        <v>0</v>
      </c>
      <c r="CC112" s="118">
        <v>5</v>
      </c>
      <c r="CD112" s="118">
        <v>1</v>
      </c>
      <c r="CE112" s="119">
        <v>98</v>
      </c>
      <c r="CF112" s="13"/>
      <c r="CG112" s="118" t="s">
        <v>44</v>
      </c>
      <c r="CH112" s="118">
        <v>61</v>
      </c>
      <c r="CI112" s="118">
        <v>0</v>
      </c>
      <c r="CJ112" s="118">
        <v>1</v>
      </c>
      <c r="CK112" s="118">
        <v>0</v>
      </c>
      <c r="CL112" s="118">
        <v>6</v>
      </c>
      <c r="CM112" s="118">
        <v>0</v>
      </c>
      <c r="CN112" s="118">
        <v>0</v>
      </c>
      <c r="CO112" s="118">
        <v>3</v>
      </c>
      <c r="CP112" s="118">
        <v>2</v>
      </c>
      <c r="CQ112" s="118">
        <v>0</v>
      </c>
      <c r="CR112" s="118">
        <v>0</v>
      </c>
      <c r="CS112" s="118">
        <v>0</v>
      </c>
      <c r="CT112" s="118">
        <v>0</v>
      </c>
      <c r="CU112" s="118">
        <v>0</v>
      </c>
      <c r="CV112" s="118">
        <v>0</v>
      </c>
      <c r="CW112" s="118">
        <v>0</v>
      </c>
      <c r="CX112" s="118">
        <v>14</v>
      </c>
      <c r="CY112" s="118">
        <v>0</v>
      </c>
      <c r="CZ112" s="118">
        <v>87</v>
      </c>
      <c r="DA112" s="13"/>
      <c r="DB112" s="118" t="s">
        <v>44</v>
      </c>
      <c r="DC112" s="118">
        <v>80</v>
      </c>
      <c r="DD112" s="118">
        <v>0</v>
      </c>
      <c r="DE112" s="118">
        <v>4</v>
      </c>
      <c r="DF112" s="118">
        <v>2</v>
      </c>
      <c r="DG112" s="118">
        <v>16</v>
      </c>
      <c r="DH112" s="118">
        <v>0</v>
      </c>
      <c r="DI112" s="118">
        <v>0</v>
      </c>
      <c r="DJ112" s="118">
        <v>9</v>
      </c>
      <c r="DK112" s="118">
        <v>0</v>
      </c>
      <c r="DL112" s="118">
        <v>0</v>
      </c>
      <c r="DM112" s="118">
        <v>2</v>
      </c>
      <c r="DN112" s="118">
        <v>1</v>
      </c>
      <c r="DO112" s="118">
        <v>0</v>
      </c>
      <c r="DP112" s="118">
        <v>0</v>
      </c>
      <c r="DQ112" s="118">
        <v>0</v>
      </c>
      <c r="DR112" s="118">
        <v>0</v>
      </c>
      <c r="DS112" s="118">
        <v>7</v>
      </c>
      <c r="DT112" s="118">
        <v>0</v>
      </c>
      <c r="DU112" s="118">
        <v>121</v>
      </c>
      <c r="DV112" s="13"/>
      <c r="DW112" s="118" t="s">
        <v>44</v>
      </c>
      <c r="DX112" s="118">
        <v>55</v>
      </c>
      <c r="DY112" s="118">
        <v>0</v>
      </c>
      <c r="DZ112" s="118">
        <v>5</v>
      </c>
      <c r="EA112" s="118">
        <v>1</v>
      </c>
      <c r="EB112" s="118">
        <v>11</v>
      </c>
      <c r="EC112" s="118">
        <v>0</v>
      </c>
      <c r="ED112" s="118">
        <v>0</v>
      </c>
      <c r="EE112" s="118">
        <v>5</v>
      </c>
      <c r="EF112" s="118">
        <v>3</v>
      </c>
      <c r="EG112" s="118">
        <v>0</v>
      </c>
      <c r="EH112" s="118">
        <v>3</v>
      </c>
      <c r="EI112" s="118">
        <v>0</v>
      </c>
      <c r="EJ112" s="118">
        <v>0</v>
      </c>
      <c r="EK112" s="118">
        <v>0</v>
      </c>
      <c r="EL112" s="118">
        <v>0</v>
      </c>
      <c r="EM112" s="118">
        <v>0</v>
      </c>
      <c r="EN112" s="118">
        <v>7</v>
      </c>
      <c r="EO112" s="118">
        <v>0</v>
      </c>
      <c r="EP112" s="118">
        <v>90</v>
      </c>
      <c r="EQ112" s="13"/>
      <c r="ER112" s="118" t="s">
        <v>44</v>
      </c>
      <c r="ES112" s="118">
        <v>44</v>
      </c>
      <c r="ET112" s="118">
        <v>0</v>
      </c>
      <c r="EU112" s="118">
        <v>4</v>
      </c>
      <c r="EV112" s="118">
        <v>0</v>
      </c>
      <c r="EW112" s="118">
        <v>11</v>
      </c>
      <c r="EX112" s="118">
        <v>1</v>
      </c>
      <c r="EY112" s="118">
        <v>0</v>
      </c>
      <c r="EZ112" s="118">
        <v>4</v>
      </c>
      <c r="FA112" s="118">
        <v>3</v>
      </c>
      <c r="FB112" s="118">
        <v>0</v>
      </c>
      <c r="FC112" s="118">
        <v>6</v>
      </c>
      <c r="FD112" s="118">
        <v>0</v>
      </c>
      <c r="FE112" s="118">
        <v>1</v>
      </c>
      <c r="FF112" s="118">
        <v>0</v>
      </c>
      <c r="FG112" s="118">
        <v>0</v>
      </c>
      <c r="FH112" s="118">
        <v>1</v>
      </c>
      <c r="FI112" s="118">
        <v>17</v>
      </c>
      <c r="FJ112" s="118">
        <v>5</v>
      </c>
      <c r="FK112" s="118">
        <v>97</v>
      </c>
      <c r="FL112" s="13"/>
      <c r="FM112" s="118" t="s">
        <v>44</v>
      </c>
      <c r="FN112" s="118">
        <v>10</v>
      </c>
      <c r="FO112" s="118">
        <v>0</v>
      </c>
      <c r="FP112" s="118">
        <v>5</v>
      </c>
      <c r="FQ112" s="118">
        <v>5</v>
      </c>
      <c r="FR112" s="118">
        <v>18</v>
      </c>
      <c r="FS112" s="118">
        <v>2</v>
      </c>
      <c r="FT112" s="118">
        <v>0</v>
      </c>
      <c r="FU112" s="118">
        <v>1</v>
      </c>
      <c r="FV112" s="118">
        <v>0</v>
      </c>
      <c r="FW112" s="118">
        <v>2</v>
      </c>
      <c r="FX112" s="118">
        <v>2</v>
      </c>
      <c r="FY112" s="118">
        <v>0</v>
      </c>
      <c r="FZ112" s="118">
        <v>0</v>
      </c>
      <c r="GA112" s="118">
        <v>1</v>
      </c>
      <c r="GB112" s="118">
        <v>0</v>
      </c>
      <c r="GC112" s="118">
        <v>0</v>
      </c>
      <c r="GD112" s="118">
        <v>25</v>
      </c>
      <c r="GE112" s="118">
        <v>27</v>
      </c>
      <c r="GF112" s="118">
        <v>98</v>
      </c>
      <c r="GG112" s="13"/>
      <c r="GH112" s="118" t="s">
        <v>44</v>
      </c>
      <c r="GI112" s="118">
        <v>25</v>
      </c>
      <c r="GJ112" s="118">
        <v>0</v>
      </c>
      <c r="GK112" s="118">
        <v>6</v>
      </c>
      <c r="GL112" s="118">
        <v>11</v>
      </c>
      <c r="GM112" s="118">
        <v>9</v>
      </c>
      <c r="GN112" s="118">
        <v>2</v>
      </c>
      <c r="GO112" s="118">
        <v>0</v>
      </c>
      <c r="GP112" s="118">
        <v>4</v>
      </c>
      <c r="GQ112" s="118">
        <v>3</v>
      </c>
      <c r="GR112" s="118">
        <v>0</v>
      </c>
      <c r="GS112" s="118">
        <v>0</v>
      </c>
      <c r="GT112" s="118">
        <v>0</v>
      </c>
      <c r="GU112" s="118">
        <v>0</v>
      </c>
      <c r="GV112" s="118">
        <v>0</v>
      </c>
      <c r="GW112" s="118">
        <v>0</v>
      </c>
      <c r="GX112" s="118">
        <v>0</v>
      </c>
      <c r="GY112" s="118">
        <v>33</v>
      </c>
      <c r="GZ112" s="118">
        <v>1</v>
      </c>
      <c r="HA112" s="118">
        <v>94</v>
      </c>
      <c r="HB112" s="13"/>
      <c r="HC112" s="118" t="s">
        <v>44</v>
      </c>
      <c r="HD112" s="118">
        <v>35</v>
      </c>
      <c r="HE112" s="118">
        <v>0</v>
      </c>
      <c r="HF112" s="118">
        <v>2</v>
      </c>
      <c r="HG112" s="118">
        <v>0</v>
      </c>
      <c r="HH112" s="118">
        <v>24</v>
      </c>
      <c r="HI112" s="118">
        <v>0</v>
      </c>
      <c r="HJ112" s="118">
        <v>0</v>
      </c>
      <c r="HK112" s="118">
        <v>4</v>
      </c>
      <c r="HL112" s="118">
        <v>1</v>
      </c>
      <c r="HM112" s="118">
        <v>0</v>
      </c>
      <c r="HN112" s="118">
        <v>1</v>
      </c>
      <c r="HO112" s="118">
        <v>0</v>
      </c>
      <c r="HP112" s="118">
        <v>0</v>
      </c>
      <c r="HQ112" s="118">
        <v>0</v>
      </c>
      <c r="HR112" s="118">
        <v>0</v>
      </c>
      <c r="HS112" s="118">
        <v>0</v>
      </c>
      <c r="HT112" s="118">
        <v>27</v>
      </c>
      <c r="HU112" s="118">
        <v>3</v>
      </c>
      <c r="HV112" s="118">
        <v>97</v>
      </c>
      <c r="HW112" s="13"/>
      <c r="HX112" s="118" t="s">
        <v>44</v>
      </c>
      <c r="HY112" s="118">
        <v>40</v>
      </c>
      <c r="HZ112" s="118">
        <v>0</v>
      </c>
      <c r="IA112" s="118">
        <v>2</v>
      </c>
      <c r="IB112" s="118">
        <v>2</v>
      </c>
      <c r="IC112" s="118">
        <v>11</v>
      </c>
      <c r="ID112" s="118">
        <v>0</v>
      </c>
      <c r="IE112" s="118">
        <v>0</v>
      </c>
      <c r="IF112" s="118">
        <v>1</v>
      </c>
      <c r="IG112" s="118">
        <v>0</v>
      </c>
      <c r="IH112" s="118">
        <v>1</v>
      </c>
      <c r="II112" s="118">
        <v>1</v>
      </c>
      <c r="IJ112" s="118">
        <v>0</v>
      </c>
      <c r="IK112" s="118">
        <v>0</v>
      </c>
      <c r="IL112" s="118">
        <v>0</v>
      </c>
      <c r="IM112" s="118">
        <v>0</v>
      </c>
      <c r="IN112" s="118">
        <v>0</v>
      </c>
      <c r="IO112" s="118">
        <v>3</v>
      </c>
      <c r="IP112" s="118">
        <v>0</v>
      </c>
      <c r="IQ112" s="118">
        <v>61</v>
      </c>
      <c r="IR112" s="13"/>
      <c r="IS112" s="118" t="s">
        <v>44</v>
      </c>
      <c r="IT112" s="118">
        <v>38</v>
      </c>
      <c r="IU112" s="118">
        <v>0</v>
      </c>
      <c r="IV112" s="118">
        <v>4</v>
      </c>
      <c r="IW112" s="118">
        <v>0</v>
      </c>
      <c r="IX112" s="118">
        <v>9</v>
      </c>
      <c r="IY112" s="118">
        <v>0</v>
      </c>
      <c r="IZ112" s="118">
        <v>0</v>
      </c>
      <c r="JA112" s="118">
        <v>3</v>
      </c>
      <c r="JB112" s="118">
        <v>1</v>
      </c>
      <c r="JC112" s="118">
        <v>0</v>
      </c>
      <c r="JD112" s="118">
        <v>7</v>
      </c>
      <c r="JE112" s="118">
        <v>0</v>
      </c>
      <c r="JF112" s="118">
        <v>0</v>
      </c>
      <c r="JG112" s="118">
        <v>0</v>
      </c>
      <c r="JH112" s="118">
        <v>0</v>
      </c>
      <c r="JI112" s="118">
        <v>0</v>
      </c>
      <c r="JJ112" s="118">
        <v>4</v>
      </c>
      <c r="JK112" s="118">
        <v>1</v>
      </c>
      <c r="JL112" s="118">
        <v>67</v>
      </c>
      <c r="JM112" s="13"/>
      <c r="JN112" s="70" t="s">
        <v>44</v>
      </c>
      <c r="JO112" s="122">
        <v>46</v>
      </c>
      <c r="JP112" s="122">
        <v>0</v>
      </c>
      <c r="JQ112" s="122">
        <v>3</v>
      </c>
      <c r="JR112" s="122">
        <v>0</v>
      </c>
      <c r="JS112" s="122">
        <v>13</v>
      </c>
      <c r="JT112" s="122">
        <v>0</v>
      </c>
      <c r="JU112" s="122">
        <v>0</v>
      </c>
      <c r="JV112" s="122">
        <v>6</v>
      </c>
      <c r="JW112" s="122">
        <v>0</v>
      </c>
      <c r="JX112" s="122">
        <v>0</v>
      </c>
      <c r="JY112" s="122">
        <v>0</v>
      </c>
      <c r="JZ112" s="122">
        <v>2</v>
      </c>
      <c r="KA112" s="122">
        <v>0</v>
      </c>
      <c r="KB112" s="122">
        <v>0</v>
      </c>
      <c r="KC112" s="122">
        <v>0</v>
      </c>
      <c r="KD112" s="122">
        <v>2</v>
      </c>
      <c r="KE112" s="122">
        <v>0</v>
      </c>
      <c r="KF112" s="122">
        <v>1</v>
      </c>
      <c r="KG112" s="123">
        <v>73</v>
      </c>
      <c r="KH112" s="13"/>
      <c r="KI112" s="118" t="s">
        <v>44</v>
      </c>
      <c r="KJ112" s="118">
        <v>25</v>
      </c>
      <c r="KK112" s="118">
        <v>0</v>
      </c>
      <c r="KL112" s="118">
        <v>7</v>
      </c>
      <c r="KM112" s="118">
        <v>29</v>
      </c>
      <c r="KN112" s="118">
        <v>1</v>
      </c>
      <c r="KO112" s="118">
        <v>0</v>
      </c>
      <c r="KP112" s="118">
        <v>8</v>
      </c>
      <c r="KQ112" s="118">
        <v>0</v>
      </c>
      <c r="KR112" s="118">
        <v>0</v>
      </c>
      <c r="KS112" s="118">
        <v>1</v>
      </c>
      <c r="KT112" s="118">
        <v>0</v>
      </c>
      <c r="KU112" s="118">
        <v>7</v>
      </c>
      <c r="KV112" s="118">
        <v>0</v>
      </c>
      <c r="KW112" s="118">
        <v>0</v>
      </c>
      <c r="KX112" s="118">
        <v>0</v>
      </c>
      <c r="KY112" s="118">
        <v>0</v>
      </c>
      <c r="KZ112" s="118">
        <v>0</v>
      </c>
      <c r="LA112" s="118">
        <v>0</v>
      </c>
      <c r="LB112" s="118">
        <v>78</v>
      </c>
      <c r="LC112" s="13"/>
      <c r="LD112" s="58" t="s">
        <v>44</v>
      </c>
      <c r="LE112" s="65">
        <v>12</v>
      </c>
      <c r="LF112" s="65">
        <v>0</v>
      </c>
      <c r="LG112" s="65">
        <v>2</v>
      </c>
      <c r="LH112" s="65">
        <v>19</v>
      </c>
      <c r="LI112" s="65">
        <v>3</v>
      </c>
      <c r="LJ112" s="65">
        <v>1</v>
      </c>
      <c r="LK112" s="65">
        <v>4</v>
      </c>
      <c r="LL112" s="65">
        <v>0</v>
      </c>
      <c r="LM112" s="65">
        <v>0</v>
      </c>
      <c r="LN112" s="65">
        <v>2</v>
      </c>
      <c r="LO112" s="65">
        <v>0</v>
      </c>
      <c r="LP112" s="65">
        <v>1</v>
      </c>
      <c r="LQ112" s="65">
        <v>3</v>
      </c>
      <c r="LR112" s="65">
        <v>3</v>
      </c>
      <c r="LS112" s="65">
        <v>0</v>
      </c>
      <c r="LT112" s="65">
        <v>0</v>
      </c>
      <c r="LU112" s="65">
        <v>0</v>
      </c>
      <c r="LV112" s="65">
        <v>0</v>
      </c>
      <c r="LW112" s="65">
        <v>0</v>
      </c>
      <c r="LX112" s="65">
        <v>0</v>
      </c>
      <c r="LY112" s="65">
        <v>1</v>
      </c>
      <c r="LZ112" s="65">
        <v>2</v>
      </c>
      <c r="MA112" s="65">
        <v>53</v>
      </c>
      <c r="MB112" s="13"/>
      <c r="MC112" s="180" t="s">
        <v>44</v>
      </c>
      <c r="MD112" s="181">
        <v>43</v>
      </c>
      <c r="ME112" s="181">
        <v>0</v>
      </c>
      <c r="MF112" s="181">
        <v>4</v>
      </c>
      <c r="MG112" s="181">
        <v>0</v>
      </c>
      <c r="MH112" s="181">
        <v>5</v>
      </c>
      <c r="MI112" s="181">
        <v>0</v>
      </c>
      <c r="MJ112" s="181">
        <v>0</v>
      </c>
      <c r="MK112" s="181">
        <v>3</v>
      </c>
      <c r="ML112" s="181">
        <v>0</v>
      </c>
      <c r="MM112" s="181">
        <v>0</v>
      </c>
      <c r="MN112" s="181">
        <v>7</v>
      </c>
      <c r="MO112" s="181">
        <v>0</v>
      </c>
      <c r="MP112" s="181">
        <v>0</v>
      </c>
      <c r="MQ112" s="181">
        <v>0</v>
      </c>
      <c r="MR112" s="181">
        <v>0</v>
      </c>
      <c r="MS112" s="181">
        <v>0</v>
      </c>
      <c r="MT112" s="181">
        <v>0</v>
      </c>
      <c r="MU112" s="181">
        <v>2</v>
      </c>
      <c r="MV112" s="181">
        <v>64</v>
      </c>
      <c r="MW112" s="13"/>
      <c r="MX112" s="74" t="s">
        <v>44</v>
      </c>
      <c r="MY112" s="127">
        <v>46</v>
      </c>
      <c r="MZ112" s="127">
        <v>0</v>
      </c>
      <c r="NA112" s="127">
        <v>3</v>
      </c>
      <c r="NB112" s="127">
        <v>0</v>
      </c>
      <c r="NC112" s="127">
        <v>6</v>
      </c>
      <c r="ND112" s="127">
        <v>0</v>
      </c>
      <c r="NE112" s="127">
        <v>0</v>
      </c>
      <c r="NF112" s="127">
        <v>4</v>
      </c>
      <c r="NG112" s="127">
        <v>0</v>
      </c>
      <c r="NH112" s="127">
        <v>0</v>
      </c>
      <c r="NI112" s="127">
        <v>6</v>
      </c>
      <c r="NJ112" s="127">
        <v>3</v>
      </c>
      <c r="NK112" s="127">
        <v>0</v>
      </c>
      <c r="NL112" s="127">
        <v>0</v>
      </c>
      <c r="NM112" s="127">
        <v>0</v>
      </c>
      <c r="NN112" s="127">
        <v>0</v>
      </c>
      <c r="NO112" s="127">
        <v>0</v>
      </c>
      <c r="NP112" s="127">
        <v>0</v>
      </c>
      <c r="NQ112" s="127">
        <v>68</v>
      </c>
      <c r="NR112" s="13"/>
      <c r="NS112" s="74" t="s">
        <v>44</v>
      </c>
      <c r="NT112" s="127">
        <v>48</v>
      </c>
      <c r="NU112" s="127">
        <v>1</v>
      </c>
      <c r="NV112" s="127">
        <v>1</v>
      </c>
      <c r="NW112" s="127">
        <v>0</v>
      </c>
      <c r="NX112" s="127">
        <v>9</v>
      </c>
      <c r="NY112" s="127">
        <v>0</v>
      </c>
      <c r="NZ112" s="127">
        <v>0</v>
      </c>
      <c r="OA112" s="127">
        <v>7</v>
      </c>
      <c r="OB112" s="127">
        <v>3</v>
      </c>
      <c r="OC112" s="127">
        <v>1</v>
      </c>
      <c r="OD112" s="127">
        <v>3</v>
      </c>
      <c r="OE112" s="127">
        <v>1</v>
      </c>
      <c r="OF112" s="127">
        <v>0</v>
      </c>
      <c r="OG112" s="127">
        <v>0</v>
      </c>
      <c r="OH112" s="127">
        <v>0</v>
      </c>
      <c r="OI112" s="127">
        <v>0</v>
      </c>
      <c r="OJ112" s="127">
        <v>0</v>
      </c>
      <c r="OK112" s="127">
        <v>0</v>
      </c>
      <c r="OL112" s="127">
        <v>74</v>
      </c>
    </row>
    <row r="113" spans="1:402" ht="15.5" thickBot="1">
      <c r="A113" s="17" t="s">
        <v>45</v>
      </c>
      <c r="B113" s="89">
        <v>23</v>
      </c>
      <c r="C113" s="89">
        <v>0</v>
      </c>
      <c r="D113" s="89">
        <v>1</v>
      </c>
      <c r="E113" s="89">
        <v>0</v>
      </c>
      <c r="F113" s="89">
        <v>4</v>
      </c>
      <c r="G113" s="89">
        <v>0</v>
      </c>
      <c r="H113" s="89">
        <v>0</v>
      </c>
      <c r="I113" s="89">
        <v>7</v>
      </c>
      <c r="J113" s="89">
        <v>2</v>
      </c>
      <c r="K113" s="89">
        <v>0</v>
      </c>
      <c r="L113" s="89">
        <v>1</v>
      </c>
      <c r="M113" s="89">
        <v>1</v>
      </c>
      <c r="N113" s="89">
        <v>0</v>
      </c>
      <c r="O113" s="89">
        <v>1</v>
      </c>
      <c r="P113" s="89">
        <v>0</v>
      </c>
      <c r="Q113" s="89">
        <v>0</v>
      </c>
      <c r="R113" s="89">
        <v>4</v>
      </c>
      <c r="S113" s="89">
        <v>2</v>
      </c>
      <c r="T113" s="89">
        <v>46</v>
      </c>
      <c r="U113" s="104"/>
      <c r="V113" s="17" t="s">
        <v>45</v>
      </c>
      <c r="W113" s="89">
        <v>29</v>
      </c>
      <c r="X113" s="89">
        <v>0</v>
      </c>
      <c r="Y113" s="89">
        <v>1</v>
      </c>
      <c r="Z113" s="89">
        <v>1</v>
      </c>
      <c r="AA113" s="89">
        <v>4</v>
      </c>
      <c r="AB113" s="89">
        <v>0</v>
      </c>
      <c r="AC113" s="89">
        <v>0</v>
      </c>
      <c r="AD113" s="89">
        <v>1</v>
      </c>
      <c r="AE113" s="89">
        <v>0</v>
      </c>
      <c r="AF113" s="89">
        <v>0</v>
      </c>
      <c r="AG113" s="109">
        <v>0</v>
      </c>
      <c r="AH113" s="89">
        <v>0</v>
      </c>
      <c r="AI113" s="89">
        <v>0</v>
      </c>
      <c r="AJ113" s="89">
        <v>1</v>
      </c>
      <c r="AK113" s="89">
        <v>0</v>
      </c>
      <c r="AL113" s="89">
        <v>0</v>
      </c>
      <c r="AM113" s="89">
        <v>4</v>
      </c>
      <c r="AN113" s="89">
        <v>0</v>
      </c>
      <c r="AO113" s="89">
        <v>41</v>
      </c>
      <c r="AP113" s="104"/>
      <c r="AQ113" s="17" t="s">
        <v>45</v>
      </c>
      <c r="AR113" s="89">
        <v>39</v>
      </c>
      <c r="AS113" s="89">
        <v>0</v>
      </c>
      <c r="AT113" s="89">
        <v>2</v>
      </c>
      <c r="AU113" s="89">
        <v>0</v>
      </c>
      <c r="AV113" s="89">
        <v>1</v>
      </c>
      <c r="AW113" s="89">
        <v>1</v>
      </c>
      <c r="AX113" s="89">
        <v>0</v>
      </c>
      <c r="AY113" s="89">
        <v>1</v>
      </c>
      <c r="AZ113" s="89">
        <v>4</v>
      </c>
      <c r="BA113" s="89">
        <v>1</v>
      </c>
      <c r="BB113" s="89">
        <v>0</v>
      </c>
      <c r="BC113" s="89">
        <v>1</v>
      </c>
      <c r="BD113" s="89">
        <v>0</v>
      </c>
      <c r="BE113" s="89">
        <v>0</v>
      </c>
      <c r="BF113" s="89">
        <v>0</v>
      </c>
      <c r="BG113" s="89">
        <v>0</v>
      </c>
      <c r="BH113" s="89">
        <v>10</v>
      </c>
      <c r="BI113" s="89">
        <v>0</v>
      </c>
      <c r="BJ113" s="89">
        <v>60</v>
      </c>
      <c r="BK113" s="13"/>
      <c r="BL113" s="115" t="s">
        <v>45</v>
      </c>
      <c r="BM113" s="118">
        <v>30</v>
      </c>
      <c r="BN113" s="118">
        <v>0</v>
      </c>
      <c r="BO113" s="118">
        <v>0</v>
      </c>
      <c r="BP113" s="118">
        <v>0</v>
      </c>
      <c r="BQ113" s="118">
        <v>6</v>
      </c>
      <c r="BR113" s="118">
        <v>0</v>
      </c>
      <c r="BS113" s="118">
        <v>0</v>
      </c>
      <c r="BT113" s="118">
        <v>3</v>
      </c>
      <c r="BU113" s="118">
        <v>2</v>
      </c>
      <c r="BV113" s="118">
        <v>3</v>
      </c>
      <c r="BW113" s="118">
        <v>1</v>
      </c>
      <c r="BX113" s="118">
        <v>0</v>
      </c>
      <c r="BY113" s="118">
        <v>0</v>
      </c>
      <c r="BZ113" s="118">
        <v>1</v>
      </c>
      <c r="CA113" s="118">
        <v>0</v>
      </c>
      <c r="CB113" s="118">
        <v>0</v>
      </c>
      <c r="CC113" s="118">
        <v>14</v>
      </c>
      <c r="CD113" s="118">
        <v>0</v>
      </c>
      <c r="CE113" s="119">
        <v>60</v>
      </c>
      <c r="CF113" s="13"/>
      <c r="CG113" s="118" t="s">
        <v>45</v>
      </c>
      <c r="CH113" s="118">
        <v>18</v>
      </c>
      <c r="CI113" s="118">
        <v>0</v>
      </c>
      <c r="CJ113" s="118">
        <v>0</v>
      </c>
      <c r="CK113" s="118">
        <v>0</v>
      </c>
      <c r="CL113" s="118">
        <v>5</v>
      </c>
      <c r="CM113" s="118">
        <v>0</v>
      </c>
      <c r="CN113" s="118">
        <v>0</v>
      </c>
      <c r="CO113" s="118">
        <v>1</v>
      </c>
      <c r="CP113" s="118">
        <v>0</v>
      </c>
      <c r="CQ113" s="118">
        <v>0</v>
      </c>
      <c r="CR113" s="118">
        <v>5</v>
      </c>
      <c r="CS113" s="118">
        <v>0</v>
      </c>
      <c r="CT113" s="118">
        <v>0</v>
      </c>
      <c r="CU113" s="118">
        <v>0</v>
      </c>
      <c r="CV113" s="118">
        <v>0</v>
      </c>
      <c r="CW113" s="118">
        <v>0</v>
      </c>
      <c r="CX113" s="118">
        <v>9</v>
      </c>
      <c r="CY113" s="118">
        <v>0</v>
      </c>
      <c r="CZ113" s="118">
        <v>38</v>
      </c>
      <c r="DA113" s="13"/>
      <c r="DB113" s="118" t="s">
        <v>45</v>
      </c>
      <c r="DC113" s="118">
        <v>19</v>
      </c>
      <c r="DD113" s="118">
        <v>0</v>
      </c>
      <c r="DE113" s="118">
        <v>0</v>
      </c>
      <c r="DF113" s="118">
        <v>1</v>
      </c>
      <c r="DG113" s="118">
        <v>2</v>
      </c>
      <c r="DH113" s="118">
        <v>1</v>
      </c>
      <c r="DI113" s="118">
        <v>0</v>
      </c>
      <c r="DJ113" s="118">
        <v>0</v>
      </c>
      <c r="DK113" s="118">
        <v>0</v>
      </c>
      <c r="DL113" s="118">
        <v>0</v>
      </c>
      <c r="DM113" s="118">
        <v>0</v>
      </c>
      <c r="DN113" s="118">
        <v>0</v>
      </c>
      <c r="DO113" s="118">
        <v>0</v>
      </c>
      <c r="DP113" s="118">
        <v>0</v>
      </c>
      <c r="DQ113" s="118">
        <v>0</v>
      </c>
      <c r="DR113" s="118">
        <v>0</v>
      </c>
      <c r="DS113" s="118">
        <v>3</v>
      </c>
      <c r="DT113" s="118">
        <v>1</v>
      </c>
      <c r="DU113" s="118">
        <v>27</v>
      </c>
      <c r="DV113" s="13"/>
      <c r="DW113" s="118" t="s">
        <v>45</v>
      </c>
      <c r="DX113" s="118">
        <v>54</v>
      </c>
      <c r="DY113" s="118">
        <v>0</v>
      </c>
      <c r="DZ113" s="118">
        <v>0</v>
      </c>
      <c r="EA113" s="118">
        <v>0</v>
      </c>
      <c r="EB113" s="118">
        <v>2</v>
      </c>
      <c r="EC113" s="118">
        <v>0</v>
      </c>
      <c r="ED113" s="118">
        <v>0</v>
      </c>
      <c r="EE113" s="118">
        <v>2</v>
      </c>
      <c r="EF113" s="118">
        <v>1</v>
      </c>
      <c r="EG113" s="118">
        <v>0</v>
      </c>
      <c r="EH113" s="118">
        <v>0</v>
      </c>
      <c r="EI113" s="118">
        <v>0</v>
      </c>
      <c r="EJ113" s="118">
        <v>0</v>
      </c>
      <c r="EK113" s="118">
        <v>1</v>
      </c>
      <c r="EL113" s="118">
        <v>0</v>
      </c>
      <c r="EM113" s="118">
        <v>0</v>
      </c>
      <c r="EN113" s="118">
        <v>1</v>
      </c>
      <c r="EO113" s="118">
        <v>0</v>
      </c>
      <c r="EP113" s="118">
        <v>61</v>
      </c>
      <c r="EQ113" s="13"/>
      <c r="ER113" s="118" t="s">
        <v>45</v>
      </c>
      <c r="ES113" s="118">
        <v>38</v>
      </c>
      <c r="ET113" s="118">
        <v>0</v>
      </c>
      <c r="EU113" s="118">
        <v>0</v>
      </c>
      <c r="EV113" s="118">
        <v>0</v>
      </c>
      <c r="EW113" s="118">
        <v>0</v>
      </c>
      <c r="EX113" s="118">
        <v>0</v>
      </c>
      <c r="EY113" s="118">
        <v>0</v>
      </c>
      <c r="EZ113" s="118">
        <v>0</v>
      </c>
      <c r="FA113" s="118">
        <v>2</v>
      </c>
      <c r="FB113" s="118">
        <v>0</v>
      </c>
      <c r="FC113" s="118">
        <v>0</v>
      </c>
      <c r="FD113" s="118">
        <v>0</v>
      </c>
      <c r="FE113" s="118">
        <v>0</v>
      </c>
      <c r="FF113" s="118">
        <v>1</v>
      </c>
      <c r="FG113" s="118">
        <v>0</v>
      </c>
      <c r="FH113" s="118">
        <v>0</v>
      </c>
      <c r="FI113" s="118">
        <v>1</v>
      </c>
      <c r="FJ113" s="118">
        <v>0</v>
      </c>
      <c r="FK113" s="118">
        <v>42</v>
      </c>
      <c r="FL113" s="13"/>
      <c r="FM113" s="118" t="s">
        <v>45</v>
      </c>
      <c r="FN113" s="118">
        <v>11</v>
      </c>
      <c r="FO113" s="118">
        <v>0</v>
      </c>
      <c r="FP113" s="118">
        <v>1</v>
      </c>
      <c r="FQ113" s="118">
        <v>2</v>
      </c>
      <c r="FR113" s="118">
        <v>0</v>
      </c>
      <c r="FS113" s="118">
        <v>1</v>
      </c>
      <c r="FT113" s="118">
        <v>0</v>
      </c>
      <c r="FU113" s="118">
        <v>0</v>
      </c>
      <c r="FV113" s="118">
        <v>1</v>
      </c>
      <c r="FW113" s="118">
        <v>0</v>
      </c>
      <c r="FX113" s="118">
        <v>0</v>
      </c>
      <c r="FY113" s="118">
        <v>0</v>
      </c>
      <c r="FZ113" s="118">
        <v>0</v>
      </c>
      <c r="GA113" s="118">
        <v>0</v>
      </c>
      <c r="GB113" s="118">
        <v>0</v>
      </c>
      <c r="GC113" s="118">
        <v>0</v>
      </c>
      <c r="GD113" s="118">
        <v>0</v>
      </c>
      <c r="GE113" s="118">
        <v>14</v>
      </c>
      <c r="GF113" s="118">
        <v>30</v>
      </c>
      <c r="GG113" s="13"/>
      <c r="GH113" s="118" t="s">
        <v>45</v>
      </c>
      <c r="GI113" s="118">
        <v>39</v>
      </c>
      <c r="GJ113" s="118">
        <v>0</v>
      </c>
      <c r="GK113" s="118">
        <v>1</v>
      </c>
      <c r="GL113" s="118">
        <v>2</v>
      </c>
      <c r="GM113" s="118">
        <v>4</v>
      </c>
      <c r="GN113" s="118">
        <v>0</v>
      </c>
      <c r="GO113" s="118">
        <v>0</v>
      </c>
      <c r="GP113" s="118">
        <v>0</v>
      </c>
      <c r="GQ113" s="118">
        <v>1</v>
      </c>
      <c r="GR113" s="118">
        <v>0</v>
      </c>
      <c r="GS113" s="118">
        <v>1</v>
      </c>
      <c r="GT113" s="118">
        <v>0</v>
      </c>
      <c r="GU113" s="118">
        <v>0</v>
      </c>
      <c r="GV113" s="118">
        <v>1</v>
      </c>
      <c r="GW113" s="118">
        <v>0</v>
      </c>
      <c r="GX113" s="118">
        <v>0</v>
      </c>
      <c r="GY113" s="118">
        <v>1</v>
      </c>
      <c r="GZ113" s="118">
        <v>0</v>
      </c>
      <c r="HA113" s="118">
        <v>50</v>
      </c>
      <c r="HB113" s="13"/>
      <c r="HC113" s="118" t="s">
        <v>45</v>
      </c>
      <c r="HD113" s="118">
        <v>38</v>
      </c>
      <c r="HE113" s="118">
        <v>2</v>
      </c>
      <c r="HF113" s="118">
        <v>1</v>
      </c>
      <c r="HG113" s="118">
        <v>0</v>
      </c>
      <c r="HH113" s="118">
        <v>4</v>
      </c>
      <c r="HI113" s="118">
        <v>0</v>
      </c>
      <c r="HJ113" s="118">
        <v>0</v>
      </c>
      <c r="HK113" s="118">
        <v>2</v>
      </c>
      <c r="HL113" s="118">
        <v>0</v>
      </c>
      <c r="HM113" s="118">
        <v>0</v>
      </c>
      <c r="HN113" s="118">
        <v>0</v>
      </c>
      <c r="HO113" s="118">
        <v>1</v>
      </c>
      <c r="HP113" s="118">
        <v>0</v>
      </c>
      <c r="HQ113" s="118">
        <v>0</v>
      </c>
      <c r="HR113" s="118">
        <v>0</v>
      </c>
      <c r="HS113" s="118">
        <v>0</v>
      </c>
      <c r="HT113" s="118">
        <v>1</v>
      </c>
      <c r="HU113" s="118">
        <v>2</v>
      </c>
      <c r="HV113" s="118">
        <v>51</v>
      </c>
      <c r="HW113" s="13"/>
      <c r="HX113" s="118" t="s">
        <v>45</v>
      </c>
      <c r="HY113" s="118">
        <v>28</v>
      </c>
      <c r="HZ113" s="118">
        <v>0</v>
      </c>
      <c r="IA113" s="118">
        <v>1</v>
      </c>
      <c r="IB113" s="118">
        <v>0</v>
      </c>
      <c r="IC113" s="118">
        <v>1</v>
      </c>
      <c r="ID113" s="118">
        <v>0</v>
      </c>
      <c r="IE113" s="118">
        <v>0</v>
      </c>
      <c r="IF113" s="118">
        <v>1</v>
      </c>
      <c r="IG113" s="118">
        <v>0</v>
      </c>
      <c r="IH113" s="118">
        <v>0</v>
      </c>
      <c r="II113" s="118">
        <v>1</v>
      </c>
      <c r="IJ113" s="118">
        <v>0</v>
      </c>
      <c r="IK113" s="118">
        <v>0</v>
      </c>
      <c r="IL113" s="118">
        <v>1</v>
      </c>
      <c r="IM113" s="118">
        <v>0</v>
      </c>
      <c r="IN113" s="118">
        <v>0</v>
      </c>
      <c r="IO113" s="118">
        <v>16</v>
      </c>
      <c r="IP113" s="118">
        <v>1</v>
      </c>
      <c r="IQ113" s="118">
        <v>50</v>
      </c>
      <c r="IR113" s="13"/>
      <c r="IS113" s="118" t="s">
        <v>45</v>
      </c>
      <c r="IT113" s="118">
        <v>30</v>
      </c>
      <c r="IU113" s="118">
        <v>0</v>
      </c>
      <c r="IV113" s="118">
        <v>1</v>
      </c>
      <c r="IW113" s="118">
        <v>4</v>
      </c>
      <c r="IX113" s="118">
        <v>1</v>
      </c>
      <c r="IY113" s="118">
        <v>0</v>
      </c>
      <c r="IZ113" s="118">
        <v>0</v>
      </c>
      <c r="JA113" s="118">
        <v>1</v>
      </c>
      <c r="JB113" s="118">
        <v>0</v>
      </c>
      <c r="JC113" s="118">
        <v>0</v>
      </c>
      <c r="JD113" s="118">
        <v>0</v>
      </c>
      <c r="JE113" s="118">
        <v>0</v>
      </c>
      <c r="JF113" s="118">
        <v>0</v>
      </c>
      <c r="JG113" s="118">
        <v>1</v>
      </c>
      <c r="JH113" s="118">
        <v>0</v>
      </c>
      <c r="JI113" s="118">
        <v>0</v>
      </c>
      <c r="JJ113" s="118">
        <v>4</v>
      </c>
      <c r="JK113" s="118">
        <v>0</v>
      </c>
      <c r="JL113" s="118">
        <v>42</v>
      </c>
      <c r="JM113" s="13"/>
      <c r="JN113" s="70" t="s">
        <v>45</v>
      </c>
      <c r="JO113" s="122">
        <v>27</v>
      </c>
      <c r="JP113" s="122">
        <v>0</v>
      </c>
      <c r="JQ113" s="122">
        <v>0</v>
      </c>
      <c r="JR113" s="122">
        <v>0</v>
      </c>
      <c r="JS113" s="122">
        <v>0</v>
      </c>
      <c r="JT113" s="122">
        <v>0</v>
      </c>
      <c r="JU113" s="122">
        <v>0</v>
      </c>
      <c r="JV113" s="122">
        <v>0</v>
      </c>
      <c r="JW113" s="122">
        <v>0</v>
      </c>
      <c r="JX113" s="122">
        <v>0</v>
      </c>
      <c r="JY113" s="122">
        <v>0</v>
      </c>
      <c r="JZ113" s="122">
        <v>0</v>
      </c>
      <c r="KA113" s="122">
        <v>1</v>
      </c>
      <c r="KB113" s="122">
        <v>2</v>
      </c>
      <c r="KC113" s="122">
        <v>0</v>
      </c>
      <c r="KD113" s="122">
        <v>0</v>
      </c>
      <c r="KE113" s="122">
        <v>2</v>
      </c>
      <c r="KF113" s="122">
        <v>1</v>
      </c>
      <c r="KG113" s="123">
        <v>33</v>
      </c>
      <c r="KH113" s="13"/>
      <c r="KI113" s="118" t="s">
        <v>45</v>
      </c>
      <c r="KJ113" s="118">
        <v>12</v>
      </c>
      <c r="KK113" s="118">
        <v>0</v>
      </c>
      <c r="KL113" s="118">
        <v>0</v>
      </c>
      <c r="KM113" s="118">
        <v>13</v>
      </c>
      <c r="KN113" s="118">
        <v>2</v>
      </c>
      <c r="KO113" s="118">
        <v>2</v>
      </c>
      <c r="KP113" s="118">
        <v>2</v>
      </c>
      <c r="KQ113" s="118">
        <v>0</v>
      </c>
      <c r="KR113" s="118">
        <v>0</v>
      </c>
      <c r="KS113" s="118">
        <v>0</v>
      </c>
      <c r="KT113" s="118">
        <v>0</v>
      </c>
      <c r="KU113" s="118">
        <v>0</v>
      </c>
      <c r="KV113" s="118">
        <v>1</v>
      </c>
      <c r="KW113" s="118">
        <v>0</v>
      </c>
      <c r="KX113" s="118">
        <v>0</v>
      </c>
      <c r="KY113" s="118">
        <v>0</v>
      </c>
      <c r="KZ113" s="118">
        <v>0</v>
      </c>
      <c r="LA113" s="118">
        <v>1</v>
      </c>
      <c r="LB113" s="118">
        <v>33</v>
      </c>
      <c r="LC113" s="13"/>
      <c r="LD113" s="58" t="s">
        <v>45</v>
      </c>
      <c r="LE113" s="65">
        <v>13</v>
      </c>
      <c r="LF113" s="65">
        <v>0</v>
      </c>
      <c r="LG113" s="65">
        <v>1</v>
      </c>
      <c r="LH113" s="65">
        <v>12</v>
      </c>
      <c r="LI113" s="65">
        <v>1</v>
      </c>
      <c r="LJ113" s="65">
        <v>0</v>
      </c>
      <c r="LK113" s="65">
        <v>0</v>
      </c>
      <c r="LL113" s="65">
        <v>1</v>
      </c>
      <c r="LM113" s="65">
        <v>0</v>
      </c>
      <c r="LN113" s="65">
        <v>0</v>
      </c>
      <c r="LO113" s="65">
        <v>1</v>
      </c>
      <c r="LP113" s="65">
        <v>1</v>
      </c>
      <c r="LQ113" s="65">
        <v>1</v>
      </c>
      <c r="LR113" s="65">
        <v>0</v>
      </c>
      <c r="LS113" s="65">
        <v>0</v>
      </c>
      <c r="LT113" s="65">
        <v>0</v>
      </c>
      <c r="LU113" s="65">
        <v>0</v>
      </c>
      <c r="LV113" s="65">
        <v>0</v>
      </c>
      <c r="LW113" s="65">
        <v>0</v>
      </c>
      <c r="LX113" s="65">
        <v>0</v>
      </c>
      <c r="LY113" s="65">
        <v>0</v>
      </c>
      <c r="LZ113" s="65">
        <v>0</v>
      </c>
      <c r="MA113" s="65">
        <v>31</v>
      </c>
      <c r="MB113" s="13"/>
      <c r="MC113" s="180" t="s">
        <v>45</v>
      </c>
      <c r="MD113" s="181">
        <v>13</v>
      </c>
      <c r="ME113" s="181">
        <v>0</v>
      </c>
      <c r="MF113" s="181">
        <v>1</v>
      </c>
      <c r="MG113" s="181">
        <v>0</v>
      </c>
      <c r="MH113" s="181">
        <v>6</v>
      </c>
      <c r="MI113" s="181">
        <v>0</v>
      </c>
      <c r="MJ113" s="181">
        <v>0</v>
      </c>
      <c r="MK113" s="181">
        <v>0</v>
      </c>
      <c r="ML113" s="181">
        <v>1</v>
      </c>
      <c r="MM113" s="181">
        <v>0</v>
      </c>
      <c r="MN113" s="181">
        <v>0</v>
      </c>
      <c r="MO113" s="181">
        <v>0</v>
      </c>
      <c r="MP113" s="181">
        <v>0</v>
      </c>
      <c r="MQ113" s="181">
        <v>0</v>
      </c>
      <c r="MR113" s="181">
        <v>0</v>
      </c>
      <c r="MS113" s="181">
        <v>0</v>
      </c>
      <c r="MT113" s="181">
        <v>1</v>
      </c>
      <c r="MU113" s="181">
        <v>0</v>
      </c>
      <c r="MV113" s="181">
        <v>22</v>
      </c>
      <c r="MW113" s="13"/>
      <c r="MX113" s="74" t="s">
        <v>45</v>
      </c>
      <c r="MY113" s="127">
        <v>11</v>
      </c>
      <c r="MZ113" s="127">
        <v>0</v>
      </c>
      <c r="NA113" s="127">
        <v>1</v>
      </c>
      <c r="NB113" s="127">
        <v>3</v>
      </c>
      <c r="NC113" s="127">
        <v>0</v>
      </c>
      <c r="ND113" s="127">
        <v>0</v>
      </c>
      <c r="NE113" s="127">
        <v>0</v>
      </c>
      <c r="NF113" s="127">
        <v>1</v>
      </c>
      <c r="NG113" s="127">
        <v>1</v>
      </c>
      <c r="NH113" s="127">
        <v>0</v>
      </c>
      <c r="NI113" s="127">
        <v>1</v>
      </c>
      <c r="NJ113" s="127">
        <v>0</v>
      </c>
      <c r="NK113" s="127">
        <v>0</v>
      </c>
      <c r="NL113" s="127">
        <v>0</v>
      </c>
      <c r="NM113" s="127">
        <v>0</v>
      </c>
      <c r="NN113" s="127">
        <v>0</v>
      </c>
      <c r="NO113" s="127">
        <v>3</v>
      </c>
      <c r="NP113" s="127">
        <v>0</v>
      </c>
      <c r="NQ113" s="127">
        <v>21</v>
      </c>
      <c r="NR113" s="13"/>
      <c r="NS113" s="74" t="s">
        <v>45</v>
      </c>
      <c r="NT113" s="127">
        <v>13</v>
      </c>
      <c r="NU113" s="127">
        <v>0</v>
      </c>
      <c r="NV113" s="127">
        <v>0</v>
      </c>
      <c r="NW113" s="127">
        <v>2</v>
      </c>
      <c r="NX113" s="127">
        <v>4</v>
      </c>
      <c r="NY113" s="127">
        <v>0</v>
      </c>
      <c r="NZ113" s="127">
        <v>0</v>
      </c>
      <c r="OA113" s="127">
        <v>2</v>
      </c>
      <c r="OB113" s="127">
        <v>5</v>
      </c>
      <c r="OC113" s="127">
        <v>0</v>
      </c>
      <c r="OD113" s="127">
        <v>0</v>
      </c>
      <c r="OE113" s="127">
        <v>0</v>
      </c>
      <c r="OF113" s="127">
        <v>0</v>
      </c>
      <c r="OG113" s="127">
        <v>2</v>
      </c>
      <c r="OH113" s="127">
        <v>0</v>
      </c>
      <c r="OI113" s="127">
        <v>0</v>
      </c>
      <c r="OJ113" s="127">
        <v>1</v>
      </c>
      <c r="OK113" s="127">
        <v>5</v>
      </c>
      <c r="OL113" s="127">
        <v>34</v>
      </c>
    </row>
    <row r="114" spans="1:402" ht="15.5" thickBot="1">
      <c r="A114" s="17" t="s">
        <v>46</v>
      </c>
      <c r="B114" s="89">
        <v>10</v>
      </c>
      <c r="C114" s="89">
        <v>0</v>
      </c>
      <c r="D114" s="89">
        <v>0</v>
      </c>
      <c r="E114" s="89">
        <v>1</v>
      </c>
      <c r="F114" s="89">
        <v>10</v>
      </c>
      <c r="G114" s="89">
        <v>0</v>
      </c>
      <c r="H114" s="89">
        <v>0</v>
      </c>
      <c r="I114" s="89">
        <v>2</v>
      </c>
      <c r="J114" s="89">
        <v>3</v>
      </c>
      <c r="K114" s="89">
        <v>0</v>
      </c>
      <c r="L114" s="89">
        <v>1</v>
      </c>
      <c r="M114" s="89">
        <v>0</v>
      </c>
      <c r="N114" s="89">
        <v>0</v>
      </c>
      <c r="O114" s="89">
        <v>0</v>
      </c>
      <c r="P114" s="89">
        <v>0</v>
      </c>
      <c r="Q114" s="89">
        <v>0</v>
      </c>
      <c r="R114" s="89">
        <v>21</v>
      </c>
      <c r="S114" s="89">
        <v>0</v>
      </c>
      <c r="T114" s="89">
        <v>48</v>
      </c>
      <c r="U114" s="104"/>
      <c r="V114" s="17" t="s">
        <v>46</v>
      </c>
      <c r="W114" s="89">
        <v>3</v>
      </c>
      <c r="X114" s="89">
        <v>0</v>
      </c>
      <c r="Y114" s="89">
        <v>4</v>
      </c>
      <c r="Z114" s="89">
        <v>3</v>
      </c>
      <c r="AA114" s="89">
        <v>7</v>
      </c>
      <c r="AB114" s="89">
        <v>0</v>
      </c>
      <c r="AC114" s="89">
        <v>0</v>
      </c>
      <c r="AD114" s="89">
        <v>5</v>
      </c>
      <c r="AE114" s="89">
        <v>7</v>
      </c>
      <c r="AF114" s="89">
        <v>0</v>
      </c>
      <c r="AG114" s="109">
        <v>5</v>
      </c>
      <c r="AH114" s="89">
        <v>0</v>
      </c>
      <c r="AI114" s="89">
        <v>0</v>
      </c>
      <c r="AJ114" s="89">
        <v>0</v>
      </c>
      <c r="AK114" s="89">
        <v>0</v>
      </c>
      <c r="AL114" s="89">
        <v>0</v>
      </c>
      <c r="AM114" s="89">
        <v>41</v>
      </c>
      <c r="AN114" s="89">
        <v>0</v>
      </c>
      <c r="AO114" s="89">
        <v>75</v>
      </c>
      <c r="AP114" s="104"/>
      <c r="AQ114" s="17" t="s">
        <v>46</v>
      </c>
      <c r="AR114" s="89">
        <v>8</v>
      </c>
      <c r="AS114" s="89">
        <v>0</v>
      </c>
      <c r="AT114" s="89">
        <v>9</v>
      </c>
      <c r="AU114" s="89">
        <v>2</v>
      </c>
      <c r="AV114" s="89">
        <v>4</v>
      </c>
      <c r="AW114" s="89">
        <v>1</v>
      </c>
      <c r="AX114" s="89">
        <v>0</v>
      </c>
      <c r="AY114" s="89">
        <v>9</v>
      </c>
      <c r="AZ114" s="89">
        <v>4</v>
      </c>
      <c r="BA114" s="89">
        <v>0</v>
      </c>
      <c r="BB114" s="89">
        <v>2</v>
      </c>
      <c r="BC114" s="89">
        <v>0</v>
      </c>
      <c r="BD114" s="89">
        <v>0</v>
      </c>
      <c r="BE114" s="89">
        <v>0</v>
      </c>
      <c r="BF114" s="89">
        <v>0</v>
      </c>
      <c r="BG114" s="89">
        <v>0</v>
      </c>
      <c r="BH114" s="89">
        <v>39</v>
      </c>
      <c r="BI114" s="89">
        <v>0</v>
      </c>
      <c r="BJ114" s="89">
        <v>78</v>
      </c>
      <c r="BK114" s="13"/>
      <c r="BL114" s="115" t="s">
        <v>46</v>
      </c>
      <c r="BM114" s="118">
        <v>45</v>
      </c>
      <c r="BN114" s="118">
        <v>0</v>
      </c>
      <c r="BO114" s="118">
        <v>6</v>
      </c>
      <c r="BP114" s="118">
        <v>1</v>
      </c>
      <c r="BQ114" s="118">
        <v>21</v>
      </c>
      <c r="BR114" s="118">
        <v>0</v>
      </c>
      <c r="BS114" s="118">
        <v>0</v>
      </c>
      <c r="BT114" s="118">
        <v>7</v>
      </c>
      <c r="BU114" s="118">
        <v>2</v>
      </c>
      <c r="BV114" s="118">
        <v>0</v>
      </c>
      <c r="BW114" s="118">
        <v>1</v>
      </c>
      <c r="BX114" s="118">
        <v>0</v>
      </c>
      <c r="BY114" s="118">
        <v>0</v>
      </c>
      <c r="BZ114" s="118">
        <v>0</v>
      </c>
      <c r="CA114" s="118">
        <v>0</v>
      </c>
      <c r="CB114" s="118">
        <v>0</v>
      </c>
      <c r="CC114" s="118">
        <v>17</v>
      </c>
      <c r="CD114" s="118">
        <v>0</v>
      </c>
      <c r="CE114" s="119">
        <v>100</v>
      </c>
      <c r="CF114" s="13"/>
      <c r="CG114" s="118" t="s">
        <v>46</v>
      </c>
      <c r="CH114" s="118">
        <v>24</v>
      </c>
      <c r="CI114" s="118">
        <v>0</v>
      </c>
      <c r="CJ114" s="118">
        <v>8</v>
      </c>
      <c r="CK114" s="118">
        <v>0</v>
      </c>
      <c r="CL114" s="118">
        <v>14</v>
      </c>
      <c r="CM114" s="118">
        <v>0</v>
      </c>
      <c r="CN114" s="118">
        <v>0</v>
      </c>
      <c r="CO114" s="118">
        <v>2</v>
      </c>
      <c r="CP114" s="118">
        <v>1</v>
      </c>
      <c r="CQ114" s="118">
        <v>0</v>
      </c>
      <c r="CR114" s="118">
        <v>0</v>
      </c>
      <c r="CS114" s="118">
        <v>0</v>
      </c>
      <c r="CT114" s="118">
        <v>0</v>
      </c>
      <c r="CU114" s="118">
        <v>0</v>
      </c>
      <c r="CV114" s="118">
        <v>0</v>
      </c>
      <c r="CW114" s="118">
        <v>0</v>
      </c>
      <c r="CX114" s="118">
        <v>13</v>
      </c>
      <c r="CY114" s="118">
        <v>1</v>
      </c>
      <c r="CZ114" s="118">
        <v>63</v>
      </c>
      <c r="DA114" s="13"/>
      <c r="DB114" s="118" t="s">
        <v>46</v>
      </c>
      <c r="DC114" s="118">
        <v>18</v>
      </c>
      <c r="DD114" s="118">
        <v>0</v>
      </c>
      <c r="DE114" s="118">
        <v>1</v>
      </c>
      <c r="DF114" s="118">
        <v>0</v>
      </c>
      <c r="DG114" s="118">
        <v>17</v>
      </c>
      <c r="DH114" s="118">
        <v>1</v>
      </c>
      <c r="DI114" s="118">
        <v>0</v>
      </c>
      <c r="DJ114" s="118">
        <v>4</v>
      </c>
      <c r="DK114" s="118">
        <v>0</v>
      </c>
      <c r="DL114" s="118">
        <v>0</v>
      </c>
      <c r="DM114" s="118">
        <v>0</v>
      </c>
      <c r="DN114" s="118">
        <v>1</v>
      </c>
      <c r="DO114" s="118">
        <v>0</v>
      </c>
      <c r="DP114" s="118">
        <v>0</v>
      </c>
      <c r="DQ114" s="118">
        <v>0</v>
      </c>
      <c r="DR114" s="118">
        <v>0</v>
      </c>
      <c r="DS114" s="118">
        <v>20</v>
      </c>
      <c r="DT114" s="118">
        <v>1</v>
      </c>
      <c r="DU114" s="118">
        <v>63</v>
      </c>
      <c r="DV114" s="13"/>
      <c r="DW114" s="118" t="s">
        <v>46</v>
      </c>
      <c r="DX114" s="118">
        <v>28</v>
      </c>
      <c r="DY114" s="118">
        <v>0</v>
      </c>
      <c r="DZ114" s="118">
        <v>1</v>
      </c>
      <c r="EA114" s="118">
        <v>2</v>
      </c>
      <c r="EB114" s="118">
        <v>9</v>
      </c>
      <c r="EC114" s="118">
        <v>0</v>
      </c>
      <c r="ED114" s="118">
        <v>0</v>
      </c>
      <c r="EE114" s="118">
        <v>6</v>
      </c>
      <c r="EF114" s="118">
        <v>6</v>
      </c>
      <c r="EG114" s="118">
        <v>0</v>
      </c>
      <c r="EH114" s="118">
        <v>2</v>
      </c>
      <c r="EI114" s="118">
        <v>0</v>
      </c>
      <c r="EJ114" s="118">
        <v>0</v>
      </c>
      <c r="EK114" s="118">
        <v>0</v>
      </c>
      <c r="EL114" s="118">
        <v>0</v>
      </c>
      <c r="EM114" s="118">
        <v>0</v>
      </c>
      <c r="EN114" s="118">
        <v>18</v>
      </c>
      <c r="EO114" s="118">
        <v>3</v>
      </c>
      <c r="EP114" s="118">
        <v>75</v>
      </c>
      <c r="EQ114" s="13"/>
      <c r="ER114" s="118" t="s">
        <v>46</v>
      </c>
      <c r="ES114" s="118">
        <v>17</v>
      </c>
      <c r="ET114" s="118">
        <v>0</v>
      </c>
      <c r="EU114" s="118">
        <v>4</v>
      </c>
      <c r="EV114" s="118">
        <v>1</v>
      </c>
      <c r="EW114" s="118">
        <v>9</v>
      </c>
      <c r="EX114" s="118">
        <v>1</v>
      </c>
      <c r="EY114" s="118">
        <v>0</v>
      </c>
      <c r="EZ114" s="118">
        <v>0</v>
      </c>
      <c r="FA114" s="118">
        <v>0</v>
      </c>
      <c r="FB114" s="118">
        <v>0</v>
      </c>
      <c r="FC114" s="118">
        <v>4</v>
      </c>
      <c r="FD114" s="118">
        <v>0</v>
      </c>
      <c r="FE114" s="118">
        <v>0</v>
      </c>
      <c r="FF114" s="118">
        <v>0</v>
      </c>
      <c r="FG114" s="118">
        <v>0</v>
      </c>
      <c r="FH114" s="118">
        <v>0</v>
      </c>
      <c r="FI114" s="118">
        <v>10</v>
      </c>
      <c r="FJ114" s="118">
        <v>6</v>
      </c>
      <c r="FK114" s="118">
        <v>52</v>
      </c>
      <c r="FL114" s="13"/>
      <c r="FM114" s="118" t="s">
        <v>46</v>
      </c>
      <c r="FN114" s="118">
        <v>33</v>
      </c>
      <c r="FO114" s="118">
        <v>0</v>
      </c>
      <c r="FP114" s="118">
        <v>2</v>
      </c>
      <c r="FQ114" s="118">
        <v>2</v>
      </c>
      <c r="FR114" s="118">
        <v>17</v>
      </c>
      <c r="FS114" s="118">
        <v>1</v>
      </c>
      <c r="FT114" s="118">
        <v>0</v>
      </c>
      <c r="FU114" s="118">
        <v>0</v>
      </c>
      <c r="FV114" s="118">
        <v>1</v>
      </c>
      <c r="FW114" s="118">
        <v>0</v>
      </c>
      <c r="FX114" s="118">
        <v>3</v>
      </c>
      <c r="FY114" s="118">
        <v>0</v>
      </c>
      <c r="FZ114" s="118">
        <v>0</v>
      </c>
      <c r="GA114" s="118">
        <v>1</v>
      </c>
      <c r="GB114" s="118">
        <v>0</v>
      </c>
      <c r="GC114" s="118">
        <v>0</v>
      </c>
      <c r="GD114" s="118">
        <v>2</v>
      </c>
      <c r="GE114" s="118">
        <v>11</v>
      </c>
      <c r="GF114" s="118">
        <v>73</v>
      </c>
      <c r="GG114" s="13"/>
      <c r="GH114" s="118" t="s">
        <v>46</v>
      </c>
      <c r="GI114" s="118">
        <v>28</v>
      </c>
      <c r="GJ114" s="118">
        <v>0</v>
      </c>
      <c r="GK114" s="118">
        <v>0</v>
      </c>
      <c r="GL114" s="118">
        <v>0</v>
      </c>
      <c r="GM114" s="118">
        <v>7</v>
      </c>
      <c r="GN114" s="118">
        <v>0</v>
      </c>
      <c r="GO114" s="118">
        <v>0</v>
      </c>
      <c r="GP114" s="118">
        <v>1</v>
      </c>
      <c r="GQ114" s="118">
        <v>3</v>
      </c>
      <c r="GR114" s="118">
        <v>0</v>
      </c>
      <c r="GS114" s="118">
        <v>2</v>
      </c>
      <c r="GT114" s="118">
        <v>0</v>
      </c>
      <c r="GU114" s="118">
        <v>0</v>
      </c>
      <c r="GV114" s="118">
        <v>0</v>
      </c>
      <c r="GW114" s="118">
        <v>0</v>
      </c>
      <c r="GX114" s="118">
        <v>0</v>
      </c>
      <c r="GY114" s="118">
        <v>4</v>
      </c>
      <c r="GZ114" s="118">
        <v>3</v>
      </c>
      <c r="HA114" s="118">
        <v>48</v>
      </c>
      <c r="HB114" s="13"/>
      <c r="HC114" s="118" t="s">
        <v>46</v>
      </c>
      <c r="HD114" s="118">
        <v>26</v>
      </c>
      <c r="HE114" s="118">
        <v>0</v>
      </c>
      <c r="HF114" s="118">
        <v>4</v>
      </c>
      <c r="HG114" s="118">
        <v>0</v>
      </c>
      <c r="HH114" s="118">
        <v>22</v>
      </c>
      <c r="HI114" s="118">
        <v>0</v>
      </c>
      <c r="HJ114" s="118">
        <v>0</v>
      </c>
      <c r="HK114" s="118">
        <v>8</v>
      </c>
      <c r="HL114" s="118">
        <v>3</v>
      </c>
      <c r="HM114" s="118">
        <v>0</v>
      </c>
      <c r="HN114" s="118">
        <v>3</v>
      </c>
      <c r="HO114" s="118">
        <v>0</v>
      </c>
      <c r="HP114" s="118">
        <v>0</v>
      </c>
      <c r="HQ114" s="118">
        <v>0</v>
      </c>
      <c r="HR114" s="118">
        <v>0</v>
      </c>
      <c r="HS114" s="118">
        <v>0</v>
      </c>
      <c r="HT114" s="118">
        <v>0</v>
      </c>
      <c r="HU114" s="118">
        <v>2</v>
      </c>
      <c r="HV114" s="118">
        <v>68</v>
      </c>
      <c r="HW114" s="13"/>
      <c r="HX114" s="118" t="s">
        <v>46</v>
      </c>
      <c r="HY114" s="118">
        <v>18</v>
      </c>
      <c r="HZ114" s="118">
        <v>0</v>
      </c>
      <c r="IA114" s="118">
        <v>1</v>
      </c>
      <c r="IB114" s="118">
        <v>0</v>
      </c>
      <c r="IC114" s="118">
        <v>14</v>
      </c>
      <c r="ID114" s="118">
        <v>0</v>
      </c>
      <c r="IE114" s="118">
        <v>0</v>
      </c>
      <c r="IF114" s="118">
        <v>1</v>
      </c>
      <c r="IG114" s="118">
        <v>1</v>
      </c>
      <c r="IH114" s="118">
        <v>0</v>
      </c>
      <c r="II114" s="118">
        <v>0</v>
      </c>
      <c r="IJ114" s="118">
        <v>0</v>
      </c>
      <c r="IK114" s="118">
        <v>0</v>
      </c>
      <c r="IL114" s="118">
        <v>0</v>
      </c>
      <c r="IM114" s="118">
        <v>0</v>
      </c>
      <c r="IN114" s="118">
        <v>0</v>
      </c>
      <c r="IO114" s="118">
        <v>1</v>
      </c>
      <c r="IP114" s="118">
        <v>0</v>
      </c>
      <c r="IQ114" s="118">
        <v>36</v>
      </c>
      <c r="IR114" s="13"/>
      <c r="IS114" s="118" t="s">
        <v>46</v>
      </c>
      <c r="IT114" s="118">
        <v>31</v>
      </c>
      <c r="IU114" s="118">
        <v>0</v>
      </c>
      <c r="IV114" s="118">
        <v>1</v>
      </c>
      <c r="IW114" s="118">
        <v>0</v>
      </c>
      <c r="IX114" s="118">
        <v>13</v>
      </c>
      <c r="IY114" s="118">
        <v>0</v>
      </c>
      <c r="IZ114" s="118">
        <v>0</v>
      </c>
      <c r="JA114" s="118">
        <v>3</v>
      </c>
      <c r="JB114" s="118">
        <v>1</v>
      </c>
      <c r="JC114" s="118">
        <v>0</v>
      </c>
      <c r="JD114" s="118">
        <v>3</v>
      </c>
      <c r="JE114" s="118">
        <v>0</v>
      </c>
      <c r="JF114" s="118">
        <v>0</v>
      </c>
      <c r="JG114" s="118">
        <v>0</v>
      </c>
      <c r="JH114" s="118">
        <v>0</v>
      </c>
      <c r="JI114" s="118">
        <v>0</v>
      </c>
      <c r="JJ114" s="118">
        <v>0</v>
      </c>
      <c r="JK114" s="118">
        <v>0</v>
      </c>
      <c r="JL114" s="118">
        <v>52</v>
      </c>
      <c r="JM114" s="13"/>
      <c r="JN114" s="70" t="s">
        <v>46</v>
      </c>
      <c r="JO114" s="122">
        <v>39</v>
      </c>
      <c r="JP114" s="122">
        <v>0</v>
      </c>
      <c r="JQ114" s="122">
        <v>0</v>
      </c>
      <c r="JR114" s="122">
        <v>0</v>
      </c>
      <c r="JS114" s="122">
        <v>6</v>
      </c>
      <c r="JT114" s="122">
        <v>0</v>
      </c>
      <c r="JU114" s="122">
        <v>0</v>
      </c>
      <c r="JV114" s="122">
        <v>1</v>
      </c>
      <c r="JW114" s="122">
        <v>1</v>
      </c>
      <c r="JX114" s="122">
        <v>0</v>
      </c>
      <c r="JY114" s="122">
        <v>2</v>
      </c>
      <c r="JZ114" s="122">
        <v>1</v>
      </c>
      <c r="KA114" s="122">
        <v>0</v>
      </c>
      <c r="KB114" s="122">
        <v>0</v>
      </c>
      <c r="KC114" s="122">
        <v>0</v>
      </c>
      <c r="KD114" s="122">
        <v>0</v>
      </c>
      <c r="KE114" s="122">
        <v>0</v>
      </c>
      <c r="KF114" s="122">
        <v>0</v>
      </c>
      <c r="KG114" s="123">
        <v>50</v>
      </c>
      <c r="KH114" s="13"/>
      <c r="KI114" s="118" t="s">
        <v>46</v>
      </c>
      <c r="KJ114" s="118">
        <v>24</v>
      </c>
      <c r="KK114" s="118">
        <v>0</v>
      </c>
      <c r="KL114" s="118">
        <v>2</v>
      </c>
      <c r="KM114" s="118">
        <v>7</v>
      </c>
      <c r="KN114" s="118">
        <v>0</v>
      </c>
      <c r="KO114" s="118">
        <v>4</v>
      </c>
      <c r="KP114" s="118">
        <v>14</v>
      </c>
      <c r="KQ114" s="118">
        <v>0</v>
      </c>
      <c r="KR114" s="118">
        <v>0</v>
      </c>
      <c r="KS114" s="118">
        <v>0</v>
      </c>
      <c r="KT114" s="118">
        <v>0</v>
      </c>
      <c r="KU114" s="118">
        <v>0</v>
      </c>
      <c r="KV114" s="118">
        <v>2</v>
      </c>
      <c r="KW114" s="118">
        <v>0</v>
      </c>
      <c r="KX114" s="118">
        <v>0</v>
      </c>
      <c r="KY114" s="118">
        <v>0</v>
      </c>
      <c r="KZ114" s="118">
        <v>0</v>
      </c>
      <c r="LA114" s="118">
        <v>0</v>
      </c>
      <c r="LB114" s="118">
        <v>53</v>
      </c>
      <c r="LC114" s="13"/>
      <c r="LD114" s="58" t="s">
        <v>46</v>
      </c>
      <c r="LE114" s="65">
        <v>17</v>
      </c>
      <c r="LF114" s="65">
        <v>0</v>
      </c>
      <c r="LG114" s="65">
        <v>1</v>
      </c>
      <c r="LH114" s="65">
        <v>9</v>
      </c>
      <c r="LI114" s="65">
        <v>1</v>
      </c>
      <c r="LJ114" s="65">
        <v>3</v>
      </c>
      <c r="LK114" s="65">
        <v>6</v>
      </c>
      <c r="LL114" s="65">
        <v>0</v>
      </c>
      <c r="LM114" s="65">
        <v>0</v>
      </c>
      <c r="LN114" s="65">
        <v>0</v>
      </c>
      <c r="LO114" s="65">
        <v>2</v>
      </c>
      <c r="LP114" s="65">
        <v>0</v>
      </c>
      <c r="LQ114" s="65">
        <v>2</v>
      </c>
      <c r="LR114" s="65">
        <v>0</v>
      </c>
      <c r="LS114" s="65">
        <v>0</v>
      </c>
      <c r="LT114" s="65">
        <v>0</v>
      </c>
      <c r="LU114" s="65">
        <v>0</v>
      </c>
      <c r="LV114" s="65">
        <v>0</v>
      </c>
      <c r="LW114" s="65">
        <v>0</v>
      </c>
      <c r="LX114" s="65">
        <v>0</v>
      </c>
      <c r="LY114" s="65">
        <v>0</v>
      </c>
      <c r="LZ114" s="65">
        <v>8</v>
      </c>
      <c r="MA114" s="65">
        <v>49</v>
      </c>
      <c r="MB114" s="13"/>
      <c r="MC114" s="180" t="s">
        <v>46</v>
      </c>
      <c r="MD114" s="181">
        <v>50</v>
      </c>
      <c r="ME114" s="181">
        <v>0</v>
      </c>
      <c r="MF114" s="181">
        <v>8</v>
      </c>
      <c r="MG114" s="181">
        <v>0</v>
      </c>
      <c r="MH114" s="181">
        <v>18</v>
      </c>
      <c r="MI114" s="181">
        <v>0</v>
      </c>
      <c r="MJ114" s="181">
        <v>0</v>
      </c>
      <c r="MK114" s="181">
        <v>11</v>
      </c>
      <c r="ML114" s="181">
        <v>1</v>
      </c>
      <c r="MM114" s="181">
        <v>0</v>
      </c>
      <c r="MN114" s="181">
        <v>4</v>
      </c>
      <c r="MO114" s="181">
        <v>0</v>
      </c>
      <c r="MP114" s="181">
        <v>0</v>
      </c>
      <c r="MQ114" s="181">
        <v>0</v>
      </c>
      <c r="MR114" s="181">
        <v>0</v>
      </c>
      <c r="MS114" s="181">
        <v>0</v>
      </c>
      <c r="MT114" s="181">
        <v>0</v>
      </c>
      <c r="MU114" s="181">
        <v>2</v>
      </c>
      <c r="MV114" s="181">
        <v>94</v>
      </c>
      <c r="MW114" s="13"/>
      <c r="MX114" s="74" t="s">
        <v>46</v>
      </c>
      <c r="MY114" s="127">
        <v>74</v>
      </c>
      <c r="MZ114" s="127">
        <v>0</v>
      </c>
      <c r="NA114" s="127">
        <v>6</v>
      </c>
      <c r="NB114" s="127">
        <v>2</v>
      </c>
      <c r="NC114" s="127">
        <v>11</v>
      </c>
      <c r="ND114" s="127">
        <v>7</v>
      </c>
      <c r="NE114" s="127">
        <v>0</v>
      </c>
      <c r="NF114" s="127">
        <v>8</v>
      </c>
      <c r="NG114" s="127">
        <v>1</v>
      </c>
      <c r="NH114" s="127">
        <v>0</v>
      </c>
      <c r="NI114" s="127">
        <v>4</v>
      </c>
      <c r="NJ114" s="127">
        <v>1</v>
      </c>
      <c r="NK114" s="127">
        <v>0</v>
      </c>
      <c r="NL114" s="127">
        <v>0</v>
      </c>
      <c r="NM114" s="127">
        <v>0</v>
      </c>
      <c r="NN114" s="127">
        <v>3</v>
      </c>
      <c r="NO114" s="127">
        <v>0</v>
      </c>
      <c r="NP114" s="127">
        <v>0</v>
      </c>
      <c r="NQ114" s="127">
        <v>117</v>
      </c>
      <c r="NR114" s="13"/>
      <c r="NS114" s="74" t="s">
        <v>46</v>
      </c>
      <c r="NT114" s="127">
        <v>63</v>
      </c>
      <c r="NU114" s="127">
        <v>0</v>
      </c>
      <c r="NV114" s="127">
        <v>3</v>
      </c>
      <c r="NW114" s="127">
        <v>1</v>
      </c>
      <c r="NX114" s="127">
        <v>8</v>
      </c>
      <c r="NY114" s="127">
        <v>3</v>
      </c>
      <c r="NZ114" s="127">
        <v>0</v>
      </c>
      <c r="OA114" s="127">
        <v>8</v>
      </c>
      <c r="OB114" s="127">
        <v>0</v>
      </c>
      <c r="OC114" s="127">
        <v>1</v>
      </c>
      <c r="OD114" s="127">
        <v>3</v>
      </c>
      <c r="OE114" s="127">
        <v>0</v>
      </c>
      <c r="OF114" s="127">
        <v>0</v>
      </c>
      <c r="OG114" s="127">
        <v>0</v>
      </c>
      <c r="OH114" s="127">
        <v>1</v>
      </c>
      <c r="OI114" s="127">
        <v>0</v>
      </c>
      <c r="OJ114" s="127">
        <v>0</v>
      </c>
      <c r="OK114" s="127">
        <v>1</v>
      </c>
      <c r="OL114" s="127">
        <v>92</v>
      </c>
    </row>
    <row r="115" spans="1:402" ht="15.5" thickBot="1">
      <c r="A115" s="17" t="s">
        <v>47</v>
      </c>
      <c r="B115" s="89">
        <v>284</v>
      </c>
      <c r="C115" s="89">
        <v>1</v>
      </c>
      <c r="D115" s="89">
        <v>18</v>
      </c>
      <c r="E115" s="89">
        <v>4</v>
      </c>
      <c r="F115" s="89">
        <v>7</v>
      </c>
      <c r="G115" s="89">
        <v>1</v>
      </c>
      <c r="H115" s="89">
        <v>4</v>
      </c>
      <c r="I115" s="89">
        <v>13</v>
      </c>
      <c r="J115" s="89">
        <v>18</v>
      </c>
      <c r="K115" s="89">
        <v>0</v>
      </c>
      <c r="L115" s="89">
        <v>18</v>
      </c>
      <c r="M115" s="89">
        <v>2</v>
      </c>
      <c r="N115" s="89">
        <v>0</v>
      </c>
      <c r="O115" s="89">
        <v>1</v>
      </c>
      <c r="P115" s="89">
        <v>0</v>
      </c>
      <c r="Q115" s="89">
        <v>2</v>
      </c>
      <c r="R115" s="89">
        <v>91</v>
      </c>
      <c r="S115" s="89">
        <v>16</v>
      </c>
      <c r="T115" s="89">
        <v>480</v>
      </c>
      <c r="U115" s="104"/>
      <c r="V115" s="17" t="s">
        <v>47</v>
      </c>
      <c r="W115" s="89">
        <v>158</v>
      </c>
      <c r="X115" s="89">
        <v>0</v>
      </c>
      <c r="Y115" s="89">
        <v>17</v>
      </c>
      <c r="Z115" s="89">
        <v>4</v>
      </c>
      <c r="AA115" s="89">
        <v>7</v>
      </c>
      <c r="AB115" s="89">
        <v>2</v>
      </c>
      <c r="AC115" s="89">
        <v>0</v>
      </c>
      <c r="AD115" s="89">
        <v>1</v>
      </c>
      <c r="AE115" s="89">
        <v>36</v>
      </c>
      <c r="AF115" s="89">
        <v>0</v>
      </c>
      <c r="AG115" s="109">
        <v>34</v>
      </c>
      <c r="AH115" s="89">
        <v>1</v>
      </c>
      <c r="AI115" s="89">
        <v>0</v>
      </c>
      <c r="AJ115" s="89">
        <v>1</v>
      </c>
      <c r="AK115" s="89">
        <v>0</v>
      </c>
      <c r="AL115" s="89">
        <v>0</v>
      </c>
      <c r="AM115" s="89">
        <v>125</v>
      </c>
      <c r="AN115" s="89">
        <v>14</v>
      </c>
      <c r="AO115" s="89">
        <v>400</v>
      </c>
      <c r="AP115" s="104"/>
      <c r="AQ115" s="17" t="s">
        <v>47</v>
      </c>
      <c r="AR115" s="89">
        <v>135</v>
      </c>
      <c r="AS115" s="89">
        <v>0</v>
      </c>
      <c r="AT115" s="89">
        <v>10</v>
      </c>
      <c r="AU115" s="89">
        <v>4</v>
      </c>
      <c r="AV115" s="89">
        <v>6</v>
      </c>
      <c r="AW115" s="89">
        <v>0</v>
      </c>
      <c r="AX115" s="89">
        <v>0</v>
      </c>
      <c r="AY115" s="89">
        <v>1</v>
      </c>
      <c r="AZ115" s="89">
        <v>22</v>
      </c>
      <c r="BA115" s="89">
        <v>0</v>
      </c>
      <c r="BB115" s="89">
        <v>15</v>
      </c>
      <c r="BC115" s="89">
        <v>9</v>
      </c>
      <c r="BD115" s="89">
        <v>0</v>
      </c>
      <c r="BE115" s="89">
        <v>2</v>
      </c>
      <c r="BF115" s="89">
        <v>0</v>
      </c>
      <c r="BG115" s="89">
        <v>0</v>
      </c>
      <c r="BH115" s="89">
        <v>144</v>
      </c>
      <c r="BI115" s="89">
        <v>8</v>
      </c>
      <c r="BJ115" s="89">
        <v>356</v>
      </c>
      <c r="BK115" s="13"/>
      <c r="BL115" s="115" t="s">
        <v>47</v>
      </c>
      <c r="BM115" s="118">
        <v>260</v>
      </c>
      <c r="BN115" s="118">
        <v>0</v>
      </c>
      <c r="BO115" s="118">
        <v>12</v>
      </c>
      <c r="BP115" s="118">
        <v>0</v>
      </c>
      <c r="BQ115" s="118">
        <v>3</v>
      </c>
      <c r="BR115" s="118">
        <v>2</v>
      </c>
      <c r="BS115" s="118">
        <v>0</v>
      </c>
      <c r="BT115" s="118">
        <v>5</v>
      </c>
      <c r="BU115" s="118">
        <v>19</v>
      </c>
      <c r="BV115" s="118">
        <v>1</v>
      </c>
      <c r="BW115" s="118">
        <v>25</v>
      </c>
      <c r="BX115" s="118">
        <v>4</v>
      </c>
      <c r="BY115" s="118">
        <v>0</v>
      </c>
      <c r="BZ115" s="118">
        <v>0</v>
      </c>
      <c r="CA115" s="118">
        <v>0</v>
      </c>
      <c r="CB115" s="118">
        <v>2</v>
      </c>
      <c r="CC115" s="118">
        <v>87</v>
      </c>
      <c r="CD115" s="118">
        <v>16</v>
      </c>
      <c r="CE115" s="119">
        <v>436</v>
      </c>
      <c r="CF115" s="13"/>
      <c r="CG115" s="118" t="s">
        <v>47</v>
      </c>
      <c r="CH115" s="118">
        <v>172</v>
      </c>
      <c r="CI115" s="118">
        <v>0</v>
      </c>
      <c r="CJ115" s="118">
        <v>8</v>
      </c>
      <c r="CK115" s="118">
        <v>3</v>
      </c>
      <c r="CL115" s="118">
        <v>4</v>
      </c>
      <c r="CM115" s="118">
        <v>0</v>
      </c>
      <c r="CN115" s="118">
        <v>3</v>
      </c>
      <c r="CO115" s="118">
        <v>6</v>
      </c>
      <c r="CP115" s="118">
        <v>31</v>
      </c>
      <c r="CQ115" s="118">
        <v>0</v>
      </c>
      <c r="CR115" s="118">
        <v>15</v>
      </c>
      <c r="CS115" s="118">
        <v>5</v>
      </c>
      <c r="CT115" s="118">
        <v>2</v>
      </c>
      <c r="CU115" s="118">
        <v>0</v>
      </c>
      <c r="CV115" s="118">
        <v>0</v>
      </c>
      <c r="CW115" s="118">
        <v>0</v>
      </c>
      <c r="CX115" s="118">
        <v>74</v>
      </c>
      <c r="CY115" s="118">
        <v>5</v>
      </c>
      <c r="CZ115" s="118">
        <v>328</v>
      </c>
      <c r="DA115" s="13"/>
      <c r="DB115" s="118" t="s">
        <v>47</v>
      </c>
      <c r="DC115" s="118">
        <v>240</v>
      </c>
      <c r="DD115" s="118">
        <v>0</v>
      </c>
      <c r="DE115" s="118">
        <v>27</v>
      </c>
      <c r="DF115" s="118">
        <v>3</v>
      </c>
      <c r="DG115" s="118">
        <v>4</v>
      </c>
      <c r="DH115" s="118">
        <v>0</v>
      </c>
      <c r="DI115" s="118">
        <v>0</v>
      </c>
      <c r="DJ115" s="118">
        <v>4</v>
      </c>
      <c r="DK115" s="118">
        <v>33</v>
      </c>
      <c r="DL115" s="118">
        <v>0</v>
      </c>
      <c r="DM115" s="118">
        <v>24</v>
      </c>
      <c r="DN115" s="118">
        <v>3</v>
      </c>
      <c r="DO115" s="118">
        <v>2</v>
      </c>
      <c r="DP115" s="118">
        <v>2</v>
      </c>
      <c r="DQ115" s="118">
        <v>0</v>
      </c>
      <c r="DR115" s="118">
        <v>1</v>
      </c>
      <c r="DS115" s="118">
        <v>65</v>
      </c>
      <c r="DT115" s="118">
        <v>30</v>
      </c>
      <c r="DU115" s="118">
        <v>438</v>
      </c>
      <c r="DV115" s="13"/>
      <c r="DW115" s="118" t="s">
        <v>47</v>
      </c>
      <c r="DX115" s="118">
        <v>425</v>
      </c>
      <c r="DY115" s="118">
        <v>0</v>
      </c>
      <c r="DZ115" s="118">
        <v>36</v>
      </c>
      <c r="EA115" s="118">
        <v>16</v>
      </c>
      <c r="EB115" s="118">
        <v>4</v>
      </c>
      <c r="EC115" s="118">
        <v>3</v>
      </c>
      <c r="ED115" s="118">
        <v>2</v>
      </c>
      <c r="EE115" s="118">
        <v>18</v>
      </c>
      <c r="EF115" s="118">
        <v>49</v>
      </c>
      <c r="EG115" s="118">
        <v>0</v>
      </c>
      <c r="EH115" s="118">
        <v>75</v>
      </c>
      <c r="EI115" s="118">
        <v>3</v>
      </c>
      <c r="EJ115" s="118">
        <v>0</v>
      </c>
      <c r="EK115" s="118">
        <v>1</v>
      </c>
      <c r="EL115" s="118">
        <v>0</v>
      </c>
      <c r="EM115" s="118">
        <v>2</v>
      </c>
      <c r="EN115" s="118">
        <v>188</v>
      </c>
      <c r="EO115" s="118">
        <v>20</v>
      </c>
      <c r="EP115" s="118">
        <v>842</v>
      </c>
      <c r="EQ115" s="13"/>
      <c r="ER115" s="118" t="s">
        <v>47</v>
      </c>
      <c r="ES115" s="118">
        <v>369</v>
      </c>
      <c r="ET115" s="118">
        <v>5</v>
      </c>
      <c r="EU115" s="118">
        <v>11</v>
      </c>
      <c r="EV115" s="118">
        <v>5</v>
      </c>
      <c r="EW115" s="118">
        <v>26</v>
      </c>
      <c r="EX115" s="118">
        <v>12</v>
      </c>
      <c r="EY115" s="118">
        <v>7</v>
      </c>
      <c r="EZ115" s="118">
        <v>14</v>
      </c>
      <c r="FA115" s="118">
        <v>31</v>
      </c>
      <c r="FB115" s="118">
        <v>0</v>
      </c>
      <c r="FC115" s="118">
        <v>33</v>
      </c>
      <c r="FD115" s="118">
        <v>5</v>
      </c>
      <c r="FE115" s="118">
        <v>0</v>
      </c>
      <c r="FF115" s="118">
        <v>0</v>
      </c>
      <c r="FG115" s="118">
        <v>0</v>
      </c>
      <c r="FH115" s="118">
        <v>2</v>
      </c>
      <c r="FI115" s="118">
        <v>156</v>
      </c>
      <c r="FJ115" s="118">
        <v>23</v>
      </c>
      <c r="FK115" s="118">
        <v>699</v>
      </c>
      <c r="FL115" s="13"/>
      <c r="FM115" s="118" t="s">
        <v>47</v>
      </c>
      <c r="FN115" s="118">
        <v>120</v>
      </c>
      <c r="FO115" s="118">
        <v>5</v>
      </c>
      <c r="FP115" s="118">
        <v>18</v>
      </c>
      <c r="FQ115" s="118">
        <v>9</v>
      </c>
      <c r="FR115" s="118">
        <v>17</v>
      </c>
      <c r="FS115" s="118">
        <v>5</v>
      </c>
      <c r="FT115" s="118">
        <v>5</v>
      </c>
      <c r="FU115" s="118">
        <v>5</v>
      </c>
      <c r="FV115" s="118">
        <v>41</v>
      </c>
      <c r="FW115" s="118">
        <v>0</v>
      </c>
      <c r="FX115" s="118">
        <v>36</v>
      </c>
      <c r="FY115" s="118">
        <v>3</v>
      </c>
      <c r="FZ115" s="118">
        <v>3</v>
      </c>
      <c r="GA115" s="118">
        <v>0</v>
      </c>
      <c r="GB115" s="118">
        <v>0</v>
      </c>
      <c r="GC115" s="118">
        <v>158</v>
      </c>
      <c r="GD115" s="118">
        <v>195</v>
      </c>
      <c r="GE115" s="118">
        <v>244</v>
      </c>
      <c r="GF115" s="118">
        <v>864</v>
      </c>
      <c r="GG115" s="13"/>
      <c r="GH115" s="118" t="s">
        <v>47</v>
      </c>
      <c r="GI115" s="118">
        <v>300</v>
      </c>
      <c r="GJ115" s="118">
        <v>0</v>
      </c>
      <c r="GK115" s="118">
        <v>21</v>
      </c>
      <c r="GL115" s="118">
        <v>6</v>
      </c>
      <c r="GM115" s="118">
        <v>11</v>
      </c>
      <c r="GN115" s="118">
        <v>2</v>
      </c>
      <c r="GO115" s="118">
        <v>3</v>
      </c>
      <c r="GP115" s="118">
        <v>3</v>
      </c>
      <c r="GQ115" s="118">
        <v>33</v>
      </c>
      <c r="GR115" s="118">
        <v>5</v>
      </c>
      <c r="GS115" s="118">
        <v>27</v>
      </c>
      <c r="GT115" s="118">
        <v>5</v>
      </c>
      <c r="GU115" s="118">
        <v>0</v>
      </c>
      <c r="GV115" s="118">
        <v>0</v>
      </c>
      <c r="GW115" s="118">
        <v>2</v>
      </c>
      <c r="GX115" s="118">
        <v>6</v>
      </c>
      <c r="GY115" s="118">
        <v>179</v>
      </c>
      <c r="GZ115" s="118">
        <v>13</v>
      </c>
      <c r="HA115" s="118">
        <v>616</v>
      </c>
      <c r="HB115" s="13"/>
      <c r="HC115" s="118" t="s">
        <v>47</v>
      </c>
      <c r="HD115" s="118">
        <v>285</v>
      </c>
      <c r="HE115" s="118">
        <v>1</v>
      </c>
      <c r="HF115" s="118">
        <v>11</v>
      </c>
      <c r="HG115" s="118">
        <v>8</v>
      </c>
      <c r="HH115" s="118">
        <v>6</v>
      </c>
      <c r="HI115" s="118">
        <v>0</v>
      </c>
      <c r="HJ115" s="118">
        <v>3</v>
      </c>
      <c r="HK115" s="118">
        <v>1</v>
      </c>
      <c r="HL115" s="118">
        <v>19</v>
      </c>
      <c r="HM115" s="118">
        <v>6</v>
      </c>
      <c r="HN115" s="118">
        <v>13</v>
      </c>
      <c r="HO115" s="118">
        <v>8</v>
      </c>
      <c r="HP115" s="118">
        <v>0</v>
      </c>
      <c r="HQ115" s="118">
        <v>1</v>
      </c>
      <c r="HR115" s="118">
        <v>2</v>
      </c>
      <c r="HS115" s="118">
        <v>0</v>
      </c>
      <c r="HT115" s="118">
        <v>136</v>
      </c>
      <c r="HU115" s="118">
        <v>2</v>
      </c>
      <c r="HV115" s="118">
        <v>502</v>
      </c>
      <c r="HW115" s="13"/>
      <c r="HX115" s="118" t="s">
        <v>47</v>
      </c>
      <c r="HY115" s="118">
        <v>278</v>
      </c>
      <c r="HZ115" s="118">
        <v>0</v>
      </c>
      <c r="IA115" s="118">
        <v>17</v>
      </c>
      <c r="IB115" s="118">
        <v>12</v>
      </c>
      <c r="IC115" s="118">
        <v>9</v>
      </c>
      <c r="ID115" s="118">
        <v>0</v>
      </c>
      <c r="IE115" s="118">
        <v>4</v>
      </c>
      <c r="IF115" s="118">
        <v>8</v>
      </c>
      <c r="IG115" s="118">
        <v>16</v>
      </c>
      <c r="IH115" s="118">
        <v>0</v>
      </c>
      <c r="II115" s="118">
        <v>33</v>
      </c>
      <c r="IJ115" s="118">
        <v>0</v>
      </c>
      <c r="IK115" s="118">
        <v>0</v>
      </c>
      <c r="IL115" s="118">
        <v>2</v>
      </c>
      <c r="IM115" s="118">
        <v>1</v>
      </c>
      <c r="IN115" s="118">
        <v>1</v>
      </c>
      <c r="IO115" s="118">
        <v>119</v>
      </c>
      <c r="IP115" s="118">
        <v>11</v>
      </c>
      <c r="IQ115" s="118">
        <v>511</v>
      </c>
      <c r="IR115" s="13"/>
      <c r="IS115" s="118" t="s">
        <v>47</v>
      </c>
      <c r="IT115" s="118">
        <v>258</v>
      </c>
      <c r="IU115" s="118">
        <v>2</v>
      </c>
      <c r="IV115" s="118">
        <v>9</v>
      </c>
      <c r="IW115" s="118">
        <v>2</v>
      </c>
      <c r="IX115" s="118">
        <v>2</v>
      </c>
      <c r="IY115" s="118">
        <v>0</v>
      </c>
      <c r="IZ115" s="118">
        <v>3</v>
      </c>
      <c r="JA115" s="118">
        <v>2</v>
      </c>
      <c r="JB115" s="118">
        <v>11</v>
      </c>
      <c r="JC115" s="118">
        <v>0</v>
      </c>
      <c r="JD115" s="118">
        <v>17</v>
      </c>
      <c r="JE115" s="118">
        <v>0</v>
      </c>
      <c r="JF115" s="118">
        <v>0</v>
      </c>
      <c r="JG115" s="118">
        <v>0</v>
      </c>
      <c r="JH115" s="118">
        <v>0</v>
      </c>
      <c r="JI115" s="118">
        <v>1</v>
      </c>
      <c r="JJ115" s="118">
        <v>71</v>
      </c>
      <c r="JK115" s="118">
        <v>4</v>
      </c>
      <c r="JL115" s="118">
        <v>382</v>
      </c>
      <c r="JM115" s="13"/>
      <c r="JN115" s="70" t="s">
        <v>47</v>
      </c>
      <c r="JO115" s="122">
        <v>280</v>
      </c>
      <c r="JP115" s="122">
        <v>0</v>
      </c>
      <c r="JQ115" s="122">
        <v>18</v>
      </c>
      <c r="JR115" s="122">
        <v>3</v>
      </c>
      <c r="JS115" s="122">
        <v>6</v>
      </c>
      <c r="JT115" s="122">
        <v>0</v>
      </c>
      <c r="JU115" s="122">
        <v>0</v>
      </c>
      <c r="JV115" s="122">
        <v>2</v>
      </c>
      <c r="JW115" s="122">
        <v>11</v>
      </c>
      <c r="JX115" s="122">
        <v>0</v>
      </c>
      <c r="JY115" s="122">
        <v>23</v>
      </c>
      <c r="JZ115" s="122">
        <v>3</v>
      </c>
      <c r="KA115" s="122">
        <v>0</v>
      </c>
      <c r="KB115" s="122">
        <v>0</v>
      </c>
      <c r="KC115" s="122">
        <v>0</v>
      </c>
      <c r="KD115" s="122">
        <v>2</v>
      </c>
      <c r="KE115" s="122">
        <v>18</v>
      </c>
      <c r="KF115" s="122">
        <v>2</v>
      </c>
      <c r="KG115" s="123">
        <v>368</v>
      </c>
      <c r="KH115" s="13"/>
      <c r="KI115" s="118" t="s">
        <v>47</v>
      </c>
      <c r="KJ115" s="118">
        <v>175</v>
      </c>
      <c r="KK115" s="118">
        <v>0</v>
      </c>
      <c r="KL115" s="118">
        <v>12</v>
      </c>
      <c r="KM115" s="118">
        <v>72</v>
      </c>
      <c r="KN115" s="118">
        <v>1</v>
      </c>
      <c r="KO115" s="118">
        <v>2</v>
      </c>
      <c r="KP115" s="118">
        <v>3</v>
      </c>
      <c r="KQ115" s="118">
        <v>3</v>
      </c>
      <c r="KR115" s="118">
        <v>3</v>
      </c>
      <c r="KS115" s="118">
        <v>0</v>
      </c>
      <c r="KT115" s="118">
        <v>15</v>
      </c>
      <c r="KU115" s="118">
        <v>0</v>
      </c>
      <c r="KV115" s="118">
        <v>13</v>
      </c>
      <c r="KW115" s="118">
        <v>3</v>
      </c>
      <c r="KX115" s="118">
        <v>0</v>
      </c>
      <c r="KY115" s="118">
        <v>0</v>
      </c>
      <c r="KZ115" s="118">
        <v>0</v>
      </c>
      <c r="LA115" s="118">
        <v>1</v>
      </c>
      <c r="LB115" s="118">
        <v>303</v>
      </c>
      <c r="LC115" s="13"/>
      <c r="LD115" s="58" t="s">
        <v>47</v>
      </c>
      <c r="LE115" s="65">
        <v>115</v>
      </c>
      <c r="LF115" s="65">
        <v>2</v>
      </c>
      <c r="LG115" s="65">
        <v>10</v>
      </c>
      <c r="LH115" s="65">
        <v>73</v>
      </c>
      <c r="LI115" s="65">
        <v>12</v>
      </c>
      <c r="LJ115" s="65">
        <v>10</v>
      </c>
      <c r="LK115" s="65">
        <v>4</v>
      </c>
      <c r="LL115" s="65">
        <v>0</v>
      </c>
      <c r="LM115" s="65">
        <v>2</v>
      </c>
      <c r="LN115" s="65">
        <v>4</v>
      </c>
      <c r="LO115" s="65">
        <v>5</v>
      </c>
      <c r="LP115" s="65">
        <v>0</v>
      </c>
      <c r="LQ115" s="65">
        <v>13</v>
      </c>
      <c r="LR115" s="65">
        <v>2</v>
      </c>
      <c r="LS115" s="65">
        <v>0</v>
      </c>
      <c r="LT115" s="65">
        <v>1</v>
      </c>
      <c r="LU115" s="65">
        <v>0</v>
      </c>
      <c r="LV115" s="65">
        <v>2</v>
      </c>
      <c r="LW115" s="65">
        <v>0</v>
      </c>
      <c r="LX115" s="65">
        <v>0</v>
      </c>
      <c r="LY115" s="65">
        <v>5</v>
      </c>
      <c r="LZ115" s="65">
        <v>1</v>
      </c>
      <c r="MA115" s="65">
        <v>261</v>
      </c>
      <c r="MB115" s="13"/>
      <c r="MC115" s="180" t="s">
        <v>47</v>
      </c>
      <c r="MD115" s="181">
        <v>190</v>
      </c>
      <c r="ME115" s="181">
        <v>2</v>
      </c>
      <c r="MF115" s="181">
        <v>19</v>
      </c>
      <c r="MG115" s="181">
        <v>9</v>
      </c>
      <c r="MH115" s="181">
        <v>5</v>
      </c>
      <c r="MI115" s="181">
        <v>0</v>
      </c>
      <c r="MJ115" s="181">
        <v>3</v>
      </c>
      <c r="MK115" s="181">
        <v>7</v>
      </c>
      <c r="ML115" s="181">
        <v>3</v>
      </c>
      <c r="MM115" s="181">
        <v>0</v>
      </c>
      <c r="MN115" s="181">
        <v>40</v>
      </c>
      <c r="MO115" s="181">
        <v>2</v>
      </c>
      <c r="MP115" s="181">
        <v>1</v>
      </c>
      <c r="MQ115" s="181">
        <v>7</v>
      </c>
      <c r="MR115" s="181">
        <v>0</v>
      </c>
      <c r="MS115" s="181">
        <v>1</v>
      </c>
      <c r="MT115" s="181">
        <v>0</v>
      </c>
      <c r="MU115" s="181">
        <v>2</v>
      </c>
      <c r="MV115" s="181">
        <v>291</v>
      </c>
      <c r="MW115" s="13"/>
      <c r="MX115" s="74" t="s">
        <v>47</v>
      </c>
      <c r="MY115" s="127">
        <v>140</v>
      </c>
      <c r="MZ115" s="127">
        <v>2</v>
      </c>
      <c r="NA115" s="127">
        <v>6</v>
      </c>
      <c r="NB115" s="127">
        <v>7</v>
      </c>
      <c r="NC115" s="127">
        <v>4</v>
      </c>
      <c r="ND115" s="127">
        <v>1</v>
      </c>
      <c r="NE115" s="127">
        <v>5</v>
      </c>
      <c r="NF115" s="127">
        <v>5</v>
      </c>
      <c r="NG115" s="127">
        <v>4</v>
      </c>
      <c r="NH115" s="127">
        <v>0</v>
      </c>
      <c r="NI115" s="127">
        <v>17</v>
      </c>
      <c r="NJ115" s="127">
        <v>9</v>
      </c>
      <c r="NK115" s="127">
        <v>0</v>
      </c>
      <c r="NL115" s="127">
        <v>1</v>
      </c>
      <c r="NM115" s="127">
        <v>0</v>
      </c>
      <c r="NN115" s="127">
        <v>0</v>
      </c>
      <c r="NO115" s="127">
        <v>14</v>
      </c>
      <c r="NP115" s="127">
        <v>3</v>
      </c>
      <c r="NQ115" s="127">
        <v>218</v>
      </c>
      <c r="NR115" s="13"/>
      <c r="NS115" s="74" t="s">
        <v>47</v>
      </c>
      <c r="NT115" s="127">
        <v>194</v>
      </c>
      <c r="NU115" s="127">
        <v>13</v>
      </c>
      <c r="NV115" s="127">
        <v>5</v>
      </c>
      <c r="NW115" s="127">
        <v>12</v>
      </c>
      <c r="NX115" s="127">
        <v>7</v>
      </c>
      <c r="NY115" s="127">
        <v>3</v>
      </c>
      <c r="NZ115" s="127">
        <v>1</v>
      </c>
      <c r="OA115" s="127">
        <v>5</v>
      </c>
      <c r="OB115" s="127">
        <v>3</v>
      </c>
      <c r="OC115" s="127">
        <v>1</v>
      </c>
      <c r="OD115" s="127">
        <v>21</v>
      </c>
      <c r="OE115" s="127">
        <v>6</v>
      </c>
      <c r="OF115" s="127">
        <v>0</v>
      </c>
      <c r="OG115" s="127">
        <v>0</v>
      </c>
      <c r="OH115" s="127">
        <v>0</v>
      </c>
      <c r="OI115" s="127">
        <v>0</v>
      </c>
      <c r="OJ115" s="127">
        <v>18</v>
      </c>
      <c r="OK115" s="127">
        <v>5</v>
      </c>
      <c r="OL115" s="127">
        <v>294</v>
      </c>
    </row>
    <row r="116" spans="1:402" ht="15.5" thickBot="1">
      <c r="A116" s="17" t="s">
        <v>48</v>
      </c>
      <c r="B116" s="89">
        <v>59</v>
      </c>
      <c r="C116" s="89">
        <v>1</v>
      </c>
      <c r="D116" s="89">
        <v>2</v>
      </c>
      <c r="E116" s="89">
        <v>1</v>
      </c>
      <c r="F116" s="89">
        <v>1</v>
      </c>
      <c r="G116" s="89">
        <v>0</v>
      </c>
      <c r="H116" s="89">
        <v>0</v>
      </c>
      <c r="I116" s="89">
        <v>7</v>
      </c>
      <c r="J116" s="89">
        <v>8</v>
      </c>
      <c r="K116" s="89">
        <v>0</v>
      </c>
      <c r="L116" s="89">
        <v>1</v>
      </c>
      <c r="M116" s="89">
        <v>0</v>
      </c>
      <c r="N116" s="89">
        <v>0</v>
      </c>
      <c r="O116" s="89">
        <v>0</v>
      </c>
      <c r="P116" s="89">
        <v>0</v>
      </c>
      <c r="Q116" s="89">
        <v>0</v>
      </c>
      <c r="R116" s="89">
        <v>4</v>
      </c>
      <c r="S116" s="89">
        <v>0</v>
      </c>
      <c r="T116" s="89">
        <v>84</v>
      </c>
      <c r="U116" s="104"/>
      <c r="V116" s="17" t="s">
        <v>48</v>
      </c>
      <c r="W116" s="89">
        <v>33</v>
      </c>
      <c r="X116" s="89">
        <v>0</v>
      </c>
      <c r="Y116" s="89">
        <v>9</v>
      </c>
      <c r="Z116" s="89">
        <v>7</v>
      </c>
      <c r="AA116" s="89">
        <v>2</v>
      </c>
      <c r="AB116" s="89">
        <v>3</v>
      </c>
      <c r="AC116" s="89">
        <v>0</v>
      </c>
      <c r="AD116" s="89">
        <v>2</v>
      </c>
      <c r="AE116" s="89">
        <v>11</v>
      </c>
      <c r="AF116" s="89">
        <v>0</v>
      </c>
      <c r="AG116" s="109">
        <v>4</v>
      </c>
      <c r="AH116" s="89">
        <v>2</v>
      </c>
      <c r="AI116" s="89">
        <v>0</v>
      </c>
      <c r="AJ116" s="89">
        <v>0</v>
      </c>
      <c r="AK116" s="89">
        <v>0</v>
      </c>
      <c r="AL116" s="89">
        <v>0</v>
      </c>
      <c r="AM116" s="89">
        <v>9</v>
      </c>
      <c r="AN116" s="89">
        <v>0</v>
      </c>
      <c r="AO116" s="89">
        <v>82</v>
      </c>
      <c r="AP116" s="104"/>
      <c r="AQ116" s="17" t="s">
        <v>48</v>
      </c>
      <c r="AR116" s="89">
        <v>40</v>
      </c>
      <c r="AS116" s="89">
        <v>0</v>
      </c>
      <c r="AT116" s="89">
        <v>1</v>
      </c>
      <c r="AU116" s="89">
        <v>0</v>
      </c>
      <c r="AV116" s="89">
        <v>2</v>
      </c>
      <c r="AW116" s="89">
        <v>6</v>
      </c>
      <c r="AX116" s="89">
        <v>0</v>
      </c>
      <c r="AY116" s="89">
        <v>3</v>
      </c>
      <c r="AZ116" s="89">
        <v>26</v>
      </c>
      <c r="BA116" s="89">
        <v>0</v>
      </c>
      <c r="BB116" s="89">
        <v>5</v>
      </c>
      <c r="BC116" s="89">
        <v>3</v>
      </c>
      <c r="BD116" s="89">
        <v>0</v>
      </c>
      <c r="BE116" s="89">
        <v>0</v>
      </c>
      <c r="BF116" s="89">
        <v>0</v>
      </c>
      <c r="BG116" s="89">
        <v>0</v>
      </c>
      <c r="BH116" s="89">
        <v>21</v>
      </c>
      <c r="BI116" s="89">
        <v>0</v>
      </c>
      <c r="BJ116" s="89">
        <v>107</v>
      </c>
      <c r="BK116" s="13"/>
      <c r="BL116" s="115" t="s">
        <v>48</v>
      </c>
      <c r="BM116" s="118">
        <v>38</v>
      </c>
      <c r="BN116" s="118">
        <v>3</v>
      </c>
      <c r="BO116" s="118">
        <v>5</v>
      </c>
      <c r="BP116" s="118">
        <v>1</v>
      </c>
      <c r="BQ116" s="118">
        <v>1</v>
      </c>
      <c r="BR116" s="118">
        <v>0</v>
      </c>
      <c r="BS116" s="118">
        <v>0</v>
      </c>
      <c r="BT116" s="118">
        <v>7</v>
      </c>
      <c r="BU116" s="118">
        <v>8</v>
      </c>
      <c r="BV116" s="118">
        <v>0</v>
      </c>
      <c r="BW116" s="118">
        <v>3</v>
      </c>
      <c r="BX116" s="118">
        <v>5</v>
      </c>
      <c r="BY116" s="118">
        <v>0</v>
      </c>
      <c r="BZ116" s="118">
        <v>1</v>
      </c>
      <c r="CA116" s="118">
        <v>0</v>
      </c>
      <c r="CB116" s="118">
        <v>0</v>
      </c>
      <c r="CC116" s="118">
        <v>11</v>
      </c>
      <c r="CD116" s="118">
        <v>0</v>
      </c>
      <c r="CE116" s="119">
        <v>83</v>
      </c>
      <c r="CF116" s="13"/>
      <c r="CG116" s="118" t="s">
        <v>48</v>
      </c>
      <c r="CH116" s="118">
        <v>44</v>
      </c>
      <c r="CI116" s="118">
        <v>5</v>
      </c>
      <c r="CJ116" s="118">
        <v>7</v>
      </c>
      <c r="CK116" s="118">
        <v>0</v>
      </c>
      <c r="CL116" s="118">
        <v>0</v>
      </c>
      <c r="CM116" s="118">
        <v>5</v>
      </c>
      <c r="CN116" s="118">
        <v>0</v>
      </c>
      <c r="CO116" s="118">
        <v>5</v>
      </c>
      <c r="CP116" s="118">
        <v>27</v>
      </c>
      <c r="CQ116" s="118">
        <v>1</v>
      </c>
      <c r="CR116" s="118">
        <v>2</v>
      </c>
      <c r="CS116" s="118">
        <v>4</v>
      </c>
      <c r="CT116" s="118">
        <v>0</v>
      </c>
      <c r="CU116" s="118">
        <v>0</v>
      </c>
      <c r="CV116" s="118">
        <v>0</v>
      </c>
      <c r="CW116" s="118">
        <v>0</v>
      </c>
      <c r="CX116" s="118">
        <v>12</v>
      </c>
      <c r="CY116" s="118">
        <v>0</v>
      </c>
      <c r="CZ116" s="118">
        <v>112</v>
      </c>
      <c r="DA116" s="13"/>
      <c r="DB116" s="118" t="s">
        <v>48</v>
      </c>
      <c r="DC116" s="118">
        <v>53</v>
      </c>
      <c r="DD116" s="118">
        <v>0</v>
      </c>
      <c r="DE116" s="118">
        <v>4</v>
      </c>
      <c r="DF116" s="118">
        <v>3</v>
      </c>
      <c r="DG116" s="118">
        <v>0</v>
      </c>
      <c r="DH116" s="118">
        <v>0</v>
      </c>
      <c r="DI116" s="118">
        <v>2</v>
      </c>
      <c r="DJ116" s="118">
        <v>9</v>
      </c>
      <c r="DK116" s="118">
        <v>7</v>
      </c>
      <c r="DL116" s="118">
        <v>2</v>
      </c>
      <c r="DM116" s="118">
        <v>3</v>
      </c>
      <c r="DN116" s="118">
        <v>0</v>
      </c>
      <c r="DO116" s="118">
        <v>0</v>
      </c>
      <c r="DP116" s="118">
        <v>0</v>
      </c>
      <c r="DQ116" s="118">
        <v>0</v>
      </c>
      <c r="DR116" s="118">
        <v>0</v>
      </c>
      <c r="DS116" s="118">
        <v>14</v>
      </c>
      <c r="DT116" s="118">
        <v>0</v>
      </c>
      <c r="DU116" s="118">
        <v>97</v>
      </c>
      <c r="DV116" s="13"/>
      <c r="DW116" s="118" t="s">
        <v>48</v>
      </c>
      <c r="DX116" s="118">
        <v>43</v>
      </c>
      <c r="DY116" s="118">
        <v>2</v>
      </c>
      <c r="DZ116" s="118">
        <v>7</v>
      </c>
      <c r="EA116" s="118">
        <v>2</v>
      </c>
      <c r="EB116" s="118">
        <v>0</v>
      </c>
      <c r="EC116" s="118">
        <v>5</v>
      </c>
      <c r="ED116" s="118">
        <v>0</v>
      </c>
      <c r="EE116" s="118">
        <v>3</v>
      </c>
      <c r="EF116" s="118">
        <v>13</v>
      </c>
      <c r="EG116" s="118">
        <v>0</v>
      </c>
      <c r="EH116" s="118">
        <v>2</v>
      </c>
      <c r="EI116" s="118">
        <v>1</v>
      </c>
      <c r="EJ116" s="118">
        <v>0</v>
      </c>
      <c r="EK116" s="118">
        <v>0</v>
      </c>
      <c r="EL116" s="118">
        <v>0</v>
      </c>
      <c r="EM116" s="118">
        <v>0</v>
      </c>
      <c r="EN116" s="118">
        <v>16</v>
      </c>
      <c r="EO116" s="118">
        <v>0</v>
      </c>
      <c r="EP116" s="118">
        <v>94</v>
      </c>
      <c r="EQ116" s="13"/>
      <c r="ER116" s="118" t="s">
        <v>48</v>
      </c>
      <c r="ES116" s="118">
        <v>19</v>
      </c>
      <c r="ET116" s="118">
        <v>1</v>
      </c>
      <c r="EU116" s="118">
        <v>2</v>
      </c>
      <c r="EV116" s="118">
        <v>2</v>
      </c>
      <c r="EW116" s="118">
        <v>2</v>
      </c>
      <c r="EX116" s="118">
        <v>6</v>
      </c>
      <c r="EY116" s="118">
        <v>0</v>
      </c>
      <c r="EZ116" s="118">
        <v>0</v>
      </c>
      <c r="FA116" s="118">
        <v>21</v>
      </c>
      <c r="FB116" s="118">
        <v>0</v>
      </c>
      <c r="FC116" s="118">
        <v>0</v>
      </c>
      <c r="FD116" s="118">
        <v>0</v>
      </c>
      <c r="FE116" s="118">
        <v>0</v>
      </c>
      <c r="FF116" s="118">
        <v>0</v>
      </c>
      <c r="FG116" s="118">
        <v>0</v>
      </c>
      <c r="FH116" s="118">
        <v>0</v>
      </c>
      <c r="FI116" s="118">
        <v>18</v>
      </c>
      <c r="FJ116" s="118">
        <v>3</v>
      </c>
      <c r="FK116" s="118">
        <v>74</v>
      </c>
      <c r="FL116" s="13"/>
      <c r="FM116" s="118" t="s">
        <v>48</v>
      </c>
      <c r="FN116" s="118">
        <v>33</v>
      </c>
      <c r="FO116" s="118">
        <v>0</v>
      </c>
      <c r="FP116" s="118">
        <v>3</v>
      </c>
      <c r="FQ116" s="118">
        <v>7</v>
      </c>
      <c r="FR116" s="118">
        <v>1</v>
      </c>
      <c r="FS116" s="118">
        <v>3</v>
      </c>
      <c r="FT116" s="118">
        <v>0</v>
      </c>
      <c r="FU116" s="118">
        <v>0</v>
      </c>
      <c r="FV116" s="118">
        <v>18</v>
      </c>
      <c r="FW116" s="118">
        <v>0</v>
      </c>
      <c r="FX116" s="118">
        <v>2</v>
      </c>
      <c r="FY116" s="118">
        <v>0</v>
      </c>
      <c r="FZ116" s="118">
        <v>0</v>
      </c>
      <c r="GA116" s="118">
        <v>0</v>
      </c>
      <c r="GB116" s="118">
        <v>0</v>
      </c>
      <c r="GC116" s="118">
        <v>0</v>
      </c>
      <c r="GD116" s="118">
        <v>19</v>
      </c>
      <c r="GE116" s="118">
        <v>50</v>
      </c>
      <c r="GF116" s="118">
        <v>136</v>
      </c>
      <c r="GG116" s="13"/>
      <c r="GH116" s="118" t="s">
        <v>48</v>
      </c>
      <c r="GI116" s="118">
        <v>47</v>
      </c>
      <c r="GJ116" s="118">
        <v>2</v>
      </c>
      <c r="GK116" s="118">
        <v>0</v>
      </c>
      <c r="GL116" s="118">
        <v>1</v>
      </c>
      <c r="GM116" s="118">
        <v>0</v>
      </c>
      <c r="GN116" s="118">
        <v>0</v>
      </c>
      <c r="GO116" s="118">
        <v>0</v>
      </c>
      <c r="GP116" s="118">
        <v>0</v>
      </c>
      <c r="GQ116" s="118">
        <v>14</v>
      </c>
      <c r="GR116" s="118">
        <v>0</v>
      </c>
      <c r="GS116" s="118">
        <v>4</v>
      </c>
      <c r="GT116" s="118">
        <v>0</v>
      </c>
      <c r="GU116" s="118">
        <v>0</v>
      </c>
      <c r="GV116" s="118">
        <v>0</v>
      </c>
      <c r="GW116" s="118">
        <v>0</v>
      </c>
      <c r="GX116" s="118">
        <v>0</v>
      </c>
      <c r="GY116" s="118">
        <v>18</v>
      </c>
      <c r="GZ116" s="118">
        <v>1</v>
      </c>
      <c r="HA116" s="118">
        <v>87</v>
      </c>
      <c r="HB116" s="13"/>
      <c r="HC116" s="118" t="s">
        <v>48</v>
      </c>
      <c r="HD116" s="118">
        <v>40</v>
      </c>
      <c r="HE116" s="118">
        <v>0</v>
      </c>
      <c r="HF116" s="118">
        <v>4</v>
      </c>
      <c r="HG116" s="118">
        <v>2</v>
      </c>
      <c r="HH116" s="118">
        <v>2</v>
      </c>
      <c r="HI116" s="118">
        <v>0</v>
      </c>
      <c r="HJ116" s="118">
        <v>0</v>
      </c>
      <c r="HK116" s="118">
        <v>4</v>
      </c>
      <c r="HL116" s="118">
        <v>11</v>
      </c>
      <c r="HM116" s="118">
        <v>0</v>
      </c>
      <c r="HN116" s="118">
        <v>2</v>
      </c>
      <c r="HO116" s="118">
        <v>1</v>
      </c>
      <c r="HP116" s="118">
        <v>0</v>
      </c>
      <c r="HQ116" s="118">
        <v>0</v>
      </c>
      <c r="HR116" s="118">
        <v>0</v>
      </c>
      <c r="HS116" s="118">
        <v>0</v>
      </c>
      <c r="HT116" s="118">
        <v>4</v>
      </c>
      <c r="HU116" s="118">
        <v>0</v>
      </c>
      <c r="HV116" s="118">
        <v>70</v>
      </c>
      <c r="HW116" s="13"/>
      <c r="HX116" s="118" t="s">
        <v>48</v>
      </c>
      <c r="HY116" s="118">
        <v>17</v>
      </c>
      <c r="HZ116" s="118">
        <v>0</v>
      </c>
      <c r="IA116" s="118">
        <v>8</v>
      </c>
      <c r="IB116" s="118">
        <v>5</v>
      </c>
      <c r="IC116" s="118">
        <v>2</v>
      </c>
      <c r="ID116" s="118">
        <v>0</v>
      </c>
      <c r="IE116" s="118">
        <v>0</v>
      </c>
      <c r="IF116" s="118">
        <v>3</v>
      </c>
      <c r="IG116" s="118">
        <v>3</v>
      </c>
      <c r="IH116" s="118">
        <v>0</v>
      </c>
      <c r="II116" s="118">
        <v>2</v>
      </c>
      <c r="IJ116" s="118">
        <v>0</v>
      </c>
      <c r="IK116" s="118">
        <v>0</v>
      </c>
      <c r="IL116" s="118">
        <v>0</v>
      </c>
      <c r="IM116" s="118">
        <v>0</v>
      </c>
      <c r="IN116" s="118">
        <v>0</v>
      </c>
      <c r="IO116" s="118">
        <v>0</v>
      </c>
      <c r="IP116" s="118">
        <v>0</v>
      </c>
      <c r="IQ116" s="118">
        <v>40</v>
      </c>
      <c r="IR116" s="13"/>
      <c r="IS116" s="118" t="s">
        <v>48</v>
      </c>
      <c r="IT116" s="118">
        <v>57</v>
      </c>
      <c r="IU116" s="118">
        <v>0</v>
      </c>
      <c r="IV116" s="118">
        <v>4</v>
      </c>
      <c r="IW116" s="118">
        <v>7</v>
      </c>
      <c r="IX116" s="118">
        <v>5</v>
      </c>
      <c r="IY116" s="118">
        <v>2</v>
      </c>
      <c r="IZ116" s="118">
        <v>1</v>
      </c>
      <c r="JA116" s="118">
        <v>9</v>
      </c>
      <c r="JB116" s="118">
        <v>12</v>
      </c>
      <c r="JC116" s="118">
        <v>0</v>
      </c>
      <c r="JD116" s="118">
        <v>2</v>
      </c>
      <c r="JE116" s="118">
        <v>1</v>
      </c>
      <c r="JF116" s="118">
        <v>0</v>
      </c>
      <c r="JG116" s="118">
        <v>0</v>
      </c>
      <c r="JH116" s="118">
        <v>0</v>
      </c>
      <c r="JI116" s="118">
        <v>0</v>
      </c>
      <c r="JJ116" s="118">
        <v>0</v>
      </c>
      <c r="JK116" s="118">
        <v>0</v>
      </c>
      <c r="JL116" s="118">
        <v>100</v>
      </c>
      <c r="JM116" s="13"/>
      <c r="JN116" s="70" t="s">
        <v>48</v>
      </c>
      <c r="JO116" s="122">
        <v>46</v>
      </c>
      <c r="JP116" s="122">
        <v>0</v>
      </c>
      <c r="JQ116" s="122">
        <v>5</v>
      </c>
      <c r="JR116" s="122">
        <v>4</v>
      </c>
      <c r="JS116" s="122">
        <v>8</v>
      </c>
      <c r="JT116" s="122">
        <v>2</v>
      </c>
      <c r="JU116" s="122">
        <v>0</v>
      </c>
      <c r="JV116" s="122">
        <v>5</v>
      </c>
      <c r="JW116" s="122">
        <v>13</v>
      </c>
      <c r="JX116" s="122">
        <v>0</v>
      </c>
      <c r="JY116" s="122">
        <v>3</v>
      </c>
      <c r="JZ116" s="122">
        <v>1</v>
      </c>
      <c r="KA116" s="122">
        <v>0</v>
      </c>
      <c r="KB116" s="122">
        <v>0</v>
      </c>
      <c r="KC116" s="122">
        <v>0</v>
      </c>
      <c r="KD116" s="122">
        <v>0</v>
      </c>
      <c r="KE116" s="122">
        <v>1</v>
      </c>
      <c r="KF116" s="122">
        <v>0</v>
      </c>
      <c r="KG116" s="123">
        <v>88</v>
      </c>
      <c r="KH116" s="13"/>
      <c r="KI116" s="118" t="s">
        <v>48</v>
      </c>
      <c r="KJ116" s="118">
        <v>36</v>
      </c>
      <c r="KK116" s="118">
        <v>0</v>
      </c>
      <c r="KL116" s="118">
        <v>7</v>
      </c>
      <c r="KM116" s="118">
        <v>5</v>
      </c>
      <c r="KN116" s="118">
        <v>4</v>
      </c>
      <c r="KO116" s="118">
        <v>0</v>
      </c>
      <c r="KP116" s="118">
        <v>3</v>
      </c>
      <c r="KQ116" s="118">
        <v>3</v>
      </c>
      <c r="KR116" s="118">
        <v>0</v>
      </c>
      <c r="KS116" s="118">
        <v>1</v>
      </c>
      <c r="KT116" s="118">
        <v>7</v>
      </c>
      <c r="KU116" s="118">
        <v>0</v>
      </c>
      <c r="KV116" s="118">
        <v>4</v>
      </c>
      <c r="KW116" s="118">
        <v>1</v>
      </c>
      <c r="KX116" s="118">
        <v>0</v>
      </c>
      <c r="KY116" s="118">
        <v>0</v>
      </c>
      <c r="KZ116" s="118">
        <v>0</v>
      </c>
      <c r="LA116" s="118">
        <v>0</v>
      </c>
      <c r="LB116" s="118">
        <v>71</v>
      </c>
      <c r="LC116" s="13"/>
      <c r="LD116" s="58" t="s">
        <v>48</v>
      </c>
      <c r="LE116" s="65">
        <v>33</v>
      </c>
      <c r="LF116" s="65">
        <v>1</v>
      </c>
      <c r="LG116" s="65">
        <v>5</v>
      </c>
      <c r="LH116" s="65">
        <v>8</v>
      </c>
      <c r="LI116" s="65">
        <v>4</v>
      </c>
      <c r="LJ116" s="65">
        <v>0</v>
      </c>
      <c r="LK116" s="65">
        <v>5</v>
      </c>
      <c r="LL116" s="65">
        <v>0</v>
      </c>
      <c r="LM116" s="65">
        <v>0</v>
      </c>
      <c r="LN116" s="65">
        <v>0</v>
      </c>
      <c r="LO116" s="65">
        <v>2</v>
      </c>
      <c r="LP116" s="65">
        <v>2</v>
      </c>
      <c r="LQ116" s="65">
        <v>0</v>
      </c>
      <c r="LR116" s="65">
        <v>2</v>
      </c>
      <c r="LS116" s="65">
        <v>0</v>
      </c>
      <c r="LT116" s="65">
        <v>0</v>
      </c>
      <c r="LU116" s="65">
        <v>0</v>
      </c>
      <c r="LV116" s="65">
        <v>2</v>
      </c>
      <c r="LW116" s="65">
        <v>0</v>
      </c>
      <c r="LX116" s="65">
        <v>0</v>
      </c>
      <c r="LY116" s="65">
        <v>1</v>
      </c>
      <c r="LZ116" s="65">
        <v>1</v>
      </c>
      <c r="MA116" s="65">
        <v>66</v>
      </c>
      <c r="MB116" s="13"/>
      <c r="MC116" s="180" t="s">
        <v>48</v>
      </c>
      <c r="MD116" s="181">
        <v>76</v>
      </c>
      <c r="ME116" s="181">
        <v>1</v>
      </c>
      <c r="MF116" s="181">
        <v>7</v>
      </c>
      <c r="MG116" s="181">
        <v>5</v>
      </c>
      <c r="MH116" s="181">
        <v>2</v>
      </c>
      <c r="MI116" s="181">
        <v>4</v>
      </c>
      <c r="MJ116" s="181">
        <v>0</v>
      </c>
      <c r="MK116" s="181">
        <v>6</v>
      </c>
      <c r="ML116" s="181">
        <v>0</v>
      </c>
      <c r="MM116" s="181">
        <v>8</v>
      </c>
      <c r="MN116" s="181">
        <v>6</v>
      </c>
      <c r="MO116" s="181">
        <v>1</v>
      </c>
      <c r="MP116" s="181">
        <v>0</v>
      </c>
      <c r="MQ116" s="181">
        <v>0</v>
      </c>
      <c r="MR116" s="181">
        <v>0</v>
      </c>
      <c r="MS116" s="181">
        <v>3</v>
      </c>
      <c r="MT116" s="181">
        <v>0</v>
      </c>
      <c r="MU116" s="181">
        <v>2</v>
      </c>
      <c r="MV116" s="181">
        <v>121</v>
      </c>
      <c r="MW116" s="13"/>
      <c r="MX116" s="74" t="s">
        <v>48</v>
      </c>
      <c r="MY116" s="127">
        <v>56</v>
      </c>
      <c r="MZ116" s="127">
        <v>0</v>
      </c>
      <c r="NA116" s="127">
        <v>19</v>
      </c>
      <c r="NB116" s="127">
        <v>0</v>
      </c>
      <c r="NC116" s="127">
        <v>6</v>
      </c>
      <c r="ND116" s="127">
        <v>1</v>
      </c>
      <c r="NE116" s="127">
        <v>0</v>
      </c>
      <c r="NF116" s="127">
        <v>2</v>
      </c>
      <c r="NG116" s="127">
        <v>11</v>
      </c>
      <c r="NH116" s="127">
        <v>1</v>
      </c>
      <c r="NI116" s="127">
        <v>5</v>
      </c>
      <c r="NJ116" s="127">
        <v>1</v>
      </c>
      <c r="NK116" s="127">
        <v>0</v>
      </c>
      <c r="NL116" s="127">
        <v>0</v>
      </c>
      <c r="NM116" s="127">
        <v>0</v>
      </c>
      <c r="NN116" s="127">
        <v>0</v>
      </c>
      <c r="NO116" s="127">
        <v>0</v>
      </c>
      <c r="NP116" s="127">
        <v>1</v>
      </c>
      <c r="NQ116" s="127">
        <v>103</v>
      </c>
      <c r="NR116" s="13"/>
      <c r="NS116" s="74" t="s">
        <v>48</v>
      </c>
      <c r="NT116" s="127">
        <v>41</v>
      </c>
      <c r="NU116" s="127">
        <v>0</v>
      </c>
      <c r="NV116" s="127">
        <v>4</v>
      </c>
      <c r="NW116" s="127">
        <v>4</v>
      </c>
      <c r="NX116" s="127">
        <v>5</v>
      </c>
      <c r="NY116" s="127">
        <v>2</v>
      </c>
      <c r="NZ116" s="127">
        <v>1</v>
      </c>
      <c r="OA116" s="127">
        <v>0</v>
      </c>
      <c r="OB116" s="127">
        <v>17</v>
      </c>
      <c r="OC116" s="127">
        <v>1</v>
      </c>
      <c r="OD116" s="127">
        <v>1</v>
      </c>
      <c r="OE116" s="127">
        <v>0</v>
      </c>
      <c r="OF116" s="127">
        <v>0</v>
      </c>
      <c r="OG116" s="127">
        <v>0</v>
      </c>
      <c r="OH116" s="127">
        <v>0</v>
      </c>
      <c r="OI116" s="127">
        <v>0</v>
      </c>
      <c r="OJ116" s="127">
        <v>0</v>
      </c>
      <c r="OK116" s="127">
        <v>0</v>
      </c>
      <c r="OL116" s="127">
        <v>76</v>
      </c>
    </row>
    <row r="117" spans="1:402" ht="15.5" thickBot="1">
      <c r="A117" s="17" t="s">
        <v>49</v>
      </c>
      <c r="B117" s="89">
        <v>11</v>
      </c>
      <c r="C117" s="89">
        <v>0</v>
      </c>
      <c r="D117" s="89">
        <v>3</v>
      </c>
      <c r="E117" s="89">
        <v>0</v>
      </c>
      <c r="F117" s="89">
        <v>1</v>
      </c>
      <c r="G117" s="89">
        <v>0</v>
      </c>
      <c r="H117" s="89">
        <v>0</v>
      </c>
      <c r="I117" s="89">
        <v>1</v>
      </c>
      <c r="J117" s="89">
        <v>4</v>
      </c>
      <c r="K117" s="89">
        <v>1</v>
      </c>
      <c r="L117" s="89">
        <v>0</v>
      </c>
      <c r="M117" s="89">
        <v>1</v>
      </c>
      <c r="N117" s="89">
        <v>0</v>
      </c>
      <c r="O117" s="89">
        <v>0</v>
      </c>
      <c r="P117" s="89">
        <v>0</v>
      </c>
      <c r="Q117" s="89">
        <v>0</v>
      </c>
      <c r="R117" s="89">
        <v>2</v>
      </c>
      <c r="S117" s="89">
        <v>0</v>
      </c>
      <c r="T117" s="89">
        <v>24</v>
      </c>
      <c r="U117" s="104"/>
      <c r="V117" s="17" t="s">
        <v>49</v>
      </c>
      <c r="W117" s="89">
        <v>5</v>
      </c>
      <c r="X117" s="89">
        <v>0</v>
      </c>
      <c r="Y117" s="89">
        <v>3</v>
      </c>
      <c r="Z117" s="89">
        <v>1</v>
      </c>
      <c r="AA117" s="89">
        <v>2</v>
      </c>
      <c r="AB117" s="89">
        <v>0</v>
      </c>
      <c r="AC117" s="89">
        <v>0</v>
      </c>
      <c r="AD117" s="89">
        <v>3</v>
      </c>
      <c r="AE117" s="89">
        <v>0</v>
      </c>
      <c r="AF117" s="89">
        <v>0</v>
      </c>
      <c r="AG117" s="109">
        <v>0</v>
      </c>
      <c r="AH117" s="89">
        <v>0</v>
      </c>
      <c r="AI117" s="89">
        <v>0</v>
      </c>
      <c r="AJ117" s="89">
        <v>0</v>
      </c>
      <c r="AK117" s="89">
        <v>0</v>
      </c>
      <c r="AL117" s="89">
        <v>0</v>
      </c>
      <c r="AM117" s="89">
        <v>2</v>
      </c>
      <c r="AN117" s="89">
        <v>0</v>
      </c>
      <c r="AO117" s="89">
        <v>16</v>
      </c>
      <c r="AP117" s="104"/>
      <c r="AQ117" s="17" t="s">
        <v>49</v>
      </c>
      <c r="AR117" s="89">
        <v>6</v>
      </c>
      <c r="AS117" s="89">
        <v>0</v>
      </c>
      <c r="AT117" s="89">
        <v>5</v>
      </c>
      <c r="AU117" s="89">
        <v>0</v>
      </c>
      <c r="AV117" s="89">
        <v>3</v>
      </c>
      <c r="AW117" s="89">
        <v>0</v>
      </c>
      <c r="AX117" s="89">
        <v>0</v>
      </c>
      <c r="AY117" s="89">
        <v>1</v>
      </c>
      <c r="AZ117" s="89">
        <v>3</v>
      </c>
      <c r="BA117" s="89">
        <v>0</v>
      </c>
      <c r="BB117" s="89">
        <v>2</v>
      </c>
      <c r="BC117" s="89">
        <v>1</v>
      </c>
      <c r="BD117" s="89">
        <v>0</v>
      </c>
      <c r="BE117" s="89">
        <v>0</v>
      </c>
      <c r="BF117" s="89">
        <v>0</v>
      </c>
      <c r="BG117" s="89">
        <v>0</v>
      </c>
      <c r="BH117" s="89">
        <v>3</v>
      </c>
      <c r="BI117" s="89">
        <v>0</v>
      </c>
      <c r="BJ117" s="89">
        <v>24</v>
      </c>
      <c r="BK117" s="13"/>
      <c r="BL117" s="115" t="s">
        <v>49</v>
      </c>
      <c r="BM117" s="118">
        <v>10</v>
      </c>
      <c r="BN117" s="118">
        <v>0</v>
      </c>
      <c r="BO117" s="118">
        <v>2</v>
      </c>
      <c r="BP117" s="118">
        <v>1</v>
      </c>
      <c r="BQ117" s="118">
        <v>4</v>
      </c>
      <c r="BR117" s="118">
        <v>0</v>
      </c>
      <c r="BS117" s="118">
        <v>0</v>
      </c>
      <c r="BT117" s="118">
        <v>3</v>
      </c>
      <c r="BU117" s="118">
        <v>3</v>
      </c>
      <c r="BV117" s="118">
        <v>0</v>
      </c>
      <c r="BW117" s="118">
        <v>2</v>
      </c>
      <c r="BX117" s="118">
        <v>0</v>
      </c>
      <c r="BY117" s="118">
        <v>0</v>
      </c>
      <c r="BZ117" s="118">
        <v>1</v>
      </c>
      <c r="CA117" s="118">
        <v>0</v>
      </c>
      <c r="CB117" s="118">
        <v>0</v>
      </c>
      <c r="CC117" s="118">
        <v>1</v>
      </c>
      <c r="CD117" s="118">
        <v>0</v>
      </c>
      <c r="CE117" s="119">
        <v>27</v>
      </c>
      <c r="CF117" s="13"/>
      <c r="CG117" s="118" t="s">
        <v>49</v>
      </c>
      <c r="CH117" s="118">
        <v>20</v>
      </c>
      <c r="CI117" s="118">
        <v>0</v>
      </c>
      <c r="CJ117" s="118">
        <v>2</v>
      </c>
      <c r="CK117" s="118">
        <v>0</v>
      </c>
      <c r="CL117" s="118">
        <v>5</v>
      </c>
      <c r="CM117" s="118">
        <v>0</v>
      </c>
      <c r="CN117" s="118">
        <v>0</v>
      </c>
      <c r="CO117" s="118">
        <v>3</v>
      </c>
      <c r="CP117" s="118">
        <v>5</v>
      </c>
      <c r="CQ117" s="118">
        <v>1</v>
      </c>
      <c r="CR117" s="118">
        <v>2</v>
      </c>
      <c r="CS117" s="118">
        <v>0</v>
      </c>
      <c r="CT117" s="118">
        <v>0</v>
      </c>
      <c r="CU117" s="118">
        <v>0</v>
      </c>
      <c r="CV117" s="118">
        <v>0</v>
      </c>
      <c r="CW117" s="118">
        <v>0</v>
      </c>
      <c r="CX117" s="118">
        <v>0</v>
      </c>
      <c r="CY117" s="118">
        <v>0</v>
      </c>
      <c r="CZ117" s="118">
        <v>38</v>
      </c>
      <c r="DA117" s="13"/>
      <c r="DB117" s="118" t="s">
        <v>49</v>
      </c>
      <c r="DC117" s="118">
        <v>5</v>
      </c>
      <c r="DD117" s="118">
        <v>0</v>
      </c>
      <c r="DE117" s="118">
        <v>3</v>
      </c>
      <c r="DF117" s="118">
        <v>0</v>
      </c>
      <c r="DG117" s="118">
        <v>7</v>
      </c>
      <c r="DH117" s="118">
        <v>0</v>
      </c>
      <c r="DI117" s="118">
        <v>0</v>
      </c>
      <c r="DJ117" s="118">
        <v>1</v>
      </c>
      <c r="DK117" s="118">
        <v>1</v>
      </c>
      <c r="DL117" s="118">
        <v>0</v>
      </c>
      <c r="DM117" s="118">
        <v>0</v>
      </c>
      <c r="DN117" s="118">
        <v>0</v>
      </c>
      <c r="DO117" s="118">
        <v>0</v>
      </c>
      <c r="DP117" s="118">
        <v>0</v>
      </c>
      <c r="DQ117" s="118">
        <v>0</v>
      </c>
      <c r="DR117" s="118">
        <v>0</v>
      </c>
      <c r="DS117" s="118">
        <v>10</v>
      </c>
      <c r="DT117" s="118">
        <v>0</v>
      </c>
      <c r="DU117" s="118">
        <v>27</v>
      </c>
      <c r="DV117" s="13"/>
      <c r="DW117" s="118" t="s">
        <v>49</v>
      </c>
      <c r="DX117" s="118">
        <v>6</v>
      </c>
      <c r="DY117" s="118">
        <v>0</v>
      </c>
      <c r="DZ117" s="118">
        <v>1</v>
      </c>
      <c r="EA117" s="118">
        <v>0</v>
      </c>
      <c r="EB117" s="118">
        <v>3</v>
      </c>
      <c r="EC117" s="118">
        <v>0</v>
      </c>
      <c r="ED117" s="118">
        <v>0</v>
      </c>
      <c r="EE117" s="118">
        <v>0</v>
      </c>
      <c r="EF117" s="118">
        <v>6</v>
      </c>
      <c r="EG117" s="118">
        <v>0</v>
      </c>
      <c r="EH117" s="118">
        <v>0</v>
      </c>
      <c r="EI117" s="118">
        <v>0</v>
      </c>
      <c r="EJ117" s="118">
        <v>0</v>
      </c>
      <c r="EK117" s="118">
        <v>0</v>
      </c>
      <c r="EL117" s="118">
        <v>0</v>
      </c>
      <c r="EM117" s="118">
        <v>0</v>
      </c>
      <c r="EN117" s="118">
        <v>10</v>
      </c>
      <c r="EO117" s="118">
        <v>0</v>
      </c>
      <c r="EP117" s="118">
        <v>26</v>
      </c>
      <c r="EQ117" s="13"/>
      <c r="ER117" s="118" t="s">
        <v>49</v>
      </c>
      <c r="ES117" s="118">
        <v>3</v>
      </c>
      <c r="ET117" s="118">
        <v>0</v>
      </c>
      <c r="EU117" s="118">
        <v>1</v>
      </c>
      <c r="EV117" s="118">
        <v>0</v>
      </c>
      <c r="EW117" s="118">
        <v>1</v>
      </c>
      <c r="EX117" s="118">
        <v>0</v>
      </c>
      <c r="EY117" s="118">
        <v>0</v>
      </c>
      <c r="EZ117" s="118">
        <v>0</v>
      </c>
      <c r="FA117" s="118">
        <v>4</v>
      </c>
      <c r="FB117" s="118">
        <v>0</v>
      </c>
      <c r="FC117" s="118">
        <v>1</v>
      </c>
      <c r="FD117" s="118">
        <v>0</v>
      </c>
      <c r="FE117" s="118">
        <v>0</v>
      </c>
      <c r="FF117" s="118">
        <v>0</v>
      </c>
      <c r="FG117" s="118">
        <v>0</v>
      </c>
      <c r="FH117" s="118">
        <v>0</v>
      </c>
      <c r="FI117" s="118">
        <v>5</v>
      </c>
      <c r="FJ117" s="118">
        <v>4</v>
      </c>
      <c r="FK117" s="118">
        <v>19</v>
      </c>
      <c r="FL117" s="13"/>
      <c r="FM117" s="118" t="s">
        <v>49</v>
      </c>
      <c r="FN117" s="118">
        <v>6</v>
      </c>
      <c r="FO117" s="118">
        <v>0</v>
      </c>
      <c r="FP117" s="118">
        <v>1</v>
      </c>
      <c r="FQ117" s="118">
        <v>0</v>
      </c>
      <c r="FR117" s="118">
        <v>3</v>
      </c>
      <c r="FS117" s="118">
        <v>0</v>
      </c>
      <c r="FT117" s="118">
        <v>0</v>
      </c>
      <c r="FU117" s="118">
        <v>0</v>
      </c>
      <c r="FV117" s="118">
        <v>7</v>
      </c>
      <c r="FW117" s="118">
        <v>0</v>
      </c>
      <c r="FX117" s="118">
        <v>0</v>
      </c>
      <c r="FY117" s="118">
        <v>0</v>
      </c>
      <c r="FZ117" s="118">
        <v>0</v>
      </c>
      <c r="GA117" s="118">
        <v>0</v>
      </c>
      <c r="GB117" s="118">
        <v>0</v>
      </c>
      <c r="GC117" s="118">
        <v>0</v>
      </c>
      <c r="GD117" s="118">
        <v>3</v>
      </c>
      <c r="GE117" s="118">
        <v>6</v>
      </c>
      <c r="GF117" s="118">
        <v>26</v>
      </c>
      <c r="GG117" s="13"/>
      <c r="GH117" s="118" t="s">
        <v>49</v>
      </c>
      <c r="GI117" s="118">
        <v>8</v>
      </c>
      <c r="GJ117" s="118">
        <v>0</v>
      </c>
      <c r="GK117" s="118">
        <v>0</v>
      </c>
      <c r="GL117" s="118">
        <v>0</v>
      </c>
      <c r="GM117" s="118">
        <v>2</v>
      </c>
      <c r="GN117" s="118">
        <v>0</v>
      </c>
      <c r="GO117" s="118">
        <v>0</v>
      </c>
      <c r="GP117" s="118">
        <v>2</v>
      </c>
      <c r="GQ117" s="118">
        <v>0</v>
      </c>
      <c r="GR117" s="118">
        <v>1</v>
      </c>
      <c r="GS117" s="118">
        <v>0</v>
      </c>
      <c r="GT117" s="118">
        <v>0</v>
      </c>
      <c r="GU117" s="118">
        <v>0</v>
      </c>
      <c r="GV117" s="118">
        <v>0</v>
      </c>
      <c r="GW117" s="118">
        <v>0</v>
      </c>
      <c r="GX117" s="118">
        <v>0</v>
      </c>
      <c r="GY117" s="118">
        <v>0</v>
      </c>
      <c r="GZ117" s="118">
        <v>1</v>
      </c>
      <c r="HA117" s="118">
        <v>14</v>
      </c>
      <c r="HB117" s="13"/>
      <c r="HC117" s="118" t="s">
        <v>49</v>
      </c>
      <c r="HD117" s="118">
        <v>16</v>
      </c>
      <c r="HE117" s="118">
        <v>0</v>
      </c>
      <c r="HF117" s="118">
        <v>2</v>
      </c>
      <c r="HG117" s="118">
        <v>0</v>
      </c>
      <c r="HH117" s="118">
        <v>2</v>
      </c>
      <c r="HI117" s="118">
        <v>0</v>
      </c>
      <c r="HJ117" s="118">
        <v>0</v>
      </c>
      <c r="HK117" s="118">
        <v>1</v>
      </c>
      <c r="HL117" s="118">
        <v>1</v>
      </c>
      <c r="HM117" s="118">
        <v>0</v>
      </c>
      <c r="HN117" s="118">
        <v>0</v>
      </c>
      <c r="HO117" s="118">
        <v>0</v>
      </c>
      <c r="HP117" s="118">
        <v>0</v>
      </c>
      <c r="HQ117" s="118">
        <v>0</v>
      </c>
      <c r="HR117" s="118">
        <v>0</v>
      </c>
      <c r="HS117" s="118">
        <v>0</v>
      </c>
      <c r="HT117" s="118">
        <v>0</v>
      </c>
      <c r="HU117" s="118">
        <v>3</v>
      </c>
      <c r="HV117" s="118">
        <v>25</v>
      </c>
      <c r="HW117" s="13"/>
      <c r="HX117" s="118" t="s">
        <v>49</v>
      </c>
      <c r="HY117" s="118">
        <v>9</v>
      </c>
      <c r="HZ117" s="118">
        <v>0</v>
      </c>
      <c r="IA117" s="118">
        <v>4</v>
      </c>
      <c r="IB117" s="118">
        <v>0</v>
      </c>
      <c r="IC117" s="118">
        <v>4</v>
      </c>
      <c r="ID117" s="118">
        <v>0</v>
      </c>
      <c r="IE117" s="118">
        <v>0</v>
      </c>
      <c r="IF117" s="118">
        <v>1</v>
      </c>
      <c r="IG117" s="118">
        <v>2</v>
      </c>
      <c r="IH117" s="118">
        <v>0</v>
      </c>
      <c r="II117" s="118">
        <v>0</v>
      </c>
      <c r="IJ117" s="118">
        <v>0</v>
      </c>
      <c r="IK117" s="118">
        <v>0</v>
      </c>
      <c r="IL117" s="118">
        <v>0</v>
      </c>
      <c r="IM117" s="118">
        <v>0</v>
      </c>
      <c r="IN117" s="118">
        <v>0</v>
      </c>
      <c r="IO117" s="118">
        <v>0</v>
      </c>
      <c r="IP117" s="118">
        <v>0</v>
      </c>
      <c r="IQ117" s="118">
        <v>20</v>
      </c>
      <c r="IR117" s="13"/>
      <c r="IS117" s="118" t="s">
        <v>49</v>
      </c>
      <c r="IT117" s="118">
        <v>17</v>
      </c>
      <c r="IU117" s="118">
        <v>0</v>
      </c>
      <c r="IV117" s="118">
        <v>0</v>
      </c>
      <c r="IW117" s="118">
        <v>0</v>
      </c>
      <c r="IX117" s="118">
        <v>4</v>
      </c>
      <c r="IY117" s="118">
        <v>0</v>
      </c>
      <c r="IZ117" s="118">
        <v>0</v>
      </c>
      <c r="JA117" s="118">
        <v>4</v>
      </c>
      <c r="JB117" s="118">
        <v>4</v>
      </c>
      <c r="JC117" s="118">
        <v>0</v>
      </c>
      <c r="JD117" s="118">
        <v>0</v>
      </c>
      <c r="JE117" s="118">
        <v>0</v>
      </c>
      <c r="JF117" s="118">
        <v>0</v>
      </c>
      <c r="JG117" s="118">
        <v>3</v>
      </c>
      <c r="JH117" s="118">
        <v>1</v>
      </c>
      <c r="JI117" s="118">
        <v>0</v>
      </c>
      <c r="JJ117" s="118">
        <v>0</v>
      </c>
      <c r="JK117" s="118">
        <v>0</v>
      </c>
      <c r="JL117" s="118">
        <v>33</v>
      </c>
      <c r="JM117" s="13"/>
      <c r="JN117" s="70" t="s">
        <v>49</v>
      </c>
      <c r="JO117" s="122">
        <v>25</v>
      </c>
      <c r="JP117" s="122">
        <v>0</v>
      </c>
      <c r="JQ117" s="122">
        <v>1</v>
      </c>
      <c r="JR117" s="122">
        <v>1</v>
      </c>
      <c r="JS117" s="122">
        <v>0</v>
      </c>
      <c r="JT117" s="122">
        <v>0</v>
      </c>
      <c r="JU117" s="122">
        <v>0</v>
      </c>
      <c r="JV117" s="122">
        <v>0</v>
      </c>
      <c r="JW117" s="122">
        <v>1</v>
      </c>
      <c r="JX117" s="122">
        <v>0</v>
      </c>
      <c r="JY117" s="122">
        <v>0</v>
      </c>
      <c r="JZ117" s="122">
        <v>0</v>
      </c>
      <c r="KA117" s="122">
        <v>0</v>
      </c>
      <c r="KB117" s="122">
        <v>0</v>
      </c>
      <c r="KC117" s="122">
        <v>0</v>
      </c>
      <c r="KD117" s="122">
        <v>0</v>
      </c>
      <c r="KE117" s="122">
        <v>0</v>
      </c>
      <c r="KF117" s="122">
        <v>0</v>
      </c>
      <c r="KG117" s="123">
        <v>28</v>
      </c>
      <c r="KH117" s="13"/>
      <c r="KI117" s="118" t="s">
        <v>49</v>
      </c>
      <c r="KJ117" s="118">
        <v>5</v>
      </c>
      <c r="KK117" s="118">
        <v>0</v>
      </c>
      <c r="KL117" s="118">
        <v>1</v>
      </c>
      <c r="KM117" s="118">
        <v>0</v>
      </c>
      <c r="KN117" s="118">
        <v>1</v>
      </c>
      <c r="KO117" s="118">
        <v>3</v>
      </c>
      <c r="KP117" s="118">
        <v>1</v>
      </c>
      <c r="KQ117" s="118">
        <v>0</v>
      </c>
      <c r="KR117" s="118">
        <v>0</v>
      </c>
      <c r="KS117" s="118">
        <v>0</v>
      </c>
      <c r="KT117" s="118">
        <v>0</v>
      </c>
      <c r="KU117" s="118">
        <v>0</v>
      </c>
      <c r="KV117" s="118">
        <v>0</v>
      </c>
      <c r="KW117" s="118">
        <v>0</v>
      </c>
      <c r="KX117" s="118">
        <v>0</v>
      </c>
      <c r="KY117" s="118">
        <v>0</v>
      </c>
      <c r="KZ117" s="118">
        <v>0</v>
      </c>
      <c r="LA117" s="118">
        <v>0</v>
      </c>
      <c r="LB117" s="118">
        <v>11</v>
      </c>
      <c r="LC117" s="13"/>
      <c r="LD117" s="58" t="s">
        <v>49</v>
      </c>
      <c r="LE117" s="65">
        <v>4</v>
      </c>
      <c r="LF117" s="65">
        <v>0</v>
      </c>
      <c r="LG117" s="65">
        <v>0</v>
      </c>
      <c r="LH117" s="65">
        <v>2</v>
      </c>
      <c r="LI117" s="65">
        <v>0</v>
      </c>
      <c r="LJ117" s="65">
        <v>0</v>
      </c>
      <c r="LK117" s="65">
        <v>7</v>
      </c>
      <c r="LL117" s="65">
        <v>0</v>
      </c>
      <c r="LM117" s="65">
        <v>0</v>
      </c>
      <c r="LN117" s="65">
        <v>0</v>
      </c>
      <c r="LO117" s="65">
        <v>2</v>
      </c>
      <c r="LP117" s="65">
        <v>0</v>
      </c>
      <c r="LQ117" s="65">
        <v>0</v>
      </c>
      <c r="LR117" s="65">
        <v>0</v>
      </c>
      <c r="LS117" s="65">
        <v>0</v>
      </c>
      <c r="LT117" s="65">
        <v>0</v>
      </c>
      <c r="LU117" s="65">
        <v>0</v>
      </c>
      <c r="LV117" s="65">
        <v>0</v>
      </c>
      <c r="LW117" s="65">
        <v>0</v>
      </c>
      <c r="LX117" s="65">
        <v>0</v>
      </c>
      <c r="LY117" s="65">
        <v>0</v>
      </c>
      <c r="LZ117" s="65">
        <v>0</v>
      </c>
      <c r="MA117" s="65">
        <v>15</v>
      </c>
      <c r="MB117" s="13"/>
      <c r="MC117" s="180" t="s">
        <v>49</v>
      </c>
      <c r="MD117" s="181">
        <v>10</v>
      </c>
      <c r="ME117" s="181">
        <v>0</v>
      </c>
      <c r="MF117" s="181">
        <v>3</v>
      </c>
      <c r="MG117" s="181">
        <v>1</v>
      </c>
      <c r="MH117" s="181">
        <v>6</v>
      </c>
      <c r="MI117" s="181">
        <v>0</v>
      </c>
      <c r="MJ117" s="181">
        <v>0</v>
      </c>
      <c r="MK117" s="181">
        <v>1</v>
      </c>
      <c r="ML117" s="181">
        <v>1</v>
      </c>
      <c r="MM117" s="181">
        <v>0</v>
      </c>
      <c r="MN117" s="181">
        <v>0</v>
      </c>
      <c r="MO117" s="181">
        <v>0</v>
      </c>
      <c r="MP117" s="181">
        <v>0</v>
      </c>
      <c r="MQ117" s="181">
        <v>0</v>
      </c>
      <c r="MR117" s="181">
        <v>0</v>
      </c>
      <c r="MS117" s="181">
        <v>0</v>
      </c>
      <c r="MT117" s="181">
        <v>0</v>
      </c>
      <c r="MU117" s="181">
        <v>0</v>
      </c>
      <c r="MV117" s="181">
        <v>22</v>
      </c>
      <c r="MW117" s="13"/>
      <c r="MX117" s="74" t="s">
        <v>49</v>
      </c>
      <c r="MY117" s="127">
        <v>14</v>
      </c>
      <c r="MZ117" s="127">
        <v>0</v>
      </c>
      <c r="NA117" s="127">
        <v>2</v>
      </c>
      <c r="NB117" s="127">
        <v>0</v>
      </c>
      <c r="NC117" s="127">
        <v>5</v>
      </c>
      <c r="ND117" s="127">
        <v>0</v>
      </c>
      <c r="NE117" s="127">
        <v>0</v>
      </c>
      <c r="NF117" s="127">
        <v>0</v>
      </c>
      <c r="NG117" s="127">
        <v>2</v>
      </c>
      <c r="NH117" s="127">
        <v>0</v>
      </c>
      <c r="NI117" s="127">
        <v>1</v>
      </c>
      <c r="NJ117" s="127">
        <v>0</v>
      </c>
      <c r="NK117" s="127">
        <v>0</v>
      </c>
      <c r="NL117" s="127">
        <v>0</v>
      </c>
      <c r="NM117" s="127">
        <v>0</v>
      </c>
      <c r="NN117" s="127">
        <v>0</v>
      </c>
      <c r="NO117" s="127">
        <v>0</v>
      </c>
      <c r="NP117" s="127">
        <v>0</v>
      </c>
      <c r="NQ117" s="127">
        <v>24</v>
      </c>
      <c r="NR117" s="13"/>
      <c r="NS117" s="74" t="s">
        <v>49</v>
      </c>
      <c r="NT117" s="127">
        <v>13</v>
      </c>
      <c r="NU117" s="127">
        <v>0</v>
      </c>
      <c r="NV117" s="127">
        <v>3</v>
      </c>
      <c r="NW117" s="127">
        <v>0</v>
      </c>
      <c r="NX117" s="127">
        <v>6</v>
      </c>
      <c r="NY117" s="127">
        <v>0</v>
      </c>
      <c r="NZ117" s="127">
        <v>1</v>
      </c>
      <c r="OA117" s="127">
        <v>5</v>
      </c>
      <c r="OB117" s="127">
        <v>3</v>
      </c>
      <c r="OC117" s="127">
        <v>1</v>
      </c>
      <c r="OD117" s="127">
        <v>0</v>
      </c>
      <c r="OE117" s="127">
        <v>0</v>
      </c>
      <c r="OF117" s="127">
        <v>0</v>
      </c>
      <c r="OG117" s="127">
        <v>0</v>
      </c>
      <c r="OH117" s="127">
        <v>0</v>
      </c>
      <c r="OI117" s="127">
        <v>0</v>
      </c>
      <c r="OJ117" s="127">
        <v>0</v>
      </c>
      <c r="OK117" s="127">
        <v>0</v>
      </c>
      <c r="OL117" s="127">
        <v>32</v>
      </c>
    </row>
    <row r="118" spans="1:402" ht="15.5" thickBot="1">
      <c r="A118" s="17" t="s">
        <v>50</v>
      </c>
      <c r="B118" s="89">
        <v>118</v>
      </c>
      <c r="C118" s="89">
        <v>1</v>
      </c>
      <c r="D118" s="89">
        <v>11</v>
      </c>
      <c r="E118" s="89">
        <v>2</v>
      </c>
      <c r="F118" s="89">
        <v>0</v>
      </c>
      <c r="G118" s="89">
        <v>12</v>
      </c>
      <c r="H118" s="89">
        <v>0</v>
      </c>
      <c r="I118" s="89">
        <v>7</v>
      </c>
      <c r="J118" s="89">
        <v>1</v>
      </c>
      <c r="K118" s="89">
        <v>0</v>
      </c>
      <c r="L118" s="89">
        <v>8</v>
      </c>
      <c r="M118" s="89">
        <v>10</v>
      </c>
      <c r="N118" s="89">
        <v>0</v>
      </c>
      <c r="O118" s="89">
        <v>0</v>
      </c>
      <c r="P118" s="89">
        <v>0</v>
      </c>
      <c r="Q118" s="89">
        <v>0</v>
      </c>
      <c r="R118" s="89">
        <v>6</v>
      </c>
      <c r="S118" s="89">
        <v>1</v>
      </c>
      <c r="T118" s="89">
        <v>177</v>
      </c>
      <c r="U118" s="104"/>
      <c r="V118" s="17" t="s">
        <v>50</v>
      </c>
      <c r="W118" s="89">
        <v>82</v>
      </c>
      <c r="X118" s="89">
        <v>1</v>
      </c>
      <c r="Y118" s="89">
        <v>7</v>
      </c>
      <c r="Z118" s="89">
        <v>1</v>
      </c>
      <c r="AA118" s="89">
        <v>0</v>
      </c>
      <c r="AB118" s="89">
        <v>12</v>
      </c>
      <c r="AC118" s="89">
        <v>0</v>
      </c>
      <c r="AD118" s="89">
        <v>6</v>
      </c>
      <c r="AE118" s="89">
        <v>6</v>
      </c>
      <c r="AF118" s="89">
        <v>0</v>
      </c>
      <c r="AG118" s="109">
        <v>5</v>
      </c>
      <c r="AH118" s="89">
        <v>7</v>
      </c>
      <c r="AI118" s="89">
        <v>0</v>
      </c>
      <c r="AJ118" s="89">
        <v>0</v>
      </c>
      <c r="AK118" s="89">
        <v>0</v>
      </c>
      <c r="AL118" s="89">
        <v>1</v>
      </c>
      <c r="AM118" s="89">
        <v>4</v>
      </c>
      <c r="AN118" s="89">
        <v>0</v>
      </c>
      <c r="AO118" s="89">
        <v>132</v>
      </c>
      <c r="AP118" s="104"/>
      <c r="AQ118" s="17" t="s">
        <v>50</v>
      </c>
      <c r="AR118" s="89">
        <v>74</v>
      </c>
      <c r="AS118" s="89">
        <v>0</v>
      </c>
      <c r="AT118" s="89">
        <v>12</v>
      </c>
      <c r="AU118" s="89">
        <v>1</v>
      </c>
      <c r="AV118" s="89">
        <v>0</v>
      </c>
      <c r="AW118" s="89">
        <v>7</v>
      </c>
      <c r="AX118" s="89">
        <v>1</v>
      </c>
      <c r="AY118" s="89">
        <v>6</v>
      </c>
      <c r="AZ118" s="89">
        <v>0</v>
      </c>
      <c r="BA118" s="89">
        <v>0</v>
      </c>
      <c r="BB118" s="89">
        <v>6</v>
      </c>
      <c r="BC118" s="89">
        <v>9</v>
      </c>
      <c r="BD118" s="89">
        <v>0</v>
      </c>
      <c r="BE118" s="89">
        <v>0</v>
      </c>
      <c r="BF118" s="89">
        <v>0</v>
      </c>
      <c r="BG118" s="89">
        <v>1</v>
      </c>
      <c r="BH118" s="89">
        <v>2</v>
      </c>
      <c r="BI118" s="89">
        <v>1</v>
      </c>
      <c r="BJ118" s="89">
        <v>120</v>
      </c>
      <c r="BK118" s="13"/>
      <c r="BL118" s="115" t="s">
        <v>50</v>
      </c>
      <c r="BM118" s="118">
        <v>89</v>
      </c>
      <c r="BN118" s="118">
        <v>0</v>
      </c>
      <c r="BO118" s="118">
        <v>8</v>
      </c>
      <c r="BP118" s="118">
        <v>1</v>
      </c>
      <c r="BQ118" s="118">
        <v>0</v>
      </c>
      <c r="BR118" s="118">
        <v>7</v>
      </c>
      <c r="BS118" s="118">
        <v>1</v>
      </c>
      <c r="BT118" s="118">
        <v>3</v>
      </c>
      <c r="BU118" s="118">
        <v>2</v>
      </c>
      <c r="BV118" s="118">
        <v>0</v>
      </c>
      <c r="BW118" s="118">
        <v>8</v>
      </c>
      <c r="BX118" s="118">
        <v>5</v>
      </c>
      <c r="BY118" s="118">
        <v>0</v>
      </c>
      <c r="BZ118" s="118">
        <v>0</v>
      </c>
      <c r="CA118" s="118">
        <v>2</v>
      </c>
      <c r="CB118" s="118">
        <v>0</v>
      </c>
      <c r="CC118" s="118">
        <v>6</v>
      </c>
      <c r="CD118" s="118">
        <v>5</v>
      </c>
      <c r="CE118" s="119">
        <v>137</v>
      </c>
      <c r="CF118" s="13"/>
      <c r="CG118" s="118" t="s">
        <v>50</v>
      </c>
      <c r="CH118" s="118">
        <v>142</v>
      </c>
      <c r="CI118" s="118">
        <v>2</v>
      </c>
      <c r="CJ118" s="118">
        <v>14</v>
      </c>
      <c r="CK118" s="118">
        <v>0</v>
      </c>
      <c r="CL118" s="118">
        <v>0</v>
      </c>
      <c r="CM118" s="118">
        <v>9</v>
      </c>
      <c r="CN118" s="118">
        <v>2</v>
      </c>
      <c r="CO118" s="118">
        <v>7</v>
      </c>
      <c r="CP118" s="118">
        <v>4</v>
      </c>
      <c r="CQ118" s="118">
        <v>1</v>
      </c>
      <c r="CR118" s="118">
        <v>10</v>
      </c>
      <c r="CS118" s="118">
        <v>9</v>
      </c>
      <c r="CT118" s="118">
        <v>0</v>
      </c>
      <c r="CU118" s="118">
        <v>0</v>
      </c>
      <c r="CV118" s="118">
        <v>0</v>
      </c>
      <c r="CW118" s="118">
        <v>0</v>
      </c>
      <c r="CX118" s="118">
        <v>12</v>
      </c>
      <c r="CY118" s="118">
        <v>9</v>
      </c>
      <c r="CZ118" s="118">
        <v>221</v>
      </c>
      <c r="DA118" s="13"/>
      <c r="DB118" s="118" t="s">
        <v>50</v>
      </c>
      <c r="DC118" s="118">
        <v>168</v>
      </c>
      <c r="DD118" s="118">
        <v>1</v>
      </c>
      <c r="DE118" s="118">
        <v>13</v>
      </c>
      <c r="DF118" s="118">
        <v>0</v>
      </c>
      <c r="DG118" s="118">
        <v>0</v>
      </c>
      <c r="DH118" s="118">
        <v>11</v>
      </c>
      <c r="DI118" s="118">
        <v>0</v>
      </c>
      <c r="DJ118" s="118">
        <v>6</v>
      </c>
      <c r="DK118" s="118">
        <v>2</v>
      </c>
      <c r="DL118" s="118">
        <v>0</v>
      </c>
      <c r="DM118" s="118">
        <v>3</v>
      </c>
      <c r="DN118" s="118">
        <v>0</v>
      </c>
      <c r="DO118" s="118">
        <v>0</v>
      </c>
      <c r="DP118" s="118">
        <v>0</v>
      </c>
      <c r="DQ118" s="118">
        <v>0</v>
      </c>
      <c r="DR118" s="118">
        <v>0</v>
      </c>
      <c r="DS118" s="118">
        <v>0</v>
      </c>
      <c r="DT118" s="118">
        <v>0</v>
      </c>
      <c r="DU118" s="118">
        <v>204</v>
      </c>
      <c r="DV118" s="13"/>
      <c r="DW118" s="118" t="s">
        <v>50</v>
      </c>
      <c r="DX118" s="118">
        <v>99</v>
      </c>
      <c r="DY118" s="118">
        <v>0</v>
      </c>
      <c r="DZ118" s="118">
        <v>11</v>
      </c>
      <c r="EA118" s="118">
        <v>1</v>
      </c>
      <c r="EB118" s="118">
        <v>0</v>
      </c>
      <c r="EC118" s="118">
        <v>5</v>
      </c>
      <c r="ED118" s="118">
        <v>0</v>
      </c>
      <c r="EE118" s="118">
        <v>10</v>
      </c>
      <c r="EF118" s="118">
        <v>3</v>
      </c>
      <c r="EG118" s="118">
        <v>0</v>
      </c>
      <c r="EH118" s="118">
        <v>3</v>
      </c>
      <c r="EI118" s="118">
        <v>9</v>
      </c>
      <c r="EJ118" s="118">
        <v>0</v>
      </c>
      <c r="EK118" s="118">
        <v>0</v>
      </c>
      <c r="EL118" s="118">
        <v>1</v>
      </c>
      <c r="EM118" s="118">
        <v>1</v>
      </c>
      <c r="EN118" s="118">
        <v>3</v>
      </c>
      <c r="EO118" s="118">
        <v>1</v>
      </c>
      <c r="EP118" s="118">
        <v>147</v>
      </c>
      <c r="EQ118" s="13"/>
      <c r="ER118" s="118" t="s">
        <v>50</v>
      </c>
      <c r="ES118" s="118">
        <v>201</v>
      </c>
      <c r="ET118" s="118">
        <v>0</v>
      </c>
      <c r="EU118" s="118">
        <v>9</v>
      </c>
      <c r="EV118" s="118">
        <v>0</v>
      </c>
      <c r="EW118" s="118">
        <v>0</v>
      </c>
      <c r="EX118" s="118">
        <v>9</v>
      </c>
      <c r="EY118" s="118">
        <v>0</v>
      </c>
      <c r="EZ118" s="118">
        <v>7</v>
      </c>
      <c r="FA118" s="118">
        <v>1</v>
      </c>
      <c r="FB118" s="118">
        <v>1</v>
      </c>
      <c r="FC118" s="118">
        <v>9</v>
      </c>
      <c r="FD118" s="118">
        <v>7</v>
      </c>
      <c r="FE118" s="118">
        <v>0</v>
      </c>
      <c r="FF118" s="118">
        <v>0</v>
      </c>
      <c r="FG118" s="118">
        <v>0</v>
      </c>
      <c r="FH118" s="118">
        <v>1</v>
      </c>
      <c r="FI118" s="118">
        <v>4</v>
      </c>
      <c r="FJ118" s="118">
        <v>3</v>
      </c>
      <c r="FK118" s="118">
        <v>252</v>
      </c>
      <c r="FL118" s="13"/>
      <c r="FM118" s="118" t="s">
        <v>50</v>
      </c>
      <c r="FN118" s="118">
        <v>128</v>
      </c>
      <c r="FO118" s="118">
        <v>1</v>
      </c>
      <c r="FP118" s="118">
        <v>7</v>
      </c>
      <c r="FQ118" s="118">
        <v>1</v>
      </c>
      <c r="FR118" s="118">
        <v>0</v>
      </c>
      <c r="FS118" s="118">
        <v>13</v>
      </c>
      <c r="FT118" s="118">
        <v>2</v>
      </c>
      <c r="FU118" s="118">
        <v>5</v>
      </c>
      <c r="FV118" s="118">
        <v>5</v>
      </c>
      <c r="FW118" s="118">
        <v>0</v>
      </c>
      <c r="FX118" s="118">
        <v>6</v>
      </c>
      <c r="FY118" s="118">
        <v>11</v>
      </c>
      <c r="FZ118" s="118">
        <v>0</v>
      </c>
      <c r="GA118" s="118">
        <v>0</v>
      </c>
      <c r="GB118" s="118">
        <v>0</v>
      </c>
      <c r="GC118" s="118">
        <v>1</v>
      </c>
      <c r="GD118" s="118">
        <v>3</v>
      </c>
      <c r="GE118" s="118">
        <v>128</v>
      </c>
      <c r="GF118" s="118">
        <v>311</v>
      </c>
      <c r="GG118" s="13"/>
      <c r="GH118" s="118" t="s">
        <v>50</v>
      </c>
      <c r="GI118" s="118">
        <v>185</v>
      </c>
      <c r="GJ118" s="118">
        <v>0</v>
      </c>
      <c r="GK118" s="118">
        <v>6</v>
      </c>
      <c r="GL118" s="118">
        <v>0</v>
      </c>
      <c r="GM118" s="118">
        <v>0</v>
      </c>
      <c r="GN118" s="118">
        <v>3</v>
      </c>
      <c r="GO118" s="118">
        <v>0</v>
      </c>
      <c r="GP118" s="118">
        <v>7</v>
      </c>
      <c r="GQ118" s="118">
        <v>6</v>
      </c>
      <c r="GR118" s="118">
        <v>0</v>
      </c>
      <c r="GS118" s="118">
        <v>5</v>
      </c>
      <c r="GT118" s="118">
        <v>0</v>
      </c>
      <c r="GU118" s="118">
        <v>0</v>
      </c>
      <c r="GV118" s="118">
        <v>0</v>
      </c>
      <c r="GW118" s="118">
        <v>0</v>
      </c>
      <c r="GX118" s="118">
        <v>0</v>
      </c>
      <c r="GY118" s="118">
        <v>0</v>
      </c>
      <c r="GZ118" s="118">
        <v>14</v>
      </c>
      <c r="HA118" s="118">
        <v>226</v>
      </c>
      <c r="HB118" s="13"/>
      <c r="HC118" s="118" t="s">
        <v>50</v>
      </c>
      <c r="HD118" s="118">
        <v>136</v>
      </c>
      <c r="HE118" s="118">
        <v>0</v>
      </c>
      <c r="HF118" s="118">
        <v>15</v>
      </c>
      <c r="HG118" s="118">
        <v>4</v>
      </c>
      <c r="HH118" s="118">
        <v>0</v>
      </c>
      <c r="HI118" s="118">
        <v>7</v>
      </c>
      <c r="HJ118" s="118">
        <v>0</v>
      </c>
      <c r="HK118" s="118">
        <v>2</v>
      </c>
      <c r="HL118" s="118">
        <v>3</v>
      </c>
      <c r="HM118" s="118">
        <v>0</v>
      </c>
      <c r="HN118" s="118">
        <v>5</v>
      </c>
      <c r="HO118" s="118">
        <v>16</v>
      </c>
      <c r="HP118" s="118">
        <v>0</v>
      </c>
      <c r="HQ118" s="118">
        <v>0</v>
      </c>
      <c r="HR118" s="118">
        <v>0</v>
      </c>
      <c r="HS118" s="118">
        <v>0</v>
      </c>
      <c r="HT118" s="118">
        <v>1</v>
      </c>
      <c r="HU118" s="118">
        <v>5</v>
      </c>
      <c r="HV118" s="118">
        <v>194</v>
      </c>
      <c r="HW118" s="13"/>
      <c r="HX118" s="118" t="s">
        <v>50</v>
      </c>
      <c r="HY118" s="118">
        <v>89</v>
      </c>
      <c r="HZ118" s="118">
        <v>0</v>
      </c>
      <c r="IA118" s="118">
        <v>8</v>
      </c>
      <c r="IB118" s="118">
        <v>0</v>
      </c>
      <c r="IC118" s="118">
        <v>0</v>
      </c>
      <c r="ID118" s="118">
        <v>5</v>
      </c>
      <c r="IE118" s="118">
        <v>0</v>
      </c>
      <c r="IF118" s="118">
        <v>2</v>
      </c>
      <c r="IG118" s="118">
        <v>1</v>
      </c>
      <c r="IH118" s="118">
        <v>0</v>
      </c>
      <c r="II118" s="118">
        <v>3</v>
      </c>
      <c r="IJ118" s="118">
        <v>8</v>
      </c>
      <c r="IK118" s="118">
        <v>0</v>
      </c>
      <c r="IL118" s="118">
        <v>0</v>
      </c>
      <c r="IM118" s="118">
        <v>1</v>
      </c>
      <c r="IN118" s="118">
        <v>0</v>
      </c>
      <c r="IO118" s="118">
        <v>2</v>
      </c>
      <c r="IP118" s="118">
        <v>1</v>
      </c>
      <c r="IQ118" s="118">
        <v>120</v>
      </c>
      <c r="IR118" s="13"/>
      <c r="IS118" s="118" t="s">
        <v>50</v>
      </c>
      <c r="IT118" s="118">
        <v>160</v>
      </c>
      <c r="IU118" s="118">
        <v>0</v>
      </c>
      <c r="IV118" s="118">
        <v>14</v>
      </c>
      <c r="IW118" s="118">
        <v>4</v>
      </c>
      <c r="IX118" s="118">
        <v>0</v>
      </c>
      <c r="IY118" s="118">
        <v>5</v>
      </c>
      <c r="IZ118" s="118">
        <v>1</v>
      </c>
      <c r="JA118" s="118">
        <v>7</v>
      </c>
      <c r="JB118" s="118">
        <v>1</v>
      </c>
      <c r="JC118" s="118">
        <v>0</v>
      </c>
      <c r="JD118" s="118">
        <v>3</v>
      </c>
      <c r="JE118" s="118">
        <v>10</v>
      </c>
      <c r="JF118" s="118">
        <v>0</v>
      </c>
      <c r="JG118" s="118">
        <v>0</v>
      </c>
      <c r="JH118" s="118">
        <v>0</v>
      </c>
      <c r="JI118" s="118">
        <v>3</v>
      </c>
      <c r="JJ118" s="118">
        <v>2</v>
      </c>
      <c r="JK118" s="118">
        <v>1</v>
      </c>
      <c r="JL118" s="118">
        <v>211</v>
      </c>
      <c r="JM118" s="13"/>
      <c r="JN118" s="70" t="s">
        <v>50</v>
      </c>
      <c r="JO118" s="122">
        <v>104</v>
      </c>
      <c r="JP118" s="122">
        <v>0</v>
      </c>
      <c r="JQ118" s="122">
        <v>11</v>
      </c>
      <c r="JR118" s="122">
        <v>1</v>
      </c>
      <c r="JS118" s="122">
        <v>1</v>
      </c>
      <c r="JT118" s="122">
        <v>4</v>
      </c>
      <c r="JU118" s="122">
        <v>0</v>
      </c>
      <c r="JV118" s="122">
        <v>9</v>
      </c>
      <c r="JW118" s="122">
        <v>7</v>
      </c>
      <c r="JX118" s="122">
        <v>0</v>
      </c>
      <c r="JY118" s="122">
        <v>2</v>
      </c>
      <c r="JZ118" s="122">
        <v>11</v>
      </c>
      <c r="KA118" s="122">
        <v>0</v>
      </c>
      <c r="KB118" s="122">
        <v>0</v>
      </c>
      <c r="KC118" s="122">
        <v>0</v>
      </c>
      <c r="KD118" s="122">
        <v>1</v>
      </c>
      <c r="KE118" s="122">
        <v>0</v>
      </c>
      <c r="KF118" s="122">
        <v>4</v>
      </c>
      <c r="KG118" s="123">
        <v>155</v>
      </c>
      <c r="KH118" s="13"/>
      <c r="KI118" s="118" t="s">
        <v>50</v>
      </c>
      <c r="KJ118" s="118">
        <v>40</v>
      </c>
      <c r="KK118" s="118">
        <v>0</v>
      </c>
      <c r="KL118" s="118">
        <v>4</v>
      </c>
      <c r="KM118" s="118">
        <v>30</v>
      </c>
      <c r="KN118" s="118">
        <v>0</v>
      </c>
      <c r="KO118" s="118">
        <v>6</v>
      </c>
      <c r="KP118" s="118">
        <v>0</v>
      </c>
      <c r="KQ118" s="118">
        <v>0</v>
      </c>
      <c r="KR118" s="118">
        <v>0</v>
      </c>
      <c r="KS118" s="118">
        <v>0</v>
      </c>
      <c r="KT118" s="118">
        <v>4</v>
      </c>
      <c r="KU118" s="118">
        <v>0</v>
      </c>
      <c r="KV118" s="118">
        <v>1</v>
      </c>
      <c r="KW118" s="118">
        <v>8</v>
      </c>
      <c r="KX118" s="118">
        <v>0</v>
      </c>
      <c r="KY118" s="118">
        <v>0</v>
      </c>
      <c r="KZ118" s="118">
        <v>0</v>
      </c>
      <c r="LA118" s="118">
        <v>0</v>
      </c>
      <c r="LB118" s="118">
        <v>93</v>
      </c>
      <c r="LC118" s="13"/>
      <c r="LD118" s="58" t="s">
        <v>50</v>
      </c>
      <c r="LE118" s="65">
        <v>72</v>
      </c>
      <c r="LF118" s="65">
        <v>2</v>
      </c>
      <c r="LG118" s="65">
        <v>15</v>
      </c>
      <c r="LH118" s="65">
        <v>57</v>
      </c>
      <c r="LI118" s="65">
        <v>1</v>
      </c>
      <c r="LJ118" s="65">
        <v>2</v>
      </c>
      <c r="LK118" s="65">
        <v>3</v>
      </c>
      <c r="LL118" s="65">
        <v>10</v>
      </c>
      <c r="LM118" s="65">
        <v>0</v>
      </c>
      <c r="LN118" s="65">
        <v>2</v>
      </c>
      <c r="LO118" s="65">
        <v>14</v>
      </c>
      <c r="LP118" s="65">
        <v>0</v>
      </c>
      <c r="LQ118" s="65">
        <v>3</v>
      </c>
      <c r="LR118" s="65">
        <v>3</v>
      </c>
      <c r="LS118" s="65">
        <v>1</v>
      </c>
      <c r="LT118" s="65">
        <v>0</v>
      </c>
      <c r="LU118" s="65">
        <v>0</v>
      </c>
      <c r="LV118" s="65">
        <v>2</v>
      </c>
      <c r="LW118" s="65">
        <v>0</v>
      </c>
      <c r="LX118" s="65">
        <v>0</v>
      </c>
      <c r="LY118" s="65">
        <v>3</v>
      </c>
      <c r="LZ118" s="65">
        <v>3</v>
      </c>
      <c r="MA118" s="65">
        <v>193</v>
      </c>
      <c r="MB118" s="13"/>
      <c r="MC118" s="180" t="s">
        <v>50</v>
      </c>
      <c r="MD118" s="181">
        <v>122</v>
      </c>
      <c r="ME118" s="181">
        <v>2</v>
      </c>
      <c r="MF118" s="181">
        <v>12</v>
      </c>
      <c r="MG118" s="181">
        <v>4</v>
      </c>
      <c r="MH118" s="181">
        <v>1</v>
      </c>
      <c r="MI118" s="181">
        <v>14</v>
      </c>
      <c r="MJ118" s="181">
        <v>0</v>
      </c>
      <c r="MK118" s="181">
        <v>14</v>
      </c>
      <c r="ML118" s="181">
        <v>6</v>
      </c>
      <c r="MM118" s="181">
        <v>0</v>
      </c>
      <c r="MN118" s="181">
        <v>3</v>
      </c>
      <c r="MO118" s="181">
        <v>4</v>
      </c>
      <c r="MP118" s="181">
        <v>3</v>
      </c>
      <c r="MQ118" s="181">
        <v>3</v>
      </c>
      <c r="MR118" s="181">
        <v>0</v>
      </c>
      <c r="MS118" s="181">
        <v>0</v>
      </c>
      <c r="MT118" s="181">
        <v>0</v>
      </c>
      <c r="MU118" s="181">
        <v>10</v>
      </c>
      <c r="MV118" s="181">
        <v>198</v>
      </c>
      <c r="MW118" s="13"/>
      <c r="MX118" s="74" t="s">
        <v>50</v>
      </c>
      <c r="MY118" s="127">
        <v>85</v>
      </c>
      <c r="MZ118" s="127">
        <v>0</v>
      </c>
      <c r="NA118" s="127">
        <v>8</v>
      </c>
      <c r="NB118" s="127">
        <v>2</v>
      </c>
      <c r="NC118" s="127">
        <v>1</v>
      </c>
      <c r="ND118" s="127">
        <v>4</v>
      </c>
      <c r="NE118" s="127">
        <v>0</v>
      </c>
      <c r="NF118" s="127">
        <v>4</v>
      </c>
      <c r="NG118" s="127">
        <v>13</v>
      </c>
      <c r="NH118" s="127">
        <v>1</v>
      </c>
      <c r="NI118" s="127">
        <v>9</v>
      </c>
      <c r="NJ118" s="127">
        <v>6</v>
      </c>
      <c r="NK118" s="127">
        <v>2</v>
      </c>
      <c r="NL118" s="127">
        <v>0</v>
      </c>
      <c r="NM118" s="127">
        <v>0</v>
      </c>
      <c r="NN118" s="127">
        <v>0</v>
      </c>
      <c r="NO118" s="127">
        <v>1</v>
      </c>
      <c r="NP118" s="127">
        <v>5</v>
      </c>
      <c r="NQ118" s="127">
        <v>141</v>
      </c>
      <c r="NR118" s="13"/>
      <c r="NS118" s="74" t="s">
        <v>50</v>
      </c>
      <c r="NT118" s="127">
        <v>146</v>
      </c>
      <c r="NU118" s="127">
        <v>0</v>
      </c>
      <c r="NV118" s="127">
        <v>5</v>
      </c>
      <c r="NW118" s="127">
        <v>1</v>
      </c>
      <c r="NX118" s="127">
        <v>1</v>
      </c>
      <c r="NY118" s="127">
        <v>6</v>
      </c>
      <c r="NZ118" s="127">
        <v>1</v>
      </c>
      <c r="OA118" s="127">
        <v>5</v>
      </c>
      <c r="OB118" s="127">
        <v>6</v>
      </c>
      <c r="OC118" s="127">
        <v>0</v>
      </c>
      <c r="OD118" s="127">
        <v>4</v>
      </c>
      <c r="OE118" s="127">
        <v>2</v>
      </c>
      <c r="OF118" s="127">
        <v>0</v>
      </c>
      <c r="OG118" s="127">
        <v>0</v>
      </c>
      <c r="OH118" s="127">
        <v>0</v>
      </c>
      <c r="OI118" s="127">
        <v>3</v>
      </c>
      <c r="OJ118" s="127">
        <v>7</v>
      </c>
      <c r="OK118" s="127">
        <v>5</v>
      </c>
      <c r="OL118" s="127">
        <v>192</v>
      </c>
    </row>
    <row r="119" spans="1:402" ht="15.5" thickBot="1">
      <c r="A119" s="17" t="s">
        <v>51</v>
      </c>
      <c r="B119" s="89">
        <v>194</v>
      </c>
      <c r="C119" s="89">
        <v>1</v>
      </c>
      <c r="D119" s="89">
        <v>13</v>
      </c>
      <c r="E119" s="89">
        <v>0</v>
      </c>
      <c r="F119" s="89">
        <v>5</v>
      </c>
      <c r="G119" s="89">
        <v>3</v>
      </c>
      <c r="H119" s="89">
        <v>4</v>
      </c>
      <c r="I119" s="89">
        <v>15</v>
      </c>
      <c r="J119" s="89">
        <v>13</v>
      </c>
      <c r="K119" s="89">
        <v>8</v>
      </c>
      <c r="L119" s="89">
        <v>22</v>
      </c>
      <c r="M119" s="89">
        <v>2</v>
      </c>
      <c r="N119" s="89">
        <v>2</v>
      </c>
      <c r="O119" s="89">
        <v>0</v>
      </c>
      <c r="P119" s="89">
        <v>0</v>
      </c>
      <c r="Q119" s="89">
        <v>0</v>
      </c>
      <c r="R119" s="89">
        <v>35</v>
      </c>
      <c r="S119" s="89">
        <v>46</v>
      </c>
      <c r="T119" s="89">
        <v>363</v>
      </c>
      <c r="U119" s="104"/>
      <c r="V119" s="17" t="s">
        <v>51</v>
      </c>
      <c r="W119" s="89">
        <v>211</v>
      </c>
      <c r="X119" s="89">
        <v>1</v>
      </c>
      <c r="Y119" s="89">
        <v>22</v>
      </c>
      <c r="Z119" s="89">
        <v>4</v>
      </c>
      <c r="AA119" s="89">
        <v>5</v>
      </c>
      <c r="AB119" s="89">
        <v>0</v>
      </c>
      <c r="AC119" s="89">
        <v>0</v>
      </c>
      <c r="AD119" s="89">
        <v>30</v>
      </c>
      <c r="AE119" s="89">
        <v>12</v>
      </c>
      <c r="AF119" s="89">
        <v>3</v>
      </c>
      <c r="AG119" s="109">
        <v>16</v>
      </c>
      <c r="AH119" s="89">
        <v>2</v>
      </c>
      <c r="AI119" s="89">
        <v>3</v>
      </c>
      <c r="AJ119" s="89">
        <v>0</v>
      </c>
      <c r="AK119" s="89">
        <v>0</v>
      </c>
      <c r="AL119" s="89">
        <v>7</v>
      </c>
      <c r="AM119" s="89">
        <v>48</v>
      </c>
      <c r="AN119" s="89">
        <v>4</v>
      </c>
      <c r="AO119" s="89">
        <v>368</v>
      </c>
      <c r="AP119" s="104"/>
      <c r="AQ119" s="17" t="s">
        <v>51</v>
      </c>
      <c r="AR119" s="89">
        <v>179</v>
      </c>
      <c r="AS119" s="89">
        <v>0</v>
      </c>
      <c r="AT119" s="89">
        <v>21</v>
      </c>
      <c r="AU119" s="89">
        <v>1</v>
      </c>
      <c r="AV119" s="89">
        <v>3</v>
      </c>
      <c r="AW119" s="89">
        <v>4</v>
      </c>
      <c r="AX119" s="89">
        <v>1</v>
      </c>
      <c r="AY119" s="89">
        <v>31</v>
      </c>
      <c r="AZ119" s="89">
        <v>12</v>
      </c>
      <c r="BA119" s="89">
        <v>2</v>
      </c>
      <c r="BB119" s="89">
        <v>4</v>
      </c>
      <c r="BC119" s="89">
        <v>8</v>
      </c>
      <c r="BD119" s="89">
        <v>0</v>
      </c>
      <c r="BE119" s="89">
        <v>0</v>
      </c>
      <c r="BF119" s="89">
        <v>0</v>
      </c>
      <c r="BG119" s="89">
        <v>5</v>
      </c>
      <c r="BH119" s="89">
        <v>19</v>
      </c>
      <c r="BI119" s="89">
        <v>9</v>
      </c>
      <c r="BJ119" s="89">
        <v>299</v>
      </c>
      <c r="BK119" s="13"/>
      <c r="BL119" s="115" t="s">
        <v>51</v>
      </c>
      <c r="BM119" s="118">
        <v>118</v>
      </c>
      <c r="BN119" s="118">
        <v>0</v>
      </c>
      <c r="BO119" s="118">
        <v>7</v>
      </c>
      <c r="BP119" s="118">
        <v>3</v>
      </c>
      <c r="BQ119" s="118">
        <v>2</v>
      </c>
      <c r="BR119" s="118">
        <v>3</v>
      </c>
      <c r="BS119" s="118">
        <v>0</v>
      </c>
      <c r="BT119" s="118">
        <v>29</v>
      </c>
      <c r="BU119" s="118">
        <v>2</v>
      </c>
      <c r="BV119" s="118">
        <v>2</v>
      </c>
      <c r="BW119" s="118">
        <v>11</v>
      </c>
      <c r="BX119" s="118">
        <v>0</v>
      </c>
      <c r="BY119" s="118">
        <v>0</v>
      </c>
      <c r="BZ119" s="118">
        <v>0</v>
      </c>
      <c r="CA119" s="118">
        <v>0</v>
      </c>
      <c r="CB119" s="118">
        <v>1</v>
      </c>
      <c r="CC119" s="118">
        <v>16</v>
      </c>
      <c r="CD119" s="118">
        <v>7</v>
      </c>
      <c r="CE119" s="119">
        <v>201</v>
      </c>
      <c r="CF119" s="13"/>
      <c r="CG119" s="118" t="s">
        <v>51</v>
      </c>
      <c r="CH119" s="118">
        <v>121</v>
      </c>
      <c r="CI119" s="118">
        <v>0</v>
      </c>
      <c r="CJ119" s="118">
        <v>8</v>
      </c>
      <c r="CK119" s="118">
        <v>2</v>
      </c>
      <c r="CL119" s="118">
        <v>2</v>
      </c>
      <c r="CM119" s="118">
        <v>1</v>
      </c>
      <c r="CN119" s="118">
        <v>3</v>
      </c>
      <c r="CO119" s="118">
        <v>16</v>
      </c>
      <c r="CP119" s="118">
        <v>9</v>
      </c>
      <c r="CQ119" s="118">
        <v>4</v>
      </c>
      <c r="CR119" s="118">
        <v>10</v>
      </c>
      <c r="CS119" s="118">
        <v>1</v>
      </c>
      <c r="CT119" s="118">
        <v>0</v>
      </c>
      <c r="CU119" s="118">
        <v>0</v>
      </c>
      <c r="CV119" s="118">
        <v>0</v>
      </c>
      <c r="CW119" s="118">
        <v>5</v>
      </c>
      <c r="CX119" s="118">
        <v>0</v>
      </c>
      <c r="CY119" s="118">
        <v>6</v>
      </c>
      <c r="CZ119" s="118">
        <v>188</v>
      </c>
      <c r="DA119" s="13"/>
      <c r="DB119" s="118" t="s">
        <v>51</v>
      </c>
      <c r="DC119" s="118">
        <v>110</v>
      </c>
      <c r="DD119" s="118">
        <v>0</v>
      </c>
      <c r="DE119" s="118">
        <v>13</v>
      </c>
      <c r="DF119" s="118">
        <v>2</v>
      </c>
      <c r="DG119" s="118">
        <v>1</v>
      </c>
      <c r="DH119" s="118">
        <v>1</v>
      </c>
      <c r="DI119" s="118">
        <v>1</v>
      </c>
      <c r="DJ119" s="118">
        <v>15</v>
      </c>
      <c r="DK119" s="118">
        <v>19</v>
      </c>
      <c r="DL119" s="118">
        <v>2</v>
      </c>
      <c r="DM119" s="118">
        <v>13</v>
      </c>
      <c r="DN119" s="118">
        <v>1</v>
      </c>
      <c r="DO119" s="118">
        <v>0</v>
      </c>
      <c r="DP119" s="118">
        <v>0</v>
      </c>
      <c r="DQ119" s="118">
        <v>0</v>
      </c>
      <c r="DR119" s="118">
        <v>4</v>
      </c>
      <c r="DS119" s="118">
        <v>0</v>
      </c>
      <c r="DT119" s="118">
        <v>14</v>
      </c>
      <c r="DU119" s="118">
        <v>196</v>
      </c>
      <c r="DV119" s="13"/>
      <c r="DW119" s="118" t="s">
        <v>51</v>
      </c>
      <c r="DX119" s="118">
        <v>99</v>
      </c>
      <c r="DY119" s="118">
        <v>0</v>
      </c>
      <c r="DZ119" s="118">
        <v>15</v>
      </c>
      <c r="EA119" s="118">
        <v>9</v>
      </c>
      <c r="EB119" s="118">
        <v>2</v>
      </c>
      <c r="EC119" s="118">
        <v>0</v>
      </c>
      <c r="ED119" s="118">
        <v>0</v>
      </c>
      <c r="EE119" s="118">
        <v>23</v>
      </c>
      <c r="EF119" s="118">
        <v>9</v>
      </c>
      <c r="EG119" s="118">
        <v>1</v>
      </c>
      <c r="EH119" s="118">
        <v>10</v>
      </c>
      <c r="EI119" s="118">
        <v>3</v>
      </c>
      <c r="EJ119" s="118">
        <v>0</v>
      </c>
      <c r="EK119" s="118">
        <v>0</v>
      </c>
      <c r="EL119" s="118">
        <v>0</v>
      </c>
      <c r="EM119" s="118">
        <v>6</v>
      </c>
      <c r="EN119" s="118">
        <v>1</v>
      </c>
      <c r="EO119" s="118">
        <v>3</v>
      </c>
      <c r="EP119" s="118">
        <v>181</v>
      </c>
      <c r="EQ119" s="13"/>
      <c r="ER119" s="118" t="s">
        <v>51</v>
      </c>
      <c r="ES119" s="118">
        <v>119</v>
      </c>
      <c r="ET119" s="118">
        <v>0</v>
      </c>
      <c r="EU119" s="118">
        <v>9</v>
      </c>
      <c r="EV119" s="118">
        <v>4</v>
      </c>
      <c r="EW119" s="118">
        <v>2</v>
      </c>
      <c r="EX119" s="118">
        <v>2</v>
      </c>
      <c r="EY119" s="118">
        <v>1</v>
      </c>
      <c r="EZ119" s="118">
        <v>27</v>
      </c>
      <c r="FA119" s="118">
        <v>19</v>
      </c>
      <c r="FB119" s="118">
        <v>0</v>
      </c>
      <c r="FC119" s="118">
        <v>8</v>
      </c>
      <c r="FD119" s="118">
        <v>0</v>
      </c>
      <c r="FE119" s="118">
        <v>0</v>
      </c>
      <c r="FF119" s="118">
        <v>2</v>
      </c>
      <c r="FG119" s="118">
        <v>0</v>
      </c>
      <c r="FH119" s="118">
        <v>3</v>
      </c>
      <c r="FI119" s="118">
        <v>0</v>
      </c>
      <c r="FJ119" s="118">
        <v>4</v>
      </c>
      <c r="FK119" s="118">
        <v>200</v>
      </c>
      <c r="FL119" s="13"/>
      <c r="FM119" s="118" t="s">
        <v>51</v>
      </c>
      <c r="FN119" s="118">
        <v>133</v>
      </c>
      <c r="FO119" s="118">
        <v>0</v>
      </c>
      <c r="FP119" s="118">
        <v>13</v>
      </c>
      <c r="FQ119" s="118">
        <v>4</v>
      </c>
      <c r="FR119" s="118">
        <v>3</v>
      </c>
      <c r="FS119" s="118">
        <v>0</v>
      </c>
      <c r="FT119" s="118">
        <v>1</v>
      </c>
      <c r="FU119" s="118">
        <v>4</v>
      </c>
      <c r="FV119" s="118">
        <v>10</v>
      </c>
      <c r="FW119" s="118">
        <v>0</v>
      </c>
      <c r="FX119" s="118">
        <v>15</v>
      </c>
      <c r="FY119" s="118">
        <v>1</v>
      </c>
      <c r="FZ119" s="118">
        <v>0</v>
      </c>
      <c r="GA119" s="118">
        <v>0</v>
      </c>
      <c r="GB119" s="118">
        <v>0</v>
      </c>
      <c r="GC119" s="118">
        <v>10</v>
      </c>
      <c r="GD119" s="118">
        <v>0</v>
      </c>
      <c r="GE119" s="118">
        <v>9</v>
      </c>
      <c r="GF119" s="118">
        <v>203</v>
      </c>
      <c r="GG119" s="13"/>
      <c r="GH119" s="118" t="s">
        <v>51</v>
      </c>
      <c r="GI119" s="118">
        <v>109</v>
      </c>
      <c r="GJ119" s="118">
        <v>0</v>
      </c>
      <c r="GK119" s="118">
        <v>11</v>
      </c>
      <c r="GL119" s="118">
        <v>3</v>
      </c>
      <c r="GM119" s="118">
        <v>0</v>
      </c>
      <c r="GN119" s="118">
        <v>0</v>
      </c>
      <c r="GO119" s="118">
        <v>1</v>
      </c>
      <c r="GP119" s="118">
        <v>17</v>
      </c>
      <c r="GQ119" s="118">
        <v>26</v>
      </c>
      <c r="GR119" s="118">
        <v>3</v>
      </c>
      <c r="GS119" s="118">
        <v>16</v>
      </c>
      <c r="GT119" s="118">
        <v>0</v>
      </c>
      <c r="GU119" s="118">
        <v>0</v>
      </c>
      <c r="GV119" s="118">
        <v>0</v>
      </c>
      <c r="GW119" s="118">
        <v>0</v>
      </c>
      <c r="GX119" s="118">
        <v>8</v>
      </c>
      <c r="GY119" s="118">
        <v>0</v>
      </c>
      <c r="GZ119" s="118">
        <v>1</v>
      </c>
      <c r="HA119" s="118">
        <v>195</v>
      </c>
      <c r="HB119" s="13"/>
      <c r="HC119" s="118" t="s">
        <v>51</v>
      </c>
      <c r="HD119" s="118">
        <v>125</v>
      </c>
      <c r="HE119" s="118">
        <v>0</v>
      </c>
      <c r="HF119" s="118">
        <v>7</v>
      </c>
      <c r="HG119" s="118">
        <v>2</v>
      </c>
      <c r="HH119" s="118">
        <v>2</v>
      </c>
      <c r="HI119" s="118">
        <v>1</v>
      </c>
      <c r="HJ119" s="118">
        <v>7</v>
      </c>
      <c r="HK119" s="118">
        <v>18</v>
      </c>
      <c r="HL119" s="118">
        <v>23</v>
      </c>
      <c r="HM119" s="118">
        <v>2</v>
      </c>
      <c r="HN119" s="118">
        <v>6</v>
      </c>
      <c r="HO119" s="118">
        <v>4</v>
      </c>
      <c r="HP119" s="118">
        <v>0</v>
      </c>
      <c r="HQ119" s="118">
        <v>1</v>
      </c>
      <c r="HR119" s="118">
        <v>0</v>
      </c>
      <c r="HS119" s="118">
        <v>7</v>
      </c>
      <c r="HT119" s="118">
        <v>5</v>
      </c>
      <c r="HU119" s="118">
        <v>8</v>
      </c>
      <c r="HV119" s="118">
        <v>218</v>
      </c>
      <c r="HW119" s="13"/>
      <c r="HX119" s="118" t="s">
        <v>51</v>
      </c>
      <c r="HY119" s="118">
        <v>71</v>
      </c>
      <c r="HZ119" s="118">
        <v>0</v>
      </c>
      <c r="IA119" s="118">
        <v>7</v>
      </c>
      <c r="IB119" s="118">
        <v>1</v>
      </c>
      <c r="IC119" s="118">
        <v>0</v>
      </c>
      <c r="ID119" s="118">
        <v>1</v>
      </c>
      <c r="IE119" s="118">
        <v>2</v>
      </c>
      <c r="IF119" s="118">
        <v>7</v>
      </c>
      <c r="IG119" s="118">
        <v>8</v>
      </c>
      <c r="IH119" s="118">
        <v>2</v>
      </c>
      <c r="II119" s="118">
        <v>5</v>
      </c>
      <c r="IJ119" s="118">
        <v>1</v>
      </c>
      <c r="IK119" s="118">
        <v>0</v>
      </c>
      <c r="IL119" s="118">
        <v>0</v>
      </c>
      <c r="IM119" s="118">
        <v>0</v>
      </c>
      <c r="IN119" s="118">
        <v>4</v>
      </c>
      <c r="IO119" s="118">
        <v>3</v>
      </c>
      <c r="IP119" s="118">
        <v>3</v>
      </c>
      <c r="IQ119" s="118">
        <v>115</v>
      </c>
      <c r="IR119" s="13"/>
      <c r="IS119" s="118" t="s">
        <v>51</v>
      </c>
      <c r="IT119" s="118">
        <v>118</v>
      </c>
      <c r="IU119" s="118">
        <v>0</v>
      </c>
      <c r="IV119" s="118">
        <v>25</v>
      </c>
      <c r="IW119" s="118">
        <v>4</v>
      </c>
      <c r="IX119" s="118">
        <v>2</v>
      </c>
      <c r="IY119" s="118">
        <v>4</v>
      </c>
      <c r="IZ119" s="118">
        <v>2</v>
      </c>
      <c r="JA119" s="118">
        <v>6</v>
      </c>
      <c r="JB119" s="118">
        <v>15</v>
      </c>
      <c r="JC119" s="118">
        <v>4</v>
      </c>
      <c r="JD119" s="118">
        <v>18</v>
      </c>
      <c r="JE119" s="118">
        <v>0</v>
      </c>
      <c r="JF119" s="118">
        <v>0</v>
      </c>
      <c r="JG119" s="118">
        <v>1</v>
      </c>
      <c r="JH119" s="118">
        <v>0</v>
      </c>
      <c r="JI119" s="118">
        <v>9</v>
      </c>
      <c r="JJ119" s="118">
        <v>1</v>
      </c>
      <c r="JK119" s="118">
        <v>9</v>
      </c>
      <c r="JL119" s="118">
        <v>218</v>
      </c>
      <c r="JM119" s="13"/>
      <c r="JN119" s="70" t="s">
        <v>51</v>
      </c>
      <c r="JO119" s="122">
        <v>96</v>
      </c>
      <c r="JP119" s="122">
        <v>1</v>
      </c>
      <c r="JQ119" s="122">
        <v>13</v>
      </c>
      <c r="JR119" s="122">
        <v>6</v>
      </c>
      <c r="JS119" s="122">
        <v>0</v>
      </c>
      <c r="JT119" s="122">
        <v>2</v>
      </c>
      <c r="JU119" s="122">
        <v>0</v>
      </c>
      <c r="JV119" s="122">
        <v>18</v>
      </c>
      <c r="JW119" s="122">
        <v>13</v>
      </c>
      <c r="JX119" s="122">
        <v>0</v>
      </c>
      <c r="JY119" s="122">
        <v>20</v>
      </c>
      <c r="JZ119" s="122">
        <v>2</v>
      </c>
      <c r="KA119" s="122">
        <v>0</v>
      </c>
      <c r="KB119" s="122">
        <v>1</v>
      </c>
      <c r="KC119" s="122">
        <v>0</v>
      </c>
      <c r="KD119" s="122">
        <v>6</v>
      </c>
      <c r="KE119" s="122">
        <v>1</v>
      </c>
      <c r="KF119" s="122">
        <v>2</v>
      </c>
      <c r="KG119" s="123">
        <v>181</v>
      </c>
      <c r="KH119" s="13"/>
      <c r="KI119" s="118" t="s">
        <v>51</v>
      </c>
      <c r="KJ119" s="118">
        <v>90</v>
      </c>
      <c r="KK119" s="118">
        <v>0</v>
      </c>
      <c r="KL119" s="118">
        <v>9</v>
      </c>
      <c r="KM119" s="118">
        <v>1</v>
      </c>
      <c r="KN119" s="118">
        <v>3</v>
      </c>
      <c r="KO119" s="118">
        <v>6</v>
      </c>
      <c r="KP119" s="118">
        <v>1</v>
      </c>
      <c r="KQ119" s="118">
        <v>3</v>
      </c>
      <c r="KR119" s="118">
        <v>2</v>
      </c>
      <c r="KS119" s="118">
        <v>1</v>
      </c>
      <c r="KT119" s="118">
        <v>9</v>
      </c>
      <c r="KU119" s="118">
        <v>1</v>
      </c>
      <c r="KV119" s="118">
        <v>13</v>
      </c>
      <c r="KW119" s="118">
        <v>2</v>
      </c>
      <c r="KX119" s="118">
        <v>0</v>
      </c>
      <c r="KY119" s="118">
        <v>0</v>
      </c>
      <c r="KZ119" s="118">
        <v>1</v>
      </c>
      <c r="LA119" s="118">
        <v>2</v>
      </c>
      <c r="LB119" s="118">
        <v>144</v>
      </c>
      <c r="LC119" s="13"/>
      <c r="LD119" s="58" t="s">
        <v>51</v>
      </c>
      <c r="LE119" s="65">
        <v>64</v>
      </c>
      <c r="LF119" s="65">
        <v>0</v>
      </c>
      <c r="LG119" s="65">
        <v>23</v>
      </c>
      <c r="LH119" s="65">
        <v>2</v>
      </c>
      <c r="LI119" s="65">
        <v>2</v>
      </c>
      <c r="LJ119" s="65">
        <v>5</v>
      </c>
      <c r="LK119" s="65">
        <v>0</v>
      </c>
      <c r="LL119" s="65">
        <v>1</v>
      </c>
      <c r="LM119" s="65">
        <v>1</v>
      </c>
      <c r="LN119" s="65">
        <v>1</v>
      </c>
      <c r="LO119" s="65">
        <v>0</v>
      </c>
      <c r="LP119" s="65">
        <v>2</v>
      </c>
      <c r="LQ119" s="65">
        <v>16</v>
      </c>
      <c r="LR119" s="65">
        <v>1</v>
      </c>
      <c r="LS119" s="65">
        <v>0</v>
      </c>
      <c r="LT119" s="65">
        <v>0</v>
      </c>
      <c r="LU119" s="65">
        <v>0</v>
      </c>
      <c r="LV119" s="65">
        <v>0</v>
      </c>
      <c r="LW119" s="65">
        <v>0</v>
      </c>
      <c r="LX119" s="65">
        <v>9</v>
      </c>
      <c r="LY119" s="65">
        <v>0</v>
      </c>
      <c r="LZ119" s="65">
        <v>4</v>
      </c>
      <c r="MA119" s="65">
        <v>131</v>
      </c>
      <c r="MB119" s="13"/>
      <c r="MC119" s="180" t="s">
        <v>51</v>
      </c>
      <c r="MD119" s="181">
        <v>91</v>
      </c>
      <c r="ME119" s="181">
        <v>0</v>
      </c>
      <c r="MF119" s="181">
        <v>11</v>
      </c>
      <c r="MG119" s="181">
        <v>0</v>
      </c>
      <c r="MH119" s="181">
        <v>1</v>
      </c>
      <c r="MI119" s="181">
        <v>2</v>
      </c>
      <c r="MJ119" s="181">
        <v>7</v>
      </c>
      <c r="MK119" s="181">
        <v>8</v>
      </c>
      <c r="ML119" s="181">
        <v>6</v>
      </c>
      <c r="MM119" s="181">
        <v>2</v>
      </c>
      <c r="MN119" s="181">
        <v>16</v>
      </c>
      <c r="MO119" s="181">
        <v>0</v>
      </c>
      <c r="MP119" s="181">
        <v>0</v>
      </c>
      <c r="MQ119" s="181">
        <v>1</v>
      </c>
      <c r="MR119" s="181">
        <v>0</v>
      </c>
      <c r="MS119" s="181">
        <v>6</v>
      </c>
      <c r="MT119" s="181">
        <v>0</v>
      </c>
      <c r="MU119" s="181">
        <v>3</v>
      </c>
      <c r="MV119" s="181">
        <v>154</v>
      </c>
      <c r="MW119" s="13"/>
      <c r="MX119" s="74" t="s">
        <v>51</v>
      </c>
      <c r="MY119" s="127">
        <v>111</v>
      </c>
      <c r="MZ119" s="127">
        <v>0</v>
      </c>
      <c r="NA119" s="127">
        <v>28</v>
      </c>
      <c r="NB119" s="127">
        <v>5</v>
      </c>
      <c r="NC119" s="127">
        <v>6</v>
      </c>
      <c r="ND119" s="127">
        <v>4</v>
      </c>
      <c r="NE119" s="127">
        <v>4</v>
      </c>
      <c r="NF119" s="127">
        <v>15</v>
      </c>
      <c r="NG119" s="127">
        <v>17</v>
      </c>
      <c r="NH119" s="127">
        <v>3</v>
      </c>
      <c r="NI119" s="127">
        <v>12</v>
      </c>
      <c r="NJ119" s="127">
        <v>1</v>
      </c>
      <c r="NK119" s="127">
        <v>0</v>
      </c>
      <c r="NL119" s="127">
        <v>2</v>
      </c>
      <c r="NM119" s="127">
        <v>0</v>
      </c>
      <c r="NN119" s="127">
        <v>12</v>
      </c>
      <c r="NO119" s="127">
        <v>7</v>
      </c>
      <c r="NP119" s="127">
        <v>7</v>
      </c>
      <c r="NQ119" s="127">
        <v>234</v>
      </c>
      <c r="NR119" s="13"/>
      <c r="NS119" s="74" t="s">
        <v>51</v>
      </c>
      <c r="NT119" s="127">
        <v>128</v>
      </c>
      <c r="NU119" s="127">
        <v>0</v>
      </c>
      <c r="NV119" s="127">
        <v>24</v>
      </c>
      <c r="NW119" s="127">
        <v>3</v>
      </c>
      <c r="NX119" s="127">
        <v>2</v>
      </c>
      <c r="NY119" s="127">
        <v>2</v>
      </c>
      <c r="NZ119" s="127">
        <v>0</v>
      </c>
      <c r="OA119" s="127">
        <v>11</v>
      </c>
      <c r="OB119" s="127">
        <v>7</v>
      </c>
      <c r="OC119" s="127">
        <v>4</v>
      </c>
      <c r="OD119" s="127">
        <v>12</v>
      </c>
      <c r="OE119" s="127">
        <v>1</v>
      </c>
      <c r="OF119" s="127">
        <v>0</v>
      </c>
      <c r="OG119" s="127">
        <v>0</v>
      </c>
      <c r="OH119" s="127">
        <v>0</v>
      </c>
      <c r="OI119" s="127">
        <v>9</v>
      </c>
      <c r="OJ119" s="127">
        <v>0</v>
      </c>
      <c r="OK119" s="127">
        <v>7</v>
      </c>
      <c r="OL119" s="127">
        <v>210</v>
      </c>
    </row>
    <row r="120" spans="1:402" ht="15.5" thickBot="1">
      <c r="A120" s="17" t="s">
        <v>52</v>
      </c>
      <c r="B120" s="89">
        <v>90</v>
      </c>
      <c r="C120" s="89">
        <v>0</v>
      </c>
      <c r="D120" s="89">
        <v>4</v>
      </c>
      <c r="E120" s="89">
        <v>0</v>
      </c>
      <c r="F120" s="89">
        <v>2</v>
      </c>
      <c r="G120" s="89">
        <v>0</v>
      </c>
      <c r="H120" s="89">
        <v>2</v>
      </c>
      <c r="I120" s="89">
        <v>7</v>
      </c>
      <c r="J120" s="89">
        <v>13</v>
      </c>
      <c r="K120" s="89">
        <v>0</v>
      </c>
      <c r="L120" s="89">
        <v>6</v>
      </c>
      <c r="M120" s="89">
        <v>0</v>
      </c>
      <c r="N120" s="89">
        <v>0</v>
      </c>
      <c r="O120" s="89">
        <v>0</v>
      </c>
      <c r="P120" s="89">
        <v>0</v>
      </c>
      <c r="Q120" s="89">
        <v>2</v>
      </c>
      <c r="R120" s="89">
        <v>3</v>
      </c>
      <c r="S120" s="89">
        <v>1</v>
      </c>
      <c r="T120" s="89">
        <v>130</v>
      </c>
      <c r="U120" s="104"/>
      <c r="V120" s="17" t="s">
        <v>52</v>
      </c>
      <c r="W120" s="89">
        <v>110</v>
      </c>
      <c r="X120" s="89">
        <v>1</v>
      </c>
      <c r="Y120" s="89">
        <v>8</v>
      </c>
      <c r="Z120" s="89">
        <v>0</v>
      </c>
      <c r="AA120" s="89">
        <v>1</v>
      </c>
      <c r="AB120" s="89">
        <v>2</v>
      </c>
      <c r="AC120" s="89">
        <v>4</v>
      </c>
      <c r="AD120" s="89">
        <v>17</v>
      </c>
      <c r="AE120" s="89">
        <v>6</v>
      </c>
      <c r="AF120" s="89">
        <v>1</v>
      </c>
      <c r="AG120" s="109">
        <v>12</v>
      </c>
      <c r="AH120" s="89">
        <v>2</v>
      </c>
      <c r="AI120" s="89">
        <v>0</v>
      </c>
      <c r="AJ120" s="89">
        <v>0</v>
      </c>
      <c r="AK120" s="89">
        <v>0</v>
      </c>
      <c r="AL120" s="89">
        <v>3</v>
      </c>
      <c r="AM120" s="89">
        <v>17</v>
      </c>
      <c r="AN120" s="89">
        <v>0</v>
      </c>
      <c r="AO120" s="89">
        <v>184</v>
      </c>
      <c r="AP120" s="104"/>
      <c r="AQ120" s="17" t="s">
        <v>52</v>
      </c>
      <c r="AR120" s="89">
        <v>56</v>
      </c>
      <c r="AS120" s="89">
        <v>0</v>
      </c>
      <c r="AT120" s="89">
        <v>3</v>
      </c>
      <c r="AU120" s="89">
        <v>1</v>
      </c>
      <c r="AV120" s="89">
        <v>1</v>
      </c>
      <c r="AW120" s="89">
        <v>0</v>
      </c>
      <c r="AX120" s="89">
        <v>3</v>
      </c>
      <c r="AY120" s="89">
        <v>7</v>
      </c>
      <c r="AZ120" s="89">
        <v>6</v>
      </c>
      <c r="BA120" s="89">
        <v>1</v>
      </c>
      <c r="BB120" s="89">
        <v>1</v>
      </c>
      <c r="BC120" s="89">
        <v>2</v>
      </c>
      <c r="BD120" s="89">
        <v>0</v>
      </c>
      <c r="BE120" s="89">
        <v>0</v>
      </c>
      <c r="BF120" s="89">
        <v>0</v>
      </c>
      <c r="BG120" s="89">
        <v>0</v>
      </c>
      <c r="BH120" s="89">
        <v>0</v>
      </c>
      <c r="BI120" s="89">
        <v>6</v>
      </c>
      <c r="BJ120" s="89">
        <v>87</v>
      </c>
      <c r="BK120" s="13"/>
      <c r="BL120" s="115" t="s">
        <v>52</v>
      </c>
      <c r="BM120" s="118">
        <v>16</v>
      </c>
      <c r="BN120" s="118">
        <v>0</v>
      </c>
      <c r="BO120" s="118">
        <v>4</v>
      </c>
      <c r="BP120" s="118">
        <v>0</v>
      </c>
      <c r="BQ120" s="118">
        <v>1</v>
      </c>
      <c r="BR120" s="118">
        <v>0</v>
      </c>
      <c r="BS120" s="118">
        <v>0</v>
      </c>
      <c r="BT120" s="118">
        <v>3</v>
      </c>
      <c r="BU120" s="118">
        <v>8</v>
      </c>
      <c r="BV120" s="118">
        <v>0</v>
      </c>
      <c r="BW120" s="118">
        <v>0</v>
      </c>
      <c r="BX120" s="118">
        <v>0</v>
      </c>
      <c r="BY120" s="118">
        <v>0</v>
      </c>
      <c r="BZ120" s="118">
        <v>0</v>
      </c>
      <c r="CA120" s="118">
        <v>0</v>
      </c>
      <c r="CB120" s="118">
        <v>0</v>
      </c>
      <c r="CC120" s="118">
        <v>1</v>
      </c>
      <c r="CD120" s="118">
        <v>0</v>
      </c>
      <c r="CE120" s="119">
        <v>33</v>
      </c>
      <c r="CF120" s="13"/>
      <c r="CG120" s="118" t="s">
        <v>52</v>
      </c>
      <c r="CH120" s="118">
        <v>30</v>
      </c>
      <c r="CI120" s="118">
        <v>0</v>
      </c>
      <c r="CJ120" s="118">
        <v>1</v>
      </c>
      <c r="CK120" s="118">
        <v>1</v>
      </c>
      <c r="CL120" s="118">
        <v>0</v>
      </c>
      <c r="CM120" s="118">
        <v>1</v>
      </c>
      <c r="CN120" s="118">
        <v>1</v>
      </c>
      <c r="CO120" s="118">
        <v>3</v>
      </c>
      <c r="CP120" s="118">
        <v>3</v>
      </c>
      <c r="CQ120" s="118">
        <v>0</v>
      </c>
      <c r="CR120" s="118">
        <v>6</v>
      </c>
      <c r="CS120" s="118">
        <v>0</v>
      </c>
      <c r="CT120" s="118">
        <v>0</v>
      </c>
      <c r="CU120" s="118">
        <v>0</v>
      </c>
      <c r="CV120" s="118">
        <v>0</v>
      </c>
      <c r="CW120" s="118">
        <v>0</v>
      </c>
      <c r="CX120" s="118">
        <v>5</v>
      </c>
      <c r="CY120" s="118">
        <v>0</v>
      </c>
      <c r="CZ120" s="118">
        <v>51</v>
      </c>
      <c r="DA120" s="13"/>
      <c r="DB120" s="118" t="s">
        <v>52</v>
      </c>
      <c r="DC120" s="118">
        <v>80</v>
      </c>
      <c r="DD120" s="118">
        <v>0</v>
      </c>
      <c r="DE120" s="118">
        <v>5</v>
      </c>
      <c r="DF120" s="118">
        <v>1</v>
      </c>
      <c r="DG120" s="118">
        <v>2</v>
      </c>
      <c r="DH120" s="118">
        <v>2</v>
      </c>
      <c r="DI120" s="118">
        <v>0</v>
      </c>
      <c r="DJ120" s="118">
        <v>6</v>
      </c>
      <c r="DK120" s="118">
        <v>7</v>
      </c>
      <c r="DL120" s="118">
        <v>0</v>
      </c>
      <c r="DM120" s="118">
        <v>5</v>
      </c>
      <c r="DN120" s="118">
        <v>3</v>
      </c>
      <c r="DO120" s="118">
        <v>0</v>
      </c>
      <c r="DP120" s="118">
        <v>0</v>
      </c>
      <c r="DQ120" s="118">
        <v>0</v>
      </c>
      <c r="DR120" s="118">
        <v>1</v>
      </c>
      <c r="DS120" s="118">
        <v>11</v>
      </c>
      <c r="DT120" s="118">
        <v>1</v>
      </c>
      <c r="DU120" s="118">
        <v>124</v>
      </c>
      <c r="DV120" s="13"/>
      <c r="DW120" s="118" t="s">
        <v>52</v>
      </c>
      <c r="DX120" s="118">
        <v>71</v>
      </c>
      <c r="DY120" s="118">
        <v>0</v>
      </c>
      <c r="DZ120" s="118">
        <v>2</v>
      </c>
      <c r="EA120" s="118">
        <v>2</v>
      </c>
      <c r="EB120" s="118">
        <v>2</v>
      </c>
      <c r="EC120" s="118">
        <v>2</v>
      </c>
      <c r="ED120" s="118">
        <v>0</v>
      </c>
      <c r="EE120" s="118">
        <v>6</v>
      </c>
      <c r="EF120" s="118">
        <v>7</v>
      </c>
      <c r="EG120" s="118">
        <v>0</v>
      </c>
      <c r="EH120" s="118">
        <v>7</v>
      </c>
      <c r="EI120" s="118">
        <v>1</v>
      </c>
      <c r="EJ120" s="118">
        <v>0</v>
      </c>
      <c r="EK120" s="118">
        <v>0</v>
      </c>
      <c r="EL120" s="118">
        <v>0</v>
      </c>
      <c r="EM120" s="118">
        <v>0</v>
      </c>
      <c r="EN120" s="118">
        <v>6</v>
      </c>
      <c r="EO120" s="118">
        <v>1</v>
      </c>
      <c r="EP120" s="118">
        <v>107</v>
      </c>
      <c r="EQ120" s="13"/>
      <c r="ER120" s="118" t="s">
        <v>52</v>
      </c>
      <c r="ES120" s="118">
        <v>96</v>
      </c>
      <c r="ET120" s="118">
        <v>0</v>
      </c>
      <c r="EU120" s="118">
        <v>1</v>
      </c>
      <c r="EV120" s="118">
        <v>0</v>
      </c>
      <c r="EW120" s="118">
        <v>2</v>
      </c>
      <c r="EX120" s="118">
        <v>1</v>
      </c>
      <c r="EY120" s="118">
        <v>2</v>
      </c>
      <c r="EZ120" s="118">
        <v>2</v>
      </c>
      <c r="FA120" s="118">
        <v>5</v>
      </c>
      <c r="FB120" s="118">
        <v>0</v>
      </c>
      <c r="FC120" s="118">
        <v>8</v>
      </c>
      <c r="FD120" s="118">
        <v>1</v>
      </c>
      <c r="FE120" s="118">
        <v>1</v>
      </c>
      <c r="FF120" s="118">
        <v>0</v>
      </c>
      <c r="FG120" s="118">
        <v>0</v>
      </c>
      <c r="FH120" s="118">
        <v>0</v>
      </c>
      <c r="FI120" s="118">
        <v>13</v>
      </c>
      <c r="FJ120" s="118">
        <v>3</v>
      </c>
      <c r="FK120" s="118">
        <v>135</v>
      </c>
      <c r="FL120" s="13"/>
      <c r="FM120" s="118" t="s">
        <v>52</v>
      </c>
      <c r="FN120" s="118">
        <v>66</v>
      </c>
      <c r="FO120" s="118">
        <v>0</v>
      </c>
      <c r="FP120" s="118">
        <v>6</v>
      </c>
      <c r="FQ120" s="118">
        <v>0</v>
      </c>
      <c r="FR120" s="118">
        <v>0</v>
      </c>
      <c r="FS120" s="118">
        <v>4</v>
      </c>
      <c r="FT120" s="118">
        <v>0</v>
      </c>
      <c r="FU120" s="118">
        <v>6</v>
      </c>
      <c r="FV120" s="118">
        <v>11</v>
      </c>
      <c r="FW120" s="118">
        <v>0</v>
      </c>
      <c r="FX120" s="118">
        <v>6</v>
      </c>
      <c r="FY120" s="118">
        <v>0</v>
      </c>
      <c r="FZ120" s="118">
        <v>0</v>
      </c>
      <c r="GA120" s="118">
        <v>0</v>
      </c>
      <c r="GB120" s="118">
        <v>0</v>
      </c>
      <c r="GC120" s="118">
        <v>0</v>
      </c>
      <c r="GD120" s="118">
        <v>5</v>
      </c>
      <c r="GE120" s="118">
        <v>43</v>
      </c>
      <c r="GF120" s="118">
        <v>147</v>
      </c>
      <c r="GG120" s="13"/>
      <c r="GH120" s="118" t="s">
        <v>52</v>
      </c>
      <c r="GI120" s="118">
        <v>53</v>
      </c>
      <c r="GJ120" s="118">
        <v>0</v>
      </c>
      <c r="GK120" s="118">
        <v>5</v>
      </c>
      <c r="GL120" s="118">
        <v>1</v>
      </c>
      <c r="GM120" s="118">
        <v>0</v>
      </c>
      <c r="GN120" s="118">
        <v>1</v>
      </c>
      <c r="GO120" s="118">
        <v>0</v>
      </c>
      <c r="GP120" s="118">
        <v>3</v>
      </c>
      <c r="GQ120" s="118">
        <v>6</v>
      </c>
      <c r="GR120" s="118">
        <v>0</v>
      </c>
      <c r="GS120" s="118">
        <v>1</v>
      </c>
      <c r="GT120" s="118">
        <v>1</v>
      </c>
      <c r="GU120" s="118">
        <v>0</v>
      </c>
      <c r="GV120" s="118">
        <v>0</v>
      </c>
      <c r="GW120" s="118">
        <v>0</v>
      </c>
      <c r="GX120" s="118">
        <v>0</v>
      </c>
      <c r="GY120" s="118">
        <v>5</v>
      </c>
      <c r="GZ120" s="118">
        <v>2</v>
      </c>
      <c r="HA120" s="118">
        <v>78</v>
      </c>
      <c r="HB120" s="13"/>
      <c r="HC120" s="118" t="s">
        <v>52</v>
      </c>
      <c r="HD120" s="118">
        <v>54</v>
      </c>
      <c r="HE120" s="118">
        <v>0</v>
      </c>
      <c r="HF120" s="118">
        <v>4</v>
      </c>
      <c r="HG120" s="118">
        <v>3</v>
      </c>
      <c r="HH120" s="118">
        <v>2</v>
      </c>
      <c r="HI120" s="118">
        <v>2</v>
      </c>
      <c r="HJ120" s="118">
        <v>0</v>
      </c>
      <c r="HK120" s="118">
        <v>6</v>
      </c>
      <c r="HL120" s="118">
        <v>8</v>
      </c>
      <c r="HM120" s="118">
        <v>0</v>
      </c>
      <c r="HN120" s="118">
        <v>11</v>
      </c>
      <c r="HO120" s="118">
        <v>2</v>
      </c>
      <c r="HP120" s="118">
        <v>0</v>
      </c>
      <c r="HQ120" s="118">
        <v>0</v>
      </c>
      <c r="HR120" s="118">
        <v>0</v>
      </c>
      <c r="HS120" s="118">
        <v>1</v>
      </c>
      <c r="HT120" s="118">
        <v>19</v>
      </c>
      <c r="HU120" s="118">
        <v>3</v>
      </c>
      <c r="HV120" s="118">
        <v>115</v>
      </c>
      <c r="HW120" s="13"/>
      <c r="HX120" s="118" t="s">
        <v>52</v>
      </c>
      <c r="HY120" s="118">
        <v>25</v>
      </c>
      <c r="HZ120" s="118">
        <v>0</v>
      </c>
      <c r="IA120" s="118">
        <v>1</v>
      </c>
      <c r="IB120" s="118">
        <v>1</v>
      </c>
      <c r="IC120" s="118">
        <v>0</v>
      </c>
      <c r="ID120" s="118">
        <v>1</v>
      </c>
      <c r="IE120" s="118">
        <v>0</v>
      </c>
      <c r="IF120" s="118">
        <v>5</v>
      </c>
      <c r="IG120" s="118">
        <v>7</v>
      </c>
      <c r="IH120" s="118">
        <v>0</v>
      </c>
      <c r="II120" s="118">
        <v>5</v>
      </c>
      <c r="IJ120" s="118">
        <v>1</v>
      </c>
      <c r="IK120" s="118">
        <v>0</v>
      </c>
      <c r="IL120" s="118">
        <v>0</v>
      </c>
      <c r="IM120" s="118">
        <v>0</v>
      </c>
      <c r="IN120" s="118">
        <v>0</v>
      </c>
      <c r="IO120" s="118">
        <v>4</v>
      </c>
      <c r="IP120" s="118">
        <v>2</v>
      </c>
      <c r="IQ120" s="118">
        <v>52</v>
      </c>
      <c r="IR120" s="13"/>
      <c r="IS120" s="118" t="s">
        <v>52</v>
      </c>
      <c r="IT120" s="118">
        <v>54</v>
      </c>
      <c r="IU120" s="118">
        <v>0</v>
      </c>
      <c r="IV120" s="118">
        <v>2</v>
      </c>
      <c r="IW120" s="118">
        <v>0</v>
      </c>
      <c r="IX120" s="118">
        <v>0</v>
      </c>
      <c r="IY120" s="118">
        <v>3</v>
      </c>
      <c r="IZ120" s="118">
        <v>0</v>
      </c>
      <c r="JA120" s="118">
        <v>5</v>
      </c>
      <c r="JB120" s="118">
        <v>4</v>
      </c>
      <c r="JC120" s="118">
        <v>0</v>
      </c>
      <c r="JD120" s="118">
        <v>1</v>
      </c>
      <c r="JE120" s="118">
        <v>0</v>
      </c>
      <c r="JF120" s="118">
        <v>0</v>
      </c>
      <c r="JG120" s="118">
        <v>0</v>
      </c>
      <c r="JH120" s="118">
        <v>0</v>
      </c>
      <c r="JI120" s="118">
        <v>0</v>
      </c>
      <c r="JJ120" s="118">
        <v>7</v>
      </c>
      <c r="JK120" s="118">
        <v>1</v>
      </c>
      <c r="JL120" s="118">
        <v>77</v>
      </c>
      <c r="JM120" s="13"/>
      <c r="JN120" s="70" t="s">
        <v>52</v>
      </c>
      <c r="JO120" s="122">
        <v>44</v>
      </c>
      <c r="JP120" s="122">
        <v>0</v>
      </c>
      <c r="JQ120" s="122">
        <v>2</v>
      </c>
      <c r="JR120" s="122">
        <v>0</v>
      </c>
      <c r="JS120" s="122">
        <v>0</v>
      </c>
      <c r="JT120" s="122">
        <v>1</v>
      </c>
      <c r="JU120" s="122">
        <v>0</v>
      </c>
      <c r="JV120" s="122">
        <v>3</v>
      </c>
      <c r="JW120" s="122">
        <v>5</v>
      </c>
      <c r="JX120" s="122">
        <v>0</v>
      </c>
      <c r="JY120" s="122">
        <v>2</v>
      </c>
      <c r="JZ120" s="122">
        <v>0</v>
      </c>
      <c r="KA120" s="122">
        <v>0</v>
      </c>
      <c r="KB120" s="122">
        <v>0</v>
      </c>
      <c r="KC120" s="122">
        <v>0</v>
      </c>
      <c r="KD120" s="122">
        <v>0</v>
      </c>
      <c r="KE120" s="122">
        <v>3</v>
      </c>
      <c r="KF120" s="122">
        <v>6</v>
      </c>
      <c r="KG120" s="123">
        <v>66</v>
      </c>
      <c r="KH120" s="13"/>
      <c r="KI120" s="118" t="s">
        <v>52</v>
      </c>
      <c r="KJ120" s="118">
        <v>30</v>
      </c>
      <c r="KK120" s="118">
        <v>0</v>
      </c>
      <c r="KL120" s="118">
        <v>2</v>
      </c>
      <c r="KM120" s="118">
        <v>26</v>
      </c>
      <c r="KN120" s="118">
        <v>0</v>
      </c>
      <c r="KO120" s="118">
        <v>1</v>
      </c>
      <c r="KP120" s="118">
        <v>0</v>
      </c>
      <c r="KQ120" s="118">
        <v>3</v>
      </c>
      <c r="KR120" s="118">
        <v>0</v>
      </c>
      <c r="KS120" s="118">
        <v>1</v>
      </c>
      <c r="KT120" s="118">
        <v>2</v>
      </c>
      <c r="KU120" s="118">
        <v>0</v>
      </c>
      <c r="KV120" s="118">
        <v>4</v>
      </c>
      <c r="KW120" s="118">
        <v>0</v>
      </c>
      <c r="KX120" s="118">
        <v>0</v>
      </c>
      <c r="KY120" s="118">
        <v>0</v>
      </c>
      <c r="KZ120" s="118">
        <v>0</v>
      </c>
      <c r="LA120" s="118">
        <v>1</v>
      </c>
      <c r="LB120" s="118">
        <v>70</v>
      </c>
      <c r="LC120" s="13"/>
      <c r="LD120" s="58" t="s">
        <v>52</v>
      </c>
      <c r="LE120" s="65">
        <v>16</v>
      </c>
      <c r="LF120" s="65">
        <v>1</v>
      </c>
      <c r="LG120" s="65">
        <v>0</v>
      </c>
      <c r="LH120" s="65">
        <v>13</v>
      </c>
      <c r="LI120" s="65">
        <v>0</v>
      </c>
      <c r="LJ120" s="65">
        <v>4</v>
      </c>
      <c r="LK120" s="65">
        <v>3</v>
      </c>
      <c r="LL120" s="65">
        <v>1</v>
      </c>
      <c r="LM120" s="65">
        <v>0</v>
      </c>
      <c r="LN120" s="65">
        <v>2</v>
      </c>
      <c r="LO120" s="65">
        <v>0</v>
      </c>
      <c r="LP120" s="65">
        <v>0</v>
      </c>
      <c r="LQ120" s="65">
        <v>4</v>
      </c>
      <c r="LR120" s="65">
        <v>1</v>
      </c>
      <c r="LS120" s="65">
        <v>0</v>
      </c>
      <c r="LT120" s="65">
        <v>0</v>
      </c>
      <c r="LU120" s="65">
        <v>0</v>
      </c>
      <c r="LV120" s="65">
        <v>0</v>
      </c>
      <c r="LW120" s="65">
        <v>0</v>
      </c>
      <c r="LX120" s="65">
        <v>0</v>
      </c>
      <c r="LY120" s="65">
        <v>2</v>
      </c>
      <c r="LZ120" s="65">
        <v>1</v>
      </c>
      <c r="MA120" s="65">
        <v>48</v>
      </c>
      <c r="MB120" s="13"/>
      <c r="MC120" s="180" t="s">
        <v>52</v>
      </c>
      <c r="MD120" s="181">
        <v>43</v>
      </c>
      <c r="ME120" s="181">
        <v>0</v>
      </c>
      <c r="MF120" s="181">
        <v>2</v>
      </c>
      <c r="MG120" s="181">
        <v>1</v>
      </c>
      <c r="MH120" s="181">
        <v>0</v>
      </c>
      <c r="MI120" s="181">
        <v>1</v>
      </c>
      <c r="MJ120" s="181">
        <v>3</v>
      </c>
      <c r="MK120" s="181">
        <v>3</v>
      </c>
      <c r="ML120" s="181">
        <v>0</v>
      </c>
      <c r="MM120" s="181">
        <v>0</v>
      </c>
      <c r="MN120" s="181">
        <v>5</v>
      </c>
      <c r="MO120" s="181">
        <v>0</v>
      </c>
      <c r="MP120" s="181">
        <v>0</v>
      </c>
      <c r="MQ120" s="181">
        <v>0</v>
      </c>
      <c r="MR120" s="181">
        <v>0</v>
      </c>
      <c r="MS120" s="181">
        <v>0</v>
      </c>
      <c r="MT120" s="181">
        <v>1</v>
      </c>
      <c r="MU120" s="181">
        <v>4</v>
      </c>
      <c r="MV120" s="181">
        <v>63</v>
      </c>
      <c r="MW120" s="13"/>
      <c r="MX120" s="74" t="s">
        <v>52</v>
      </c>
      <c r="MY120" s="127">
        <v>69</v>
      </c>
      <c r="MZ120" s="127">
        <v>0</v>
      </c>
      <c r="NA120" s="127">
        <v>3</v>
      </c>
      <c r="NB120" s="127">
        <v>1</v>
      </c>
      <c r="NC120" s="127">
        <v>0</v>
      </c>
      <c r="ND120" s="127">
        <v>4</v>
      </c>
      <c r="NE120" s="127">
        <v>0</v>
      </c>
      <c r="NF120" s="127">
        <v>2</v>
      </c>
      <c r="NG120" s="127">
        <v>4</v>
      </c>
      <c r="NH120" s="127">
        <v>0</v>
      </c>
      <c r="NI120" s="127">
        <v>5</v>
      </c>
      <c r="NJ120" s="127">
        <v>1</v>
      </c>
      <c r="NK120" s="127">
        <v>0</v>
      </c>
      <c r="NL120" s="127">
        <v>0</v>
      </c>
      <c r="NM120" s="127">
        <v>0</v>
      </c>
      <c r="NN120" s="127">
        <v>0</v>
      </c>
      <c r="NO120" s="127">
        <v>2</v>
      </c>
      <c r="NP120" s="127">
        <v>9</v>
      </c>
      <c r="NQ120" s="127">
        <v>100</v>
      </c>
      <c r="NR120" s="13"/>
      <c r="NS120" s="74" t="s">
        <v>52</v>
      </c>
      <c r="NT120" s="127">
        <v>93</v>
      </c>
      <c r="NU120" s="127">
        <v>0</v>
      </c>
      <c r="NV120" s="127">
        <v>5</v>
      </c>
      <c r="NW120" s="127">
        <v>1</v>
      </c>
      <c r="NX120" s="127">
        <v>0</v>
      </c>
      <c r="NY120" s="127">
        <v>2</v>
      </c>
      <c r="NZ120" s="127">
        <v>0</v>
      </c>
      <c r="OA120" s="127">
        <v>7</v>
      </c>
      <c r="OB120" s="127">
        <v>5</v>
      </c>
      <c r="OC120" s="127">
        <v>0</v>
      </c>
      <c r="OD120" s="127">
        <v>10</v>
      </c>
      <c r="OE120" s="127">
        <v>7</v>
      </c>
      <c r="OF120" s="127">
        <v>1</v>
      </c>
      <c r="OG120" s="127">
        <v>0</v>
      </c>
      <c r="OH120" s="127">
        <v>0</v>
      </c>
      <c r="OI120" s="127">
        <v>0</v>
      </c>
      <c r="OJ120" s="127">
        <v>0</v>
      </c>
      <c r="OK120" s="127">
        <v>5</v>
      </c>
      <c r="OL120" s="127">
        <v>136</v>
      </c>
    </row>
    <row r="121" spans="1:402" ht="15.5" thickBot="1">
      <c r="A121" s="17" t="s">
        <v>53</v>
      </c>
      <c r="B121" s="89">
        <v>80</v>
      </c>
      <c r="C121" s="89">
        <v>0</v>
      </c>
      <c r="D121" s="89">
        <v>1</v>
      </c>
      <c r="E121" s="89">
        <v>2</v>
      </c>
      <c r="F121" s="89">
        <v>3</v>
      </c>
      <c r="G121" s="89">
        <v>0</v>
      </c>
      <c r="H121" s="89">
        <v>0</v>
      </c>
      <c r="I121" s="89">
        <v>4</v>
      </c>
      <c r="J121" s="89">
        <v>7</v>
      </c>
      <c r="K121" s="89">
        <v>3</v>
      </c>
      <c r="L121" s="89">
        <v>3</v>
      </c>
      <c r="M121" s="89">
        <v>1</v>
      </c>
      <c r="N121" s="89">
        <v>1</v>
      </c>
      <c r="O121" s="89">
        <v>0</v>
      </c>
      <c r="P121" s="89">
        <v>0</v>
      </c>
      <c r="Q121" s="89">
        <v>0</v>
      </c>
      <c r="R121" s="89">
        <v>1</v>
      </c>
      <c r="S121" s="89">
        <v>1</v>
      </c>
      <c r="T121" s="89">
        <v>107</v>
      </c>
      <c r="U121" s="104"/>
      <c r="V121" s="17" t="s">
        <v>53</v>
      </c>
      <c r="W121" s="89">
        <v>74</v>
      </c>
      <c r="X121" s="89">
        <v>0</v>
      </c>
      <c r="Y121" s="89">
        <v>2</v>
      </c>
      <c r="Z121" s="89">
        <v>0</v>
      </c>
      <c r="AA121" s="89">
        <v>3</v>
      </c>
      <c r="AB121" s="89">
        <v>0</v>
      </c>
      <c r="AC121" s="89">
        <v>0</v>
      </c>
      <c r="AD121" s="89">
        <v>3</v>
      </c>
      <c r="AE121" s="89">
        <v>7</v>
      </c>
      <c r="AF121" s="89">
        <v>0</v>
      </c>
      <c r="AG121" s="109">
        <v>2</v>
      </c>
      <c r="AH121" s="89">
        <v>0</v>
      </c>
      <c r="AI121" s="89">
        <v>0</v>
      </c>
      <c r="AJ121" s="89">
        <v>0</v>
      </c>
      <c r="AK121" s="89">
        <v>0</v>
      </c>
      <c r="AL121" s="89">
        <v>0</v>
      </c>
      <c r="AM121" s="89">
        <v>1</v>
      </c>
      <c r="AN121" s="89">
        <v>1</v>
      </c>
      <c r="AO121" s="89">
        <v>93</v>
      </c>
      <c r="AP121" s="104"/>
      <c r="AQ121" s="17" t="s">
        <v>53</v>
      </c>
      <c r="AR121" s="89">
        <v>40</v>
      </c>
      <c r="AS121" s="89">
        <v>0</v>
      </c>
      <c r="AT121" s="89">
        <v>2</v>
      </c>
      <c r="AU121" s="89">
        <v>0</v>
      </c>
      <c r="AV121" s="89">
        <v>0</v>
      </c>
      <c r="AW121" s="89">
        <v>0</v>
      </c>
      <c r="AX121" s="89">
        <v>0</v>
      </c>
      <c r="AY121" s="89">
        <v>2</v>
      </c>
      <c r="AZ121" s="89">
        <v>8</v>
      </c>
      <c r="BA121" s="89">
        <v>3</v>
      </c>
      <c r="BB121" s="89">
        <v>0</v>
      </c>
      <c r="BC121" s="89">
        <v>0</v>
      </c>
      <c r="BD121" s="89">
        <v>0</v>
      </c>
      <c r="BE121" s="89">
        <v>0</v>
      </c>
      <c r="BF121" s="89">
        <v>0</v>
      </c>
      <c r="BG121" s="89">
        <v>0</v>
      </c>
      <c r="BH121" s="89">
        <v>3</v>
      </c>
      <c r="BI121" s="89">
        <v>0</v>
      </c>
      <c r="BJ121" s="89">
        <v>58</v>
      </c>
      <c r="BK121" s="13"/>
      <c r="BL121" s="115" t="s">
        <v>53</v>
      </c>
      <c r="BM121" s="118">
        <v>21</v>
      </c>
      <c r="BN121" s="118">
        <v>0</v>
      </c>
      <c r="BO121" s="118">
        <v>2</v>
      </c>
      <c r="BP121" s="118">
        <v>0</v>
      </c>
      <c r="BQ121" s="118">
        <v>0</v>
      </c>
      <c r="BR121" s="118">
        <v>0</v>
      </c>
      <c r="BS121" s="118">
        <v>0</v>
      </c>
      <c r="BT121" s="118">
        <v>1</v>
      </c>
      <c r="BU121" s="118">
        <v>2</v>
      </c>
      <c r="BV121" s="118">
        <v>0</v>
      </c>
      <c r="BW121" s="118">
        <v>1</v>
      </c>
      <c r="BX121" s="118">
        <v>0</v>
      </c>
      <c r="BY121" s="118">
        <v>0</v>
      </c>
      <c r="BZ121" s="118">
        <v>0</v>
      </c>
      <c r="CA121" s="118">
        <v>0</v>
      </c>
      <c r="CB121" s="118">
        <v>0</v>
      </c>
      <c r="CC121" s="118">
        <v>0</v>
      </c>
      <c r="CD121" s="118">
        <v>0</v>
      </c>
      <c r="CE121" s="119">
        <v>27</v>
      </c>
      <c r="CF121" s="13"/>
      <c r="CG121" s="118" t="s">
        <v>53</v>
      </c>
      <c r="CH121" s="118">
        <v>11</v>
      </c>
      <c r="CI121" s="118">
        <v>0</v>
      </c>
      <c r="CJ121" s="118">
        <v>0</v>
      </c>
      <c r="CK121" s="118">
        <v>0</v>
      </c>
      <c r="CL121" s="118">
        <v>0</v>
      </c>
      <c r="CM121" s="118">
        <v>0</v>
      </c>
      <c r="CN121" s="118">
        <v>0</v>
      </c>
      <c r="CO121" s="118">
        <v>1</v>
      </c>
      <c r="CP121" s="118">
        <v>3</v>
      </c>
      <c r="CQ121" s="118">
        <v>0</v>
      </c>
      <c r="CR121" s="118">
        <v>0</v>
      </c>
      <c r="CS121" s="118">
        <v>0</v>
      </c>
      <c r="CT121" s="118">
        <v>0</v>
      </c>
      <c r="CU121" s="118">
        <v>0</v>
      </c>
      <c r="CV121" s="118">
        <v>0</v>
      </c>
      <c r="CW121" s="118">
        <v>0</v>
      </c>
      <c r="CX121" s="118">
        <v>0</v>
      </c>
      <c r="CY121" s="118">
        <v>2</v>
      </c>
      <c r="CZ121" s="118">
        <v>17</v>
      </c>
      <c r="DA121" s="13"/>
      <c r="DB121" s="118" t="s">
        <v>53</v>
      </c>
      <c r="DC121" s="118">
        <v>10</v>
      </c>
      <c r="DD121" s="118">
        <v>0</v>
      </c>
      <c r="DE121" s="118">
        <v>2</v>
      </c>
      <c r="DF121" s="118">
        <v>0</v>
      </c>
      <c r="DG121" s="118">
        <v>0</v>
      </c>
      <c r="DH121" s="118">
        <v>2</v>
      </c>
      <c r="DI121" s="118">
        <v>0</v>
      </c>
      <c r="DJ121" s="118">
        <v>0</v>
      </c>
      <c r="DK121" s="118">
        <v>2</v>
      </c>
      <c r="DL121" s="118">
        <v>0</v>
      </c>
      <c r="DM121" s="118">
        <v>0</v>
      </c>
      <c r="DN121" s="118">
        <v>0</v>
      </c>
      <c r="DO121" s="118">
        <v>0</v>
      </c>
      <c r="DP121" s="118">
        <v>0</v>
      </c>
      <c r="DQ121" s="118">
        <v>0</v>
      </c>
      <c r="DR121" s="118">
        <v>0</v>
      </c>
      <c r="DS121" s="118">
        <v>2</v>
      </c>
      <c r="DT121" s="118">
        <v>0</v>
      </c>
      <c r="DU121" s="118">
        <v>18</v>
      </c>
      <c r="DV121" s="13"/>
      <c r="DW121" s="118" t="s">
        <v>53</v>
      </c>
      <c r="DX121" s="118">
        <v>21</v>
      </c>
      <c r="DY121" s="118">
        <v>0</v>
      </c>
      <c r="DZ121" s="118">
        <v>3</v>
      </c>
      <c r="EA121" s="118">
        <v>0</v>
      </c>
      <c r="EB121" s="118">
        <v>0</v>
      </c>
      <c r="EC121" s="118">
        <v>1</v>
      </c>
      <c r="ED121" s="118">
        <v>0</v>
      </c>
      <c r="EE121" s="118">
        <v>0</v>
      </c>
      <c r="EF121" s="118">
        <v>1</v>
      </c>
      <c r="EG121" s="118">
        <v>0</v>
      </c>
      <c r="EH121" s="118">
        <v>0</v>
      </c>
      <c r="EI121" s="118">
        <v>0</v>
      </c>
      <c r="EJ121" s="118">
        <v>0</v>
      </c>
      <c r="EK121" s="118">
        <v>0</v>
      </c>
      <c r="EL121" s="118">
        <v>0</v>
      </c>
      <c r="EM121" s="118">
        <v>0</v>
      </c>
      <c r="EN121" s="118">
        <v>2</v>
      </c>
      <c r="EO121" s="118">
        <v>0</v>
      </c>
      <c r="EP121" s="118">
        <v>28</v>
      </c>
      <c r="EQ121" s="13"/>
      <c r="ER121" s="118" t="s">
        <v>53</v>
      </c>
      <c r="ES121" s="118">
        <v>43</v>
      </c>
      <c r="ET121" s="118">
        <v>0</v>
      </c>
      <c r="EU121" s="118">
        <v>6</v>
      </c>
      <c r="EV121" s="118">
        <v>2</v>
      </c>
      <c r="EW121" s="118">
        <v>1</v>
      </c>
      <c r="EX121" s="118">
        <v>0</v>
      </c>
      <c r="EY121" s="118">
        <v>0</v>
      </c>
      <c r="EZ121" s="118">
        <v>0</v>
      </c>
      <c r="FA121" s="118">
        <v>2</v>
      </c>
      <c r="FB121" s="118">
        <v>0</v>
      </c>
      <c r="FC121" s="118">
        <v>1</v>
      </c>
      <c r="FD121" s="118">
        <v>0</v>
      </c>
      <c r="FE121" s="118">
        <v>0</v>
      </c>
      <c r="FF121" s="118">
        <v>0</v>
      </c>
      <c r="FG121" s="118">
        <v>0</v>
      </c>
      <c r="FH121" s="118">
        <v>0</v>
      </c>
      <c r="FI121" s="118">
        <v>10</v>
      </c>
      <c r="FJ121" s="118">
        <v>2</v>
      </c>
      <c r="FK121" s="118">
        <v>67</v>
      </c>
      <c r="FL121" s="13"/>
      <c r="FM121" s="118" t="s">
        <v>53</v>
      </c>
      <c r="FN121" s="118">
        <v>21</v>
      </c>
      <c r="FO121" s="118">
        <v>0</v>
      </c>
      <c r="FP121" s="118">
        <v>3</v>
      </c>
      <c r="FQ121" s="118">
        <v>0</v>
      </c>
      <c r="FR121" s="118">
        <v>0</v>
      </c>
      <c r="FS121" s="118">
        <v>1</v>
      </c>
      <c r="FT121" s="118">
        <v>0</v>
      </c>
      <c r="FU121" s="118">
        <v>2</v>
      </c>
      <c r="FV121" s="118">
        <v>3</v>
      </c>
      <c r="FW121" s="118">
        <v>0</v>
      </c>
      <c r="FX121" s="118">
        <v>2</v>
      </c>
      <c r="FY121" s="118">
        <v>0</v>
      </c>
      <c r="FZ121" s="118">
        <v>0</v>
      </c>
      <c r="GA121" s="118">
        <v>0</v>
      </c>
      <c r="GB121" s="118">
        <v>0</v>
      </c>
      <c r="GC121" s="118">
        <v>0</v>
      </c>
      <c r="GD121" s="118">
        <v>4</v>
      </c>
      <c r="GE121" s="118">
        <v>8</v>
      </c>
      <c r="GF121" s="118">
        <v>44</v>
      </c>
      <c r="GG121" s="13"/>
      <c r="GH121" s="118" t="s">
        <v>53</v>
      </c>
      <c r="GI121" s="118">
        <v>18</v>
      </c>
      <c r="GJ121" s="118">
        <v>0</v>
      </c>
      <c r="GK121" s="118">
        <v>1</v>
      </c>
      <c r="GL121" s="118">
        <v>0</v>
      </c>
      <c r="GM121" s="118">
        <v>0</v>
      </c>
      <c r="GN121" s="118">
        <v>1</v>
      </c>
      <c r="GO121" s="118">
        <v>0</v>
      </c>
      <c r="GP121" s="118">
        <v>1</v>
      </c>
      <c r="GQ121" s="118">
        <v>1</v>
      </c>
      <c r="GR121" s="118">
        <v>0</v>
      </c>
      <c r="GS121" s="118">
        <v>1</v>
      </c>
      <c r="GT121" s="118">
        <v>0</v>
      </c>
      <c r="GU121" s="118">
        <v>0</v>
      </c>
      <c r="GV121" s="118">
        <v>0</v>
      </c>
      <c r="GW121" s="118">
        <v>0</v>
      </c>
      <c r="GX121" s="118">
        <v>0</v>
      </c>
      <c r="GY121" s="118">
        <v>2</v>
      </c>
      <c r="GZ121" s="118">
        <v>0</v>
      </c>
      <c r="HA121" s="118">
        <v>25</v>
      </c>
      <c r="HB121" s="13"/>
      <c r="HC121" s="118" t="s">
        <v>53</v>
      </c>
      <c r="HD121" s="118">
        <v>31</v>
      </c>
      <c r="HE121" s="118">
        <v>0</v>
      </c>
      <c r="HF121" s="118">
        <v>5</v>
      </c>
      <c r="HG121" s="118">
        <v>0</v>
      </c>
      <c r="HH121" s="118">
        <v>0</v>
      </c>
      <c r="HI121" s="118">
        <v>1</v>
      </c>
      <c r="HJ121" s="118">
        <v>0</v>
      </c>
      <c r="HK121" s="118">
        <v>2</v>
      </c>
      <c r="HL121" s="118">
        <v>0</v>
      </c>
      <c r="HM121" s="118">
        <v>0</v>
      </c>
      <c r="HN121" s="118">
        <v>0</v>
      </c>
      <c r="HO121" s="118">
        <v>0</v>
      </c>
      <c r="HP121" s="118">
        <v>0</v>
      </c>
      <c r="HQ121" s="118">
        <v>0</v>
      </c>
      <c r="HR121" s="118">
        <v>0</v>
      </c>
      <c r="HS121" s="118">
        <v>0</v>
      </c>
      <c r="HT121" s="118">
        <v>8</v>
      </c>
      <c r="HU121" s="118">
        <v>0</v>
      </c>
      <c r="HV121" s="118">
        <v>47</v>
      </c>
      <c r="HW121" s="13"/>
      <c r="HX121" s="118" t="s">
        <v>53</v>
      </c>
      <c r="HY121" s="118">
        <v>17</v>
      </c>
      <c r="HZ121" s="118">
        <v>0</v>
      </c>
      <c r="IA121" s="118">
        <v>3</v>
      </c>
      <c r="IB121" s="118">
        <v>1</v>
      </c>
      <c r="IC121" s="118">
        <v>0</v>
      </c>
      <c r="ID121" s="118">
        <v>0</v>
      </c>
      <c r="IE121" s="118">
        <v>0</v>
      </c>
      <c r="IF121" s="118">
        <v>3</v>
      </c>
      <c r="IG121" s="118">
        <v>0</v>
      </c>
      <c r="IH121" s="118">
        <v>0</v>
      </c>
      <c r="II121" s="118">
        <v>0</v>
      </c>
      <c r="IJ121" s="118">
        <v>1</v>
      </c>
      <c r="IK121" s="118">
        <v>0</v>
      </c>
      <c r="IL121" s="118">
        <v>0</v>
      </c>
      <c r="IM121" s="118">
        <v>1</v>
      </c>
      <c r="IN121" s="118">
        <v>0</v>
      </c>
      <c r="IO121" s="118">
        <v>1</v>
      </c>
      <c r="IP121" s="118">
        <v>6</v>
      </c>
      <c r="IQ121" s="118">
        <v>33</v>
      </c>
      <c r="IR121" s="13"/>
      <c r="IS121" s="118" t="s">
        <v>53</v>
      </c>
      <c r="IT121" s="118">
        <v>30</v>
      </c>
      <c r="IU121" s="118">
        <v>0</v>
      </c>
      <c r="IV121" s="118">
        <v>7</v>
      </c>
      <c r="IW121" s="118">
        <v>0</v>
      </c>
      <c r="IX121" s="118">
        <v>0</v>
      </c>
      <c r="IY121" s="118">
        <v>1</v>
      </c>
      <c r="IZ121" s="118">
        <v>0</v>
      </c>
      <c r="JA121" s="118">
        <v>4</v>
      </c>
      <c r="JB121" s="118">
        <v>3</v>
      </c>
      <c r="JC121" s="118">
        <v>0</v>
      </c>
      <c r="JD121" s="118">
        <v>1</v>
      </c>
      <c r="JE121" s="118">
        <v>0</v>
      </c>
      <c r="JF121" s="118">
        <v>0</v>
      </c>
      <c r="JG121" s="118">
        <v>0</v>
      </c>
      <c r="JH121" s="118">
        <v>0</v>
      </c>
      <c r="JI121" s="118">
        <v>0</v>
      </c>
      <c r="JJ121" s="118">
        <v>0</v>
      </c>
      <c r="JK121" s="118">
        <v>3</v>
      </c>
      <c r="JL121" s="118">
        <v>49</v>
      </c>
      <c r="JM121" s="13"/>
      <c r="JN121" s="70" t="s">
        <v>53</v>
      </c>
      <c r="JO121" s="122">
        <v>33</v>
      </c>
      <c r="JP121" s="122">
        <v>0</v>
      </c>
      <c r="JQ121" s="122">
        <v>4</v>
      </c>
      <c r="JR121" s="122">
        <v>0</v>
      </c>
      <c r="JS121" s="122">
        <v>0</v>
      </c>
      <c r="JT121" s="122">
        <v>4</v>
      </c>
      <c r="JU121" s="122">
        <v>0</v>
      </c>
      <c r="JV121" s="122">
        <v>1</v>
      </c>
      <c r="JW121" s="122">
        <v>1</v>
      </c>
      <c r="JX121" s="122">
        <v>0</v>
      </c>
      <c r="JY121" s="122">
        <v>3</v>
      </c>
      <c r="JZ121" s="122">
        <v>2</v>
      </c>
      <c r="KA121" s="122">
        <v>0</v>
      </c>
      <c r="KB121" s="122">
        <v>0</v>
      </c>
      <c r="KC121" s="122">
        <v>0</v>
      </c>
      <c r="KD121" s="122">
        <v>0</v>
      </c>
      <c r="KE121" s="122">
        <v>0</v>
      </c>
      <c r="KF121" s="122">
        <v>2</v>
      </c>
      <c r="KG121" s="123">
        <v>50</v>
      </c>
      <c r="KH121" s="13"/>
      <c r="KI121" s="118" t="s">
        <v>53</v>
      </c>
      <c r="KJ121" s="118">
        <v>20</v>
      </c>
      <c r="KK121" s="118">
        <v>0</v>
      </c>
      <c r="KL121" s="118">
        <v>0</v>
      </c>
      <c r="KM121" s="118">
        <v>7</v>
      </c>
      <c r="KN121" s="118">
        <v>0</v>
      </c>
      <c r="KO121" s="118">
        <v>0</v>
      </c>
      <c r="KP121" s="118">
        <v>0</v>
      </c>
      <c r="KQ121" s="118">
        <v>0</v>
      </c>
      <c r="KR121" s="118">
        <v>0</v>
      </c>
      <c r="KS121" s="118">
        <v>2</v>
      </c>
      <c r="KT121" s="118">
        <v>0</v>
      </c>
      <c r="KU121" s="118">
        <v>0</v>
      </c>
      <c r="KV121" s="118">
        <v>2</v>
      </c>
      <c r="KW121" s="118">
        <v>0</v>
      </c>
      <c r="KX121" s="118">
        <v>0</v>
      </c>
      <c r="KY121" s="118">
        <v>0</v>
      </c>
      <c r="KZ121" s="118">
        <v>0</v>
      </c>
      <c r="LA121" s="118">
        <v>0</v>
      </c>
      <c r="LB121" s="118">
        <v>31</v>
      </c>
      <c r="LC121" s="13"/>
      <c r="LD121" s="58" t="s">
        <v>53</v>
      </c>
      <c r="LE121" s="65">
        <v>13</v>
      </c>
      <c r="LF121" s="65">
        <v>0</v>
      </c>
      <c r="LG121" s="65">
        <v>0</v>
      </c>
      <c r="LH121" s="65">
        <v>6</v>
      </c>
      <c r="LI121" s="65">
        <v>0</v>
      </c>
      <c r="LJ121" s="65">
        <v>1</v>
      </c>
      <c r="LK121" s="65">
        <v>0</v>
      </c>
      <c r="LL121" s="65">
        <v>0</v>
      </c>
      <c r="LM121" s="65">
        <v>0</v>
      </c>
      <c r="LN121" s="65">
        <v>1</v>
      </c>
      <c r="LO121" s="65">
        <v>0</v>
      </c>
      <c r="LP121" s="65">
        <v>0</v>
      </c>
      <c r="LQ121" s="65">
        <v>0</v>
      </c>
      <c r="LR121" s="65">
        <v>0</v>
      </c>
      <c r="LS121" s="65">
        <v>0</v>
      </c>
      <c r="LT121" s="65">
        <v>0</v>
      </c>
      <c r="LU121" s="65">
        <v>0</v>
      </c>
      <c r="LV121" s="65">
        <v>0</v>
      </c>
      <c r="LW121" s="65">
        <v>0</v>
      </c>
      <c r="LX121" s="65">
        <v>0</v>
      </c>
      <c r="LY121" s="65">
        <v>0</v>
      </c>
      <c r="LZ121" s="65">
        <v>1</v>
      </c>
      <c r="MA121" s="65">
        <v>22</v>
      </c>
      <c r="MB121" s="13"/>
      <c r="MC121" s="180" t="s">
        <v>53</v>
      </c>
      <c r="MD121" s="181">
        <v>18</v>
      </c>
      <c r="ME121" s="181">
        <v>0</v>
      </c>
      <c r="MF121" s="181">
        <v>3</v>
      </c>
      <c r="MG121" s="181">
        <v>1</v>
      </c>
      <c r="MH121" s="181">
        <v>0</v>
      </c>
      <c r="MI121" s="181">
        <v>0</v>
      </c>
      <c r="MJ121" s="181">
        <v>0</v>
      </c>
      <c r="MK121" s="181">
        <v>3</v>
      </c>
      <c r="ML121" s="181">
        <v>0</v>
      </c>
      <c r="MM121" s="181">
        <v>0</v>
      </c>
      <c r="MN121" s="181">
        <v>1</v>
      </c>
      <c r="MO121" s="181">
        <v>0</v>
      </c>
      <c r="MP121" s="181">
        <v>0</v>
      </c>
      <c r="MQ121" s="181">
        <v>0</v>
      </c>
      <c r="MR121" s="181">
        <v>0</v>
      </c>
      <c r="MS121" s="181">
        <v>0</v>
      </c>
      <c r="MT121" s="181">
        <v>0</v>
      </c>
      <c r="MU121" s="181">
        <v>1</v>
      </c>
      <c r="MV121" s="181">
        <v>27</v>
      </c>
      <c r="MW121" s="13"/>
      <c r="MX121" s="74" t="s">
        <v>53</v>
      </c>
      <c r="MY121" s="127">
        <v>30</v>
      </c>
      <c r="MZ121" s="127">
        <v>0</v>
      </c>
      <c r="NA121" s="127">
        <v>5</v>
      </c>
      <c r="NB121" s="127">
        <v>1</v>
      </c>
      <c r="NC121" s="127">
        <v>1</v>
      </c>
      <c r="ND121" s="127">
        <v>2</v>
      </c>
      <c r="NE121" s="127">
        <v>0</v>
      </c>
      <c r="NF121" s="127">
        <v>3</v>
      </c>
      <c r="NG121" s="127">
        <v>2</v>
      </c>
      <c r="NH121" s="127">
        <v>0</v>
      </c>
      <c r="NI121" s="127">
        <v>1</v>
      </c>
      <c r="NJ121" s="127">
        <v>0</v>
      </c>
      <c r="NK121" s="127">
        <v>2</v>
      </c>
      <c r="NL121" s="127">
        <v>0</v>
      </c>
      <c r="NM121" s="127">
        <v>0</v>
      </c>
      <c r="NN121" s="127">
        <v>0</v>
      </c>
      <c r="NO121" s="127">
        <v>0</v>
      </c>
      <c r="NP121" s="127">
        <v>1</v>
      </c>
      <c r="NQ121" s="127">
        <v>48</v>
      </c>
      <c r="NR121" s="13"/>
      <c r="NS121" s="74" t="s">
        <v>53</v>
      </c>
      <c r="NT121" s="127">
        <v>20</v>
      </c>
      <c r="NU121" s="127">
        <v>0</v>
      </c>
      <c r="NV121" s="127">
        <v>3</v>
      </c>
      <c r="NW121" s="127">
        <v>1</v>
      </c>
      <c r="NX121" s="127">
        <v>0</v>
      </c>
      <c r="NY121" s="127">
        <v>1</v>
      </c>
      <c r="NZ121" s="127">
        <v>0</v>
      </c>
      <c r="OA121" s="127">
        <v>2</v>
      </c>
      <c r="OB121" s="127">
        <v>0</v>
      </c>
      <c r="OC121" s="127">
        <v>0</v>
      </c>
      <c r="OD121" s="127">
        <v>1</v>
      </c>
      <c r="OE121" s="127">
        <v>0</v>
      </c>
      <c r="OF121" s="127">
        <v>0</v>
      </c>
      <c r="OG121" s="127">
        <v>0</v>
      </c>
      <c r="OH121" s="127">
        <v>0</v>
      </c>
      <c r="OI121" s="127">
        <v>0</v>
      </c>
      <c r="OJ121" s="127">
        <v>0</v>
      </c>
      <c r="OK121" s="127">
        <v>0</v>
      </c>
      <c r="OL121" s="127">
        <v>28</v>
      </c>
    </row>
    <row r="122" spans="1:402" ht="15.5" thickBot="1">
      <c r="A122" s="17" t="s">
        <v>54</v>
      </c>
      <c r="B122" s="89">
        <v>45</v>
      </c>
      <c r="C122" s="89">
        <v>0</v>
      </c>
      <c r="D122" s="89">
        <v>3</v>
      </c>
      <c r="E122" s="89">
        <v>2</v>
      </c>
      <c r="F122" s="89">
        <v>0</v>
      </c>
      <c r="G122" s="89">
        <v>0</v>
      </c>
      <c r="H122" s="89">
        <v>0</v>
      </c>
      <c r="I122" s="89">
        <v>6</v>
      </c>
      <c r="J122" s="89">
        <v>4</v>
      </c>
      <c r="K122" s="89">
        <v>0</v>
      </c>
      <c r="L122" s="89">
        <v>1</v>
      </c>
      <c r="M122" s="89">
        <v>0</v>
      </c>
      <c r="N122" s="89">
        <v>0</v>
      </c>
      <c r="O122" s="89">
        <v>0</v>
      </c>
      <c r="P122" s="89">
        <v>0</v>
      </c>
      <c r="Q122" s="89">
        <v>0</v>
      </c>
      <c r="R122" s="89">
        <v>1</v>
      </c>
      <c r="S122" s="89">
        <v>2</v>
      </c>
      <c r="T122" s="89">
        <v>64</v>
      </c>
      <c r="U122" s="104"/>
      <c r="V122" s="17" t="s">
        <v>54</v>
      </c>
      <c r="W122" s="89">
        <v>38</v>
      </c>
      <c r="X122" s="89">
        <v>0</v>
      </c>
      <c r="Y122" s="89">
        <v>0</v>
      </c>
      <c r="Z122" s="89">
        <v>0</v>
      </c>
      <c r="AA122" s="89">
        <v>0</v>
      </c>
      <c r="AB122" s="89">
        <v>1</v>
      </c>
      <c r="AC122" s="89">
        <v>0</v>
      </c>
      <c r="AD122" s="89">
        <v>4</v>
      </c>
      <c r="AE122" s="89">
        <v>4</v>
      </c>
      <c r="AF122" s="89">
        <v>0</v>
      </c>
      <c r="AG122" s="109">
        <v>0</v>
      </c>
      <c r="AH122" s="89">
        <v>0</v>
      </c>
      <c r="AI122" s="89">
        <v>0</v>
      </c>
      <c r="AJ122" s="89">
        <v>0</v>
      </c>
      <c r="AK122" s="89">
        <v>0</v>
      </c>
      <c r="AL122" s="89">
        <v>0</v>
      </c>
      <c r="AM122" s="89">
        <v>0</v>
      </c>
      <c r="AN122" s="89">
        <v>0</v>
      </c>
      <c r="AO122" s="89">
        <v>47</v>
      </c>
      <c r="AP122" s="104"/>
      <c r="AQ122" s="17" t="s">
        <v>54</v>
      </c>
      <c r="AR122" s="89">
        <v>41</v>
      </c>
      <c r="AS122" s="89">
        <v>0</v>
      </c>
      <c r="AT122" s="89">
        <v>0</v>
      </c>
      <c r="AU122" s="89">
        <v>0</v>
      </c>
      <c r="AV122" s="89">
        <v>0</v>
      </c>
      <c r="AW122" s="89">
        <v>1</v>
      </c>
      <c r="AX122" s="89">
        <v>0</v>
      </c>
      <c r="AY122" s="89">
        <v>4</v>
      </c>
      <c r="AZ122" s="89">
        <v>1</v>
      </c>
      <c r="BA122" s="89">
        <v>0</v>
      </c>
      <c r="BB122" s="89">
        <v>4</v>
      </c>
      <c r="BC122" s="89">
        <v>0</v>
      </c>
      <c r="BD122" s="89">
        <v>0</v>
      </c>
      <c r="BE122" s="89">
        <v>1</v>
      </c>
      <c r="BF122" s="89">
        <v>0</v>
      </c>
      <c r="BG122" s="89">
        <v>0</v>
      </c>
      <c r="BH122" s="89">
        <v>2</v>
      </c>
      <c r="BI122" s="89">
        <v>1</v>
      </c>
      <c r="BJ122" s="89">
        <v>55</v>
      </c>
      <c r="BK122" s="13"/>
      <c r="BL122" s="115" t="s">
        <v>54</v>
      </c>
      <c r="BM122" s="118">
        <v>41</v>
      </c>
      <c r="BN122" s="118">
        <v>0</v>
      </c>
      <c r="BO122" s="118">
        <v>0</v>
      </c>
      <c r="BP122" s="118">
        <v>1</v>
      </c>
      <c r="BQ122" s="118">
        <v>0</v>
      </c>
      <c r="BR122" s="118">
        <v>1</v>
      </c>
      <c r="BS122" s="118">
        <v>0</v>
      </c>
      <c r="BT122" s="118">
        <v>4</v>
      </c>
      <c r="BU122" s="118">
        <v>8</v>
      </c>
      <c r="BV122" s="118">
        <v>0</v>
      </c>
      <c r="BW122" s="118">
        <v>2</v>
      </c>
      <c r="BX122" s="118">
        <v>0</v>
      </c>
      <c r="BY122" s="118">
        <v>0</v>
      </c>
      <c r="BZ122" s="118">
        <v>0</v>
      </c>
      <c r="CA122" s="118">
        <v>0</v>
      </c>
      <c r="CB122" s="118">
        <v>1</v>
      </c>
      <c r="CC122" s="118">
        <v>0</v>
      </c>
      <c r="CD122" s="118">
        <v>0</v>
      </c>
      <c r="CE122" s="119">
        <v>58</v>
      </c>
      <c r="CF122" s="13"/>
      <c r="CG122" s="118" t="s">
        <v>54</v>
      </c>
      <c r="CH122" s="118">
        <v>47</v>
      </c>
      <c r="CI122" s="118">
        <v>1</v>
      </c>
      <c r="CJ122" s="118">
        <v>0</v>
      </c>
      <c r="CK122" s="118">
        <v>0</v>
      </c>
      <c r="CL122" s="118">
        <v>0</v>
      </c>
      <c r="CM122" s="118">
        <v>0</v>
      </c>
      <c r="CN122" s="118">
        <v>0</v>
      </c>
      <c r="CO122" s="118">
        <v>8</v>
      </c>
      <c r="CP122" s="118">
        <v>5</v>
      </c>
      <c r="CQ122" s="118">
        <v>0</v>
      </c>
      <c r="CR122" s="118">
        <v>0</v>
      </c>
      <c r="CS122" s="118">
        <v>0</v>
      </c>
      <c r="CT122" s="118">
        <v>0</v>
      </c>
      <c r="CU122" s="118">
        <v>0</v>
      </c>
      <c r="CV122" s="118">
        <v>0</v>
      </c>
      <c r="CW122" s="118">
        <v>0</v>
      </c>
      <c r="CX122" s="118">
        <v>1</v>
      </c>
      <c r="CY122" s="118">
        <v>2</v>
      </c>
      <c r="CZ122" s="118">
        <v>64</v>
      </c>
      <c r="DA122" s="13"/>
      <c r="DB122" s="118" t="s">
        <v>54</v>
      </c>
      <c r="DC122" s="118">
        <v>57</v>
      </c>
      <c r="DD122" s="118">
        <v>0</v>
      </c>
      <c r="DE122" s="118">
        <v>0</v>
      </c>
      <c r="DF122" s="118">
        <v>0</v>
      </c>
      <c r="DG122" s="118">
        <v>0</v>
      </c>
      <c r="DH122" s="118">
        <v>0</v>
      </c>
      <c r="DI122" s="118">
        <v>0</v>
      </c>
      <c r="DJ122" s="118">
        <v>2</v>
      </c>
      <c r="DK122" s="118">
        <v>0</v>
      </c>
      <c r="DL122" s="118">
        <v>0</v>
      </c>
      <c r="DM122" s="118">
        <v>0</v>
      </c>
      <c r="DN122" s="118">
        <v>0</v>
      </c>
      <c r="DO122" s="118">
        <v>0</v>
      </c>
      <c r="DP122" s="118">
        <v>0</v>
      </c>
      <c r="DQ122" s="118">
        <v>0</v>
      </c>
      <c r="DR122" s="118">
        <v>0</v>
      </c>
      <c r="DS122" s="118">
        <v>0</v>
      </c>
      <c r="DT122" s="118">
        <v>0</v>
      </c>
      <c r="DU122" s="118">
        <v>59</v>
      </c>
      <c r="DV122" s="13"/>
      <c r="DW122" s="118" t="s">
        <v>54</v>
      </c>
      <c r="DX122" s="118">
        <v>33</v>
      </c>
      <c r="DY122" s="118">
        <v>3</v>
      </c>
      <c r="DZ122" s="118">
        <v>0</v>
      </c>
      <c r="EA122" s="118">
        <v>0</v>
      </c>
      <c r="EB122" s="118">
        <v>0</v>
      </c>
      <c r="EC122" s="118">
        <v>0</v>
      </c>
      <c r="ED122" s="118">
        <v>0</v>
      </c>
      <c r="EE122" s="118">
        <v>1</v>
      </c>
      <c r="EF122" s="118">
        <v>2</v>
      </c>
      <c r="EG122" s="118">
        <v>0</v>
      </c>
      <c r="EH122" s="118">
        <v>0</v>
      </c>
      <c r="EI122" s="118">
        <v>0</v>
      </c>
      <c r="EJ122" s="118">
        <v>0</v>
      </c>
      <c r="EK122" s="118">
        <v>0</v>
      </c>
      <c r="EL122" s="118">
        <v>0</v>
      </c>
      <c r="EM122" s="118">
        <v>0</v>
      </c>
      <c r="EN122" s="118">
        <v>0</v>
      </c>
      <c r="EO122" s="118">
        <v>0</v>
      </c>
      <c r="EP122" s="118">
        <v>39</v>
      </c>
      <c r="EQ122" s="13"/>
      <c r="ER122" s="118" t="s">
        <v>54</v>
      </c>
      <c r="ES122" s="118">
        <v>45</v>
      </c>
      <c r="ET122" s="118">
        <v>0</v>
      </c>
      <c r="EU122" s="118">
        <v>0</v>
      </c>
      <c r="EV122" s="118">
        <v>0</v>
      </c>
      <c r="EW122" s="118">
        <v>0</v>
      </c>
      <c r="EX122" s="118">
        <v>1</v>
      </c>
      <c r="EY122" s="118">
        <v>0</v>
      </c>
      <c r="EZ122" s="118">
        <v>2</v>
      </c>
      <c r="FA122" s="118">
        <v>1</v>
      </c>
      <c r="FB122" s="118">
        <v>0</v>
      </c>
      <c r="FC122" s="118">
        <v>1</v>
      </c>
      <c r="FD122" s="118">
        <v>0</v>
      </c>
      <c r="FE122" s="118">
        <v>0</v>
      </c>
      <c r="FF122" s="118">
        <v>0</v>
      </c>
      <c r="FG122" s="118">
        <v>0</v>
      </c>
      <c r="FH122" s="118">
        <v>0</v>
      </c>
      <c r="FI122" s="118">
        <v>3</v>
      </c>
      <c r="FJ122" s="118">
        <v>0</v>
      </c>
      <c r="FK122" s="118">
        <v>53</v>
      </c>
      <c r="FL122" s="13"/>
      <c r="FM122" s="118" t="s">
        <v>54</v>
      </c>
      <c r="FN122" s="118">
        <v>13</v>
      </c>
      <c r="FO122" s="118">
        <v>0</v>
      </c>
      <c r="FP122" s="118">
        <v>0</v>
      </c>
      <c r="FQ122" s="118">
        <v>0</v>
      </c>
      <c r="FR122" s="118">
        <v>0</v>
      </c>
      <c r="FS122" s="118">
        <v>1</v>
      </c>
      <c r="FT122" s="118">
        <v>0</v>
      </c>
      <c r="FU122" s="118">
        <v>0</v>
      </c>
      <c r="FV122" s="118">
        <v>1</v>
      </c>
      <c r="FW122" s="118">
        <v>0</v>
      </c>
      <c r="FX122" s="118">
        <v>0</v>
      </c>
      <c r="FY122" s="118">
        <v>0</v>
      </c>
      <c r="FZ122" s="118">
        <v>0</v>
      </c>
      <c r="GA122" s="118">
        <v>0</v>
      </c>
      <c r="GB122" s="118">
        <v>0</v>
      </c>
      <c r="GC122" s="118">
        <v>0</v>
      </c>
      <c r="GD122" s="118">
        <v>0</v>
      </c>
      <c r="GE122" s="118">
        <v>30</v>
      </c>
      <c r="GF122" s="118">
        <v>45</v>
      </c>
      <c r="GG122" s="13"/>
      <c r="GH122" s="118" t="s">
        <v>54</v>
      </c>
      <c r="GI122" s="118">
        <v>25</v>
      </c>
      <c r="GJ122" s="118">
        <v>0</v>
      </c>
      <c r="GK122" s="118">
        <v>0</v>
      </c>
      <c r="GL122" s="118">
        <v>0</v>
      </c>
      <c r="GM122" s="118">
        <v>0</v>
      </c>
      <c r="GN122" s="118">
        <v>1</v>
      </c>
      <c r="GO122" s="118">
        <v>0</v>
      </c>
      <c r="GP122" s="118">
        <v>1</v>
      </c>
      <c r="GQ122" s="118">
        <v>2</v>
      </c>
      <c r="GR122" s="118">
        <v>0</v>
      </c>
      <c r="GS122" s="118">
        <v>0</v>
      </c>
      <c r="GT122" s="118">
        <v>0</v>
      </c>
      <c r="GU122" s="118">
        <v>0</v>
      </c>
      <c r="GV122" s="118">
        <v>0</v>
      </c>
      <c r="GW122" s="118">
        <v>0</v>
      </c>
      <c r="GX122" s="118">
        <v>0</v>
      </c>
      <c r="GY122" s="118">
        <v>1</v>
      </c>
      <c r="GZ122" s="118">
        <v>1</v>
      </c>
      <c r="HA122" s="118">
        <v>31</v>
      </c>
      <c r="HB122" s="13"/>
      <c r="HC122" s="118" t="s">
        <v>54</v>
      </c>
      <c r="HD122" s="118">
        <v>26</v>
      </c>
      <c r="HE122" s="118">
        <v>0</v>
      </c>
      <c r="HF122" s="118">
        <v>0</v>
      </c>
      <c r="HG122" s="118">
        <v>0</v>
      </c>
      <c r="HH122" s="118">
        <v>0</v>
      </c>
      <c r="HI122" s="118">
        <v>0</v>
      </c>
      <c r="HJ122" s="118">
        <v>1</v>
      </c>
      <c r="HK122" s="118">
        <v>0</v>
      </c>
      <c r="HL122" s="118">
        <v>1</v>
      </c>
      <c r="HM122" s="118">
        <v>0</v>
      </c>
      <c r="HN122" s="118">
        <v>2</v>
      </c>
      <c r="HO122" s="118">
        <v>0</v>
      </c>
      <c r="HP122" s="118">
        <v>0</v>
      </c>
      <c r="HQ122" s="118">
        <v>0</v>
      </c>
      <c r="HR122" s="118">
        <v>0</v>
      </c>
      <c r="HS122" s="118">
        <v>0</v>
      </c>
      <c r="HT122" s="118">
        <v>1</v>
      </c>
      <c r="HU122" s="118">
        <v>1</v>
      </c>
      <c r="HV122" s="118">
        <v>32</v>
      </c>
      <c r="HW122" s="13"/>
      <c r="HX122" s="118" t="s">
        <v>54</v>
      </c>
      <c r="HY122" s="118">
        <v>10</v>
      </c>
      <c r="HZ122" s="118">
        <v>0</v>
      </c>
      <c r="IA122" s="118">
        <v>0</v>
      </c>
      <c r="IB122" s="118">
        <v>0</v>
      </c>
      <c r="IC122" s="118">
        <v>0</v>
      </c>
      <c r="ID122" s="118">
        <v>0</v>
      </c>
      <c r="IE122" s="118">
        <v>0</v>
      </c>
      <c r="IF122" s="118">
        <v>0</v>
      </c>
      <c r="IG122" s="118">
        <v>0</v>
      </c>
      <c r="IH122" s="118">
        <v>0</v>
      </c>
      <c r="II122" s="118">
        <v>0</v>
      </c>
      <c r="IJ122" s="118">
        <v>0</v>
      </c>
      <c r="IK122" s="118">
        <v>0</v>
      </c>
      <c r="IL122" s="118">
        <v>0</v>
      </c>
      <c r="IM122" s="118">
        <v>0</v>
      </c>
      <c r="IN122" s="118">
        <v>0</v>
      </c>
      <c r="IO122" s="118">
        <v>0</v>
      </c>
      <c r="IP122" s="118">
        <v>0</v>
      </c>
      <c r="IQ122" s="118">
        <v>10</v>
      </c>
      <c r="IR122" s="13"/>
      <c r="IS122" s="118" t="s">
        <v>54</v>
      </c>
      <c r="IT122" s="118">
        <v>46</v>
      </c>
      <c r="IU122" s="118">
        <v>0</v>
      </c>
      <c r="IV122" s="118">
        <v>0</v>
      </c>
      <c r="IW122" s="118">
        <v>0</v>
      </c>
      <c r="IX122" s="118">
        <v>0</v>
      </c>
      <c r="IY122" s="118">
        <v>0</v>
      </c>
      <c r="IZ122" s="118">
        <v>0</v>
      </c>
      <c r="JA122" s="118">
        <v>1</v>
      </c>
      <c r="JB122" s="118">
        <v>3</v>
      </c>
      <c r="JC122" s="118">
        <v>0</v>
      </c>
      <c r="JD122" s="118">
        <v>1</v>
      </c>
      <c r="JE122" s="118">
        <v>0</v>
      </c>
      <c r="JF122" s="118">
        <v>0</v>
      </c>
      <c r="JG122" s="118">
        <v>0</v>
      </c>
      <c r="JH122" s="118">
        <v>0</v>
      </c>
      <c r="JI122" s="118">
        <v>0</v>
      </c>
      <c r="JJ122" s="118">
        <v>1</v>
      </c>
      <c r="JK122" s="118">
        <v>0</v>
      </c>
      <c r="JL122" s="118">
        <v>52</v>
      </c>
      <c r="JM122" s="13"/>
      <c r="JN122" s="70" t="s">
        <v>54</v>
      </c>
      <c r="JO122" s="122">
        <v>29</v>
      </c>
      <c r="JP122" s="122">
        <v>0</v>
      </c>
      <c r="JQ122" s="122">
        <v>0</v>
      </c>
      <c r="JR122" s="122">
        <v>0</v>
      </c>
      <c r="JS122" s="122">
        <v>0</v>
      </c>
      <c r="JT122" s="122">
        <v>2</v>
      </c>
      <c r="JU122" s="122">
        <v>0</v>
      </c>
      <c r="JV122" s="122">
        <v>0</v>
      </c>
      <c r="JW122" s="122">
        <v>3</v>
      </c>
      <c r="JX122" s="122">
        <v>0</v>
      </c>
      <c r="JY122" s="122">
        <v>0</v>
      </c>
      <c r="JZ122" s="122">
        <v>0</v>
      </c>
      <c r="KA122" s="122">
        <v>0</v>
      </c>
      <c r="KB122" s="122">
        <v>0</v>
      </c>
      <c r="KC122" s="122">
        <v>0</v>
      </c>
      <c r="KD122" s="122">
        <v>0</v>
      </c>
      <c r="KE122" s="122">
        <v>0</v>
      </c>
      <c r="KF122" s="122">
        <v>0</v>
      </c>
      <c r="KG122" s="123">
        <v>34</v>
      </c>
      <c r="KH122" s="13"/>
      <c r="KI122" s="118" t="s">
        <v>54</v>
      </c>
      <c r="KJ122" s="118">
        <v>10</v>
      </c>
      <c r="KK122" s="118">
        <v>0</v>
      </c>
      <c r="KL122" s="118">
        <v>0</v>
      </c>
      <c r="KM122" s="118">
        <v>12</v>
      </c>
      <c r="KN122" s="118">
        <v>0</v>
      </c>
      <c r="KO122" s="118">
        <v>1</v>
      </c>
      <c r="KP122" s="118">
        <v>0</v>
      </c>
      <c r="KQ122" s="118">
        <v>0</v>
      </c>
      <c r="KR122" s="118">
        <v>0</v>
      </c>
      <c r="KS122" s="118">
        <v>0</v>
      </c>
      <c r="KT122" s="118">
        <v>1</v>
      </c>
      <c r="KU122" s="118">
        <v>0</v>
      </c>
      <c r="KV122" s="118">
        <v>0</v>
      </c>
      <c r="KW122" s="118">
        <v>0</v>
      </c>
      <c r="KX122" s="118">
        <v>0</v>
      </c>
      <c r="KY122" s="118">
        <v>0</v>
      </c>
      <c r="KZ122" s="118">
        <v>0</v>
      </c>
      <c r="LA122" s="118">
        <v>0</v>
      </c>
      <c r="LB122" s="118">
        <v>24</v>
      </c>
      <c r="LC122" s="13"/>
      <c r="LD122" s="58" t="s">
        <v>54</v>
      </c>
      <c r="LE122" s="65">
        <v>18</v>
      </c>
      <c r="LF122" s="65">
        <v>0</v>
      </c>
      <c r="LG122" s="65">
        <v>1</v>
      </c>
      <c r="LH122" s="65">
        <v>10</v>
      </c>
      <c r="LI122" s="65">
        <v>1</v>
      </c>
      <c r="LJ122" s="65">
        <v>0</v>
      </c>
      <c r="LK122" s="65">
        <v>0</v>
      </c>
      <c r="LL122" s="65">
        <v>0</v>
      </c>
      <c r="LM122" s="65">
        <v>0</v>
      </c>
      <c r="LN122" s="65">
        <v>0</v>
      </c>
      <c r="LO122" s="65">
        <v>4</v>
      </c>
      <c r="LP122" s="65">
        <v>0</v>
      </c>
      <c r="LQ122" s="65">
        <v>0</v>
      </c>
      <c r="LR122" s="65">
        <v>0</v>
      </c>
      <c r="LS122" s="65">
        <v>0</v>
      </c>
      <c r="LT122" s="65">
        <v>0</v>
      </c>
      <c r="LU122" s="65">
        <v>0</v>
      </c>
      <c r="LV122" s="65">
        <v>0</v>
      </c>
      <c r="LW122" s="65">
        <v>0</v>
      </c>
      <c r="LX122" s="65">
        <v>0</v>
      </c>
      <c r="LY122" s="65">
        <v>0</v>
      </c>
      <c r="LZ122" s="65">
        <v>0</v>
      </c>
      <c r="MA122" s="65">
        <v>34</v>
      </c>
      <c r="MB122" s="13"/>
      <c r="MC122" s="180" t="s">
        <v>54</v>
      </c>
      <c r="MD122" s="181">
        <v>33</v>
      </c>
      <c r="ME122" s="181">
        <v>0</v>
      </c>
      <c r="MF122" s="181">
        <v>0</v>
      </c>
      <c r="MG122" s="181">
        <v>1</v>
      </c>
      <c r="MH122" s="181">
        <v>0</v>
      </c>
      <c r="MI122" s="181">
        <v>0</v>
      </c>
      <c r="MJ122" s="181">
        <v>0</v>
      </c>
      <c r="MK122" s="181">
        <v>1</v>
      </c>
      <c r="ML122" s="181">
        <v>2</v>
      </c>
      <c r="MM122" s="181">
        <v>0</v>
      </c>
      <c r="MN122" s="181">
        <v>0</v>
      </c>
      <c r="MO122" s="181">
        <v>0</v>
      </c>
      <c r="MP122" s="181">
        <v>0</v>
      </c>
      <c r="MQ122" s="181">
        <v>0</v>
      </c>
      <c r="MR122" s="181">
        <v>0</v>
      </c>
      <c r="MS122" s="181">
        <v>0</v>
      </c>
      <c r="MT122" s="181">
        <v>0</v>
      </c>
      <c r="MU122" s="181">
        <v>0</v>
      </c>
      <c r="MV122" s="181">
        <v>37</v>
      </c>
      <c r="MW122" s="13"/>
      <c r="MX122" s="74" t="s">
        <v>54</v>
      </c>
      <c r="MY122" s="127">
        <v>34</v>
      </c>
      <c r="MZ122" s="127">
        <v>0</v>
      </c>
      <c r="NA122" s="127">
        <v>0</v>
      </c>
      <c r="NB122" s="127">
        <v>0</v>
      </c>
      <c r="NC122" s="127">
        <v>0</v>
      </c>
      <c r="ND122" s="127">
        <v>0</v>
      </c>
      <c r="NE122" s="127">
        <v>0</v>
      </c>
      <c r="NF122" s="127">
        <v>0</v>
      </c>
      <c r="NG122" s="127">
        <v>0</v>
      </c>
      <c r="NH122" s="127">
        <v>0</v>
      </c>
      <c r="NI122" s="127">
        <v>3</v>
      </c>
      <c r="NJ122" s="127">
        <v>0</v>
      </c>
      <c r="NK122" s="127">
        <v>0</v>
      </c>
      <c r="NL122" s="127">
        <v>0</v>
      </c>
      <c r="NM122" s="127">
        <v>0</v>
      </c>
      <c r="NN122" s="127">
        <v>0</v>
      </c>
      <c r="NO122" s="127">
        <v>0</v>
      </c>
      <c r="NP122" s="127">
        <v>0</v>
      </c>
      <c r="NQ122" s="127">
        <v>37</v>
      </c>
      <c r="NR122" s="13"/>
      <c r="NS122" s="74" t="s">
        <v>54</v>
      </c>
      <c r="NT122" s="127">
        <v>29</v>
      </c>
      <c r="NU122" s="127">
        <v>5</v>
      </c>
      <c r="NV122" s="127">
        <v>4</v>
      </c>
      <c r="NW122" s="127">
        <v>3</v>
      </c>
      <c r="NX122" s="127">
        <v>0</v>
      </c>
      <c r="NY122" s="127">
        <v>0</v>
      </c>
      <c r="NZ122" s="127">
        <v>0</v>
      </c>
      <c r="OA122" s="127">
        <v>0</v>
      </c>
      <c r="OB122" s="127">
        <v>1</v>
      </c>
      <c r="OC122" s="127">
        <v>0</v>
      </c>
      <c r="OD122" s="127">
        <v>0</v>
      </c>
      <c r="OE122" s="127">
        <v>0</v>
      </c>
      <c r="OF122" s="127">
        <v>0</v>
      </c>
      <c r="OG122" s="127">
        <v>0</v>
      </c>
      <c r="OH122" s="127">
        <v>0</v>
      </c>
      <c r="OI122" s="127">
        <v>0</v>
      </c>
      <c r="OJ122" s="127">
        <v>0</v>
      </c>
      <c r="OK122" s="127">
        <v>0</v>
      </c>
      <c r="OL122" s="127">
        <v>42</v>
      </c>
    </row>
    <row r="123" spans="1:402" ht="15.5" thickBot="1">
      <c r="A123" s="17" t="s">
        <v>55</v>
      </c>
      <c r="B123" s="89">
        <v>91</v>
      </c>
      <c r="C123" s="89">
        <v>0</v>
      </c>
      <c r="D123" s="89">
        <v>8</v>
      </c>
      <c r="E123" s="89">
        <v>4</v>
      </c>
      <c r="F123" s="89">
        <v>8</v>
      </c>
      <c r="G123" s="89">
        <v>1</v>
      </c>
      <c r="H123" s="89">
        <v>0</v>
      </c>
      <c r="I123" s="89">
        <v>16</v>
      </c>
      <c r="J123" s="89">
        <v>8</v>
      </c>
      <c r="K123" s="89">
        <v>2</v>
      </c>
      <c r="L123" s="89">
        <v>6</v>
      </c>
      <c r="M123" s="89">
        <v>6</v>
      </c>
      <c r="N123" s="89">
        <v>0</v>
      </c>
      <c r="O123" s="89">
        <v>1</v>
      </c>
      <c r="P123" s="89">
        <v>0</v>
      </c>
      <c r="Q123" s="89">
        <v>1</v>
      </c>
      <c r="R123" s="89">
        <v>26</v>
      </c>
      <c r="S123" s="89">
        <v>0</v>
      </c>
      <c r="T123" s="89">
        <v>178</v>
      </c>
      <c r="U123" s="104"/>
      <c r="V123" s="17" t="s">
        <v>55</v>
      </c>
      <c r="W123" s="89">
        <v>105</v>
      </c>
      <c r="X123" s="89">
        <v>0</v>
      </c>
      <c r="Y123" s="89">
        <v>8</v>
      </c>
      <c r="Z123" s="89">
        <v>5</v>
      </c>
      <c r="AA123" s="89">
        <v>10</v>
      </c>
      <c r="AB123" s="89">
        <v>0</v>
      </c>
      <c r="AC123" s="89">
        <v>0</v>
      </c>
      <c r="AD123" s="89">
        <v>19</v>
      </c>
      <c r="AE123" s="89">
        <v>6</v>
      </c>
      <c r="AF123" s="89">
        <v>0</v>
      </c>
      <c r="AG123" s="109">
        <v>11</v>
      </c>
      <c r="AH123" s="89">
        <v>9</v>
      </c>
      <c r="AI123" s="89">
        <v>4</v>
      </c>
      <c r="AJ123" s="89">
        <v>1</v>
      </c>
      <c r="AK123" s="89">
        <v>0</v>
      </c>
      <c r="AL123" s="89">
        <v>0</v>
      </c>
      <c r="AM123" s="89">
        <v>35</v>
      </c>
      <c r="AN123" s="89">
        <v>3</v>
      </c>
      <c r="AO123" s="89">
        <v>216</v>
      </c>
      <c r="AP123" s="104"/>
      <c r="AQ123" s="17" t="s">
        <v>55</v>
      </c>
      <c r="AR123" s="89">
        <v>56</v>
      </c>
      <c r="AS123" s="89">
        <v>0</v>
      </c>
      <c r="AT123" s="89">
        <v>3</v>
      </c>
      <c r="AU123" s="89">
        <v>6</v>
      </c>
      <c r="AV123" s="89">
        <v>5</v>
      </c>
      <c r="AW123" s="89">
        <v>4</v>
      </c>
      <c r="AX123" s="89">
        <v>0</v>
      </c>
      <c r="AY123" s="89">
        <v>10</v>
      </c>
      <c r="AZ123" s="89">
        <v>9</v>
      </c>
      <c r="BA123" s="89">
        <v>0</v>
      </c>
      <c r="BB123" s="89">
        <v>7</v>
      </c>
      <c r="BC123" s="89">
        <v>2</v>
      </c>
      <c r="BD123" s="89">
        <v>2</v>
      </c>
      <c r="BE123" s="89">
        <v>0</v>
      </c>
      <c r="BF123" s="89">
        <v>0</v>
      </c>
      <c r="BG123" s="89">
        <v>0</v>
      </c>
      <c r="BH123" s="89">
        <v>32</v>
      </c>
      <c r="BI123" s="89">
        <v>3</v>
      </c>
      <c r="BJ123" s="89">
        <v>139</v>
      </c>
      <c r="BK123" s="13"/>
      <c r="BL123" s="115" t="s">
        <v>55</v>
      </c>
      <c r="BM123" s="118">
        <v>72</v>
      </c>
      <c r="BN123" s="118">
        <v>0</v>
      </c>
      <c r="BO123" s="118">
        <v>5</v>
      </c>
      <c r="BP123" s="118">
        <v>4</v>
      </c>
      <c r="BQ123" s="118">
        <v>7</v>
      </c>
      <c r="BR123" s="118">
        <v>0</v>
      </c>
      <c r="BS123" s="118">
        <v>0</v>
      </c>
      <c r="BT123" s="118">
        <v>9</v>
      </c>
      <c r="BU123" s="118">
        <v>6</v>
      </c>
      <c r="BV123" s="118">
        <v>0</v>
      </c>
      <c r="BW123" s="118">
        <v>8</v>
      </c>
      <c r="BX123" s="118">
        <v>1</v>
      </c>
      <c r="BY123" s="118">
        <v>1</v>
      </c>
      <c r="BZ123" s="118">
        <v>0</v>
      </c>
      <c r="CA123" s="118">
        <v>0</v>
      </c>
      <c r="CB123" s="118">
        <v>1</v>
      </c>
      <c r="CC123" s="118">
        <v>21</v>
      </c>
      <c r="CD123" s="118">
        <v>2</v>
      </c>
      <c r="CE123" s="119">
        <v>137</v>
      </c>
      <c r="CF123" s="13"/>
      <c r="CG123" s="118" t="s">
        <v>55</v>
      </c>
      <c r="CH123" s="118">
        <v>105</v>
      </c>
      <c r="CI123" s="118">
        <v>0</v>
      </c>
      <c r="CJ123" s="118">
        <v>5</v>
      </c>
      <c r="CK123" s="118">
        <v>7</v>
      </c>
      <c r="CL123" s="118">
        <v>15</v>
      </c>
      <c r="CM123" s="118">
        <v>1</v>
      </c>
      <c r="CN123" s="118">
        <v>0</v>
      </c>
      <c r="CO123" s="118">
        <v>20</v>
      </c>
      <c r="CP123" s="118">
        <v>7</v>
      </c>
      <c r="CQ123" s="118">
        <v>0</v>
      </c>
      <c r="CR123" s="118">
        <v>16</v>
      </c>
      <c r="CS123" s="118">
        <v>3</v>
      </c>
      <c r="CT123" s="118">
        <v>5</v>
      </c>
      <c r="CU123" s="118">
        <v>1</v>
      </c>
      <c r="CV123" s="118">
        <v>0</v>
      </c>
      <c r="CW123" s="118">
        <v>0</v>
      </c>
      <c r="CX123" s="118">
        <v>39</v>
      </c>
      <c r="CY123" s="118">
        <v>8</v>
      </c>
      <c r="CZ123" s="118">
        <v>232</v>
      </c>
      <c r="DA123" s="13"/>
      <c r="DB123" s="118" t="s">
        <v>55</v>
      </c>
      <c r="DC123" s="118">
        <v>132</v>
      </c>
      <c r="DD123" s="118">
        <v>1</v>
      </c>
      <c r="DE123" s="118">
        <v>9</v>
      </c>
      <c r="DF123" s="118">
        <v>5</v>
      </c>
      <c r="DG123" s="118">
        <v>13</v>
      </c>
      <c r="DH123" s="118">
        <v>2</v>
      </c>
      <c r="DI123" s="118">
        <v>0</v>
      </c>
      <c r="DJ123" s="118">
        <v>20</v>
      </c>
      <c r="DK123" s="118">
        <v>11</v>
      </c>
      <c r="DL123" s="118">
        <v>0</v>
      </c>
      <c r="DM123" s="118">
        <v>6</v>
      </c>
      <c r="DN123" s="118">
        <v>2</v>
      </c>
      <c r="DO123" s="118">
        <v>10</v>
      </c>
      <c r="DP123" s="118">
        <v>0</v>
      </c>
      <c r="DQ123" s="118">
        <v>0</v>
      </c>
      <c r="DR123" s="118">
        <v>1</v>
      </c>
      <c r="DS123" s="118">
        <v>2</v>
      </c>
      <c r="DT123" s="118">
        <v>8</v>
      </c>
      <c r="DU123" s="118">
        <v>222</v>
      </c>
      <c r="DV123" s="13"/>
      <c r="DW123" s="118" t="s">
        <v>55</v>
      </c>
      <c r="DX123" s="118">
        <v>131</v>
      </c>
      <c r="DY123" s="118">
        <v>0</v>
      </c>
      <c r="DZ123" s="118">
        <v>9</v>
      </c>
      <c r="EA123" s="118">
        <v>9</v>
      </c>
      <c r="EB123" s="118">
        <v>17</v>
      </c>
      <c r="EC123" s="118">
        <v>0</v>
      </c>
      <c r="ED123" s="118">
        <v>0</v>
      </c>
      <c r="EE123" s="118">
        <v>17</v>
      </c>
      <c r="EF123" s="118">
        <v>16</v>
      </c>
      <c r="EG123" s="118">
        <v>0</v>
      </c>
      <c r="EH123" s="118">
        <v>16</v>
      </c>
      <c r="EI123" s="118">
        <v>2</v>
      </c>
      <c r="EJ123" s="118">
        <v>9</v>
      </c>
      <c r="EK123" s="118">
        <v>1</v>
      </c>
      <c r="EL123" s="118">
        <v>0</v>
      </c>
      <c r="EM123" s="118">
        <v>2</v>
      </c>
      <c r="EN123" s="118">
        <v>2</v>
      </c>
      <c r="EO123" s="118">
        <v>2</v>
      </c>
      <c r="EP123" s="118">
        <v>233</v>
      </c>
      <c r="EQ123" s="13"/>
      <c r="ER123" s="118" t="s">
        <v>55</v>
      </c>
      <c r="ES123" s="118">
        <v>99</v>
      </c>
      <c r="ET123" s="118">
        <v>0</v>
      </c>
      <c r="EU123" s="118">
        <v>15</v>
      </c>
      <c r="EV123" s="118">
        <v>3</v>
      </c>
      <c r="EW123" s="118">
        <v>9</v>
      </c>
      <c r="EX123" s="118">
        <v>0</v>
      </c>
      <c r="EY123" s="118">
        <v>0</v>
      </c>
      <c r="EZ123" s="118">
        <v>14</v>
      </c>
      <c r="FA123" s="118">
        <v>0</v>
      </c>
      <c r="FB123" s="118">
        <v>0</v>
      </c>
      <c r="FC123" s="118">
        <v>13</v>
      </c>
      <c r="FD123" s="118">
        <v>5</v>
      </c>
      <c r="FE123" s="118">
        <v>4</v>
      </c>
      <c r="FF123" s="118">
        <v>0</v>
      </c>
      <c r="FG123" s="118">
        <v>0</v>
      </c>
      <c r="FH123" s="118">
        <v>5</v>
      </c>
      <c r="FI123" s="118">
        <v>4</v>
      </c>
      <c r="FJ123" s="118">
        <v>5</v>
      </c>
      <c r="FK123" s="118">
        <v>176</v>
      </c>
      <c r="FL123" s="13"/>
      <c r="FM123" s="118" t="s">
        <v>55</v>
      </c>
      <c r="FN123" s="118">
        <v>82</v>
      </c>
      <c r="FO123" s="118">
        <v>1</v>
      </c>
      <c r="FP123" s="118">
        <v>6</v>
      </c>
      <c r="FQ123" s="118">
        <v>5</v>
      </c>
      <c r="FR123" s="118">
        <v>16</v>
      </c>
      <c r="FS123" s="118">
        <v>2</v>
      </c>
      <c r="FT123" s="118">
        <v>0</v>
      </c>
      <c r="FU123" s="118">
        <v>0</v>
      </c>
      <c r="FV123" s="118">
        <v>8</v>
      </c>
      <c r="FW123" s="118">
        <v>0</v>
      </c>
      <c r="FX123" s="118">
        <v>13</v>
      </c>
      <c r="FY123" s="118">
        <v>7</v>
      </c>
      <c r="FZ123" s="118">
        <v>0</v>
      </c>
      <c r="GA123" s="118">
        <v>0</v>
      </c>
      <c r="GB123" s="118">
        <v>0</v>
      </c>
      <c r="GC123" s="118">
        <v>0</v>
      </c>
      <c r="GD123" s="118">
        <v>6</v>
      </c>
      <c r="GE123" s="118">
        <v>35</v>
      </c>
      <c r="GF123" s="118">
        <v>181</v>
      </c>
      <c r="GG123" s="13"/>
      <c r="GH123" s="118" t="s">
        <v>55</v>
      </c>
      <c r="GI123" s="118">
        <v>73</v>
      </c>
      <c r="GJ123" s="118">
        <v>1</v>
      </c>
      <c r="GK123" s="118">
        <v>12</v>
      </c>
      <c r="GL123" s="118">
        <v>7</v>
      </c>
      <c r="GM123" s="118">
        <v>9</v>
      </c>
      <c r="GN123" s="118">
        <v>0</v>
      </c>
      <c r="GO123" s="118">
        <v>0</v>
      </c>
      <c r="GP123" s="118">
        <v>13</v>
      </c>
      <c r="GQ123" s="118">
        <v>2</v>
      </c>
      <c r="GR123" s="118">
        <v>0</v>
      </c>
      <c r="GS123" s="118">
        <v>8</v>
      </c>
      <c r="GT123" s="118">
        <v>0</v>
      </c>
      <c r="GU123" s="118">
        <v>1</v>
      </c>
      <c r="GV123" s="118">
        <v>0</v>
      </c>
      <c r="GW123" s="118">
        <v>0</v>
      </c>
      <c r="GX123" s="118">
        <v>1</v>
      </c>
      <c r="GY123" s="118">
        <v>0</v>
      </c>
      <c r="GZ123" s="118">
        <v>4</v>
      </c>
      <c r="HA123" s="118">
        <v>131</v>
      </c>
      <c r="HB123" s="13"/>
      <c r="HC123" s="118" t="s">
        <v>55</v>
      </c>
      <c r="HD123" s="118">
        <v>64</v>
      </c>
      <c r="HE123" s="118">
        <v>0</v>
      </c>
      <c r="HF123" s="118">
        <v>7</v>
      </c>
      <c r="HG123" s="118">
        <v>7</v>
      </c>
      <c r="HH123" s="118">
        <v>6</v>
      </c>
      <c r="HI123" s="118">
        <v>0</v>
      </c>
      <c r="HJ123" s="118">
        <v>0</v>
      </c>
      <c r="HK123" s="118">
        <v>14</v>
      </c>
      <c r="HL123" s="118">
        <v>2</v>
      </c>
      <c r="HM123" s="118">
        <v>0</v>
      </c>
      <c r="HN123" s="118">
        <v>5</v>
      </c>
      <c r="HO123" s="118">
        <v>2</v>
      </c>
      <c r="HP123" s="118">
        <v>1</v>
      </c>
      <c r="HQ123" s="118">
        <v>0</v>
      </c>
      <c r="HR123" s="118">
        <v>0</v>
      </c>
      <c r="HS123" s="118">
        <v>0</v>
      </c>
      <c r="HT123" s="118">
        <v>0</v>
      </c>
      <c r="HU123" s="118">
        <v>10</v>
      </c>
      <c r="HV123" s="118">
        <v>118</v>
      </c>
      <c r="HW123" s="13"/>
      <c r="HX123" s="118" t="s">
        <v>55</v>
      </c>
      <c r="HY123" s="118">
        <v>21</v>
      </c>
      <c r="HZ123" s="118">
        <v>2</v>
      </c>
      <c r="IA123" s="118">
        <v>13</v>
      </c>
      <c r="IB123" s="118">
        <v>2</v>
      </c>
      <c r="IC123" s="118">
        <v>9</v>
      </c>
      <c r="ID123" s="118">
        <v>0</v>
      </c>
      <c r="IE123" s="118">
        <v>0</v>
      </c>
      <c r="IF123" s="118">
        <v>5</v>
      </c>
      <c r="IG123" s="118">
        <v>1</v>
      </c>
      <c r="IH123" s="118">
        <v>0</v>
      </c>
      <c r="II123" s="118">
        <v>5</v>
      </c>
      <c r="IJ123" s="118">
        <v>2</v>
      </c>
      <c r="IK123" s="118">
        <v>8</v>
      </c>
      <c r="IL123" s="118">
        <v>0</v>
      </c>
      <c r="IM123" s="118">
        <v>0</v>
      </c>
      <c r="IN123" s="118">
        <v>0</v>
      </c>
      <c r="IO123" s="118">
        <v>40</v>
      </c>
      <c r="IP123" s="118">
        <v>4</v>
      </c>
      <c r="IQ123" s="118">
        <v>112</v>
      </c>
      <c r="IR123" s="13"/>
      <c r="IS123" s="118" t="s">
        <v>55</v>
      </c>
      <c r="IT123" s="118">
        <v>67</v>
      </c>
      <c r="IU123" s="118">
        <v>0</v>
      </c>
      <c r="IV123" s="118">
        <v>7</v>
      </c>
      <c r="IW123" s="118">
        <v>11</v>
      </c>
      <c r="IX123" s="118">
        <v>9</v>
      </c>
      <c r="IY123" s="118">
        <v>4</v>
      </c>
      <c r="IZ123" s="118">
        <v>1</v>
      </c>
      <c r="JA123" s="118">
        <v>9</v>
      </c>
      <c r="JB123" s="118">
        <v>1</v>
      </c>
      <c r="JC123" s="118">
        <v>1</v>
      </c>
      <c r="JD123" s="118">
        <v>0</v>
      </c>
      <c r="JE123" s="118">
        <v>0</v>
      </c>
      <c r="JF123" s="118">
        <v>1</v>
      </c>
      <c r="JG123" s="118">
        <v>0</v>
      </c>
      <c r="JH123" s="118">
        <v>0</v>
      </c>
      <c r="JI123" s="118">
        <v>0</v>
      </c>
      <c r="JJ123" s="118">
        <v>17</v>
      </c>
      <c r="JK123" s="118">
        <v>0</v>
      </c>
      <c r="JL123" s="118">
        <v>128</v>
      </c>
      <c r="JM123" s="13"/>
      <c r="JN123" s="70" t="s">
        <v>55</v>
      </c>
      <c r="JO123" s="122">
        <v>126</v>
      </c>
      <c r="JP123" s="122">
        <v>1</v>
      </c>
      <c r="JQ123" s="122">
        <v>21</v>
      </c>
      <c r="JR123" s="122">
        <v>6</v>
      </c>
      <c r="JS123" s="122">
        <v>11</v>
      </c>
      <c r="JT123" s="122">
        <v>0</v>
      </c>
      <c r="JU123" s="122">
        <v>0</v>
      </c>
      <c r="JV123" s="122">
        <v>22</v>
      </c>
      <c r="JW123" s="122">
        <v>0</v>
      </c>
      <c r="JX123" s="122">
        <v>0</v>
      </c>
      <c r="JY123" s="122">
        <v>3</v>
      </c>
      <c r="JZ123" s="122">
        <v>0</v>
      </c>
      <c r="KA123" s="122">
        <v>0</v>
      </c>
      <c r="KB123" s="122">
        <v>1</v>
      </c>
      <c r="KC123" s="122">
        <v>0</v>
      </c>
      <c r="KD123" s="122">
        <v>1</v>
      </c>
      <c r="KE123" s="122">
        <v>0</v>
      </c>
      <c r="KF123" s="122">
        <v>1</v>
      </c>
      <c r="KG123" s="123">
        <v>193</v>
      </c>
      <c r="KH123" s="13"/>
      <c r="KI123" s="118" t="s">
        <v>55</v>
      </c>
      <c r="KJ123" s="118">
        <v>76</v>
      </c>
      <c r="KK123" s="118">
        <v>0</v>
      </c>
      <c r="KL123" s="118">
        <v>11</v>
      </c>
      <c r="KM123" s="118">
        <v>1</v>
      </c>
      <c r="KN123" s="118">
        <v>2</v>
      </c>
      <c r="KO123" s="118">
        <v>17</v>
      </c>
      <c r="KP123" s="118">
        <v>7</v>
      </c>
      <c r="KQ123" s="118">
        <v>0</v>
      </c>
      <c r="KR123" s="118">
        <v>0</v>
      </c>
      <c r="KS123" s="118">
        <v>0</v>
      </c>
      <c r="KT123" s="118">
        <v>0</v>
      </c>
      <c r="KU123" s="118">
        <v>1</v>
      </c>
      <c r="KV123" s="118">
        <v>7</v>
      </c>
      <c r="KW123" s="118">
        <v>0</v>
      </c>
      <c r="KX123" s="118">
        <v>4</v>
      </c>
      <c r="KY123" s="118">
        <v>0</v>
      </c>
      <c r="KZ123" s="118">
        <v>0</v>
      </c>
      <c r="LA123" s="118">
        <v>0</v>
      </c>
      <c r="LB123" s="118">
        <v>126</v>
      </c>
      <c r="LC123" s="13"/>
      <c r="LD123" s="58" t="s">
        <v>55</v>
      </c>
      <c r="LE123" s="65">
        <v>64</v>
      </c>
      <c r="LF123" s="65">
        <v>0</v>
      </c>
      <c r="LG123" s="65">
        <v>12</v>
      </c>
      <c r="LH123" s="65">
        <v>0</v>
      </c>
      <c r="LI123" s="65">
        <v>2</v>
      </c>
      <c r="LJ123" s="65">
        <v>5</v>
      </c>
      <c r="LK123" s="65">
        <v>8</v>
      </c>
      <c r="LL123" s="65">
        <v>4</v>
      </c>
      <c r="LM123" s="65">
        <v>0</v>
      </c>
      <c r="LN123" s="65">
        <v>0</v>
      </c>
      <c r="LO123" s="65">
        <v>3</v>
      </c>
      <c r="LP123" s="65">
        <v>1</v>
      </c>
      <c r="LQ123" s="65">
        <v>6</v>
      </c>
      <c r="LR123" s="65">
        <v>0</v>
      </c>
      <c r="LS123" s="65">
        <v>0</v>
      </c>
      <c r="LT123" s="65">
        <v>0</v>
      </c>
      <c r="LU123" s="65">
        <v>0</v>
      </c>
      <c r="LV123" s="65">
        <v>0</v>
      </c>
      <c r="LW123" s="65">
        <v>0</v>
      </c>
      <c r="LX123" s="65">
        <v>2</v>
      </c>
      <c r="LY123" s="65">
        <v>0</v>
      </c>
      <c r="LZ123" s="65">
        <v>0</v>
      </c>
      <c r="MA123" s="65">
        <v>107</v>
      </c>
      <c r="MB123" s="13"/>
      <c r="MC123" s="180" t="s">
        <v>55</v>
      </c>
      <c r="MD123" s="181">
        <v>14</v>
      </c>
      <c r="ME123" s="181">
        <v>0</v>
      </c>
      <c r="MF123" s="181">
        <v>5</v>
      </c>
      <c r="MG123" s="181">
        <v>2</v>
      </c>
      <c r="MH123" s="181">
        <v>14</v>
      </c>
      <c r="MI123" s="181">
        <v>3</v>
      </c>
      <c r="MJ123" s="181">
        <v>0</v>
      </c>
      <c r="MK123" s="181">
        <v>7</v>
      </c>
      <c r="ML123" s="181">
        <v>4</v>
      </c>
      <c r="MM123" s="181">
        <v>0</v>
      </c>
      <c r="MN123" s="181">
        <v>5</v>
      </c>
      <c r="MO123" s="181">
        <v>0</v>
      </c>
      <c r="MP123" s="181">
        <v>1</v>
      </c>
      <c r="MQ123" s="181">
        <v>0</v>
      </c>
      <c r="MR123" s="181">
        <v>0</v>
      </c>
      <c r="MS123" s="181">
        <v>1</v>
      </c>
      <c r="MT123" s="181">
        <v>0</v>
      </c>
      <c r="MU123" s="181">
        <v>1</v>
      </c>
      <c r="MV123" s="181">
        <v>57</v>
      </c>
      <c r="MW123" s="13"/>
      <c r="MX123" s="74" t="s">
        <v>55</v>
      </c>
      <c r="MY123" s="127">
        <v>23</v>
      </c>
      <c r="MZ123" s="127">
        <v>0</v>
      </c>
      <c r="NA123" s="127">
        <v>7</v>
      </c>
      <c r="NB123" s="127">
        <v>3</v>
      </c>
      <c r="NC123" s="127">
        <v>19</v>
      </c>
      <c r="ND123" s="127">
        <v>4</v>
      </c>
      <c r="NE123" s="127">
        <v>0</v>
      </c>
      <c r="NF123" s="127">
        <v>14</v>
      </c>
      <c r="NG123" s="127">
        <v>3</v>
      </c>
      <c r="NH123" s="127">
        <v>0</v>
      </c>
      <c r="NI123" s="127">
        <v>13</v>
      </c>
      <c r="NJ123" s="127">
        <v>1</v>
      </c>
      <c r="NK123" s="127">
        <v>0</v>
      </c>
      <c r="NL123" s="127">
        <v>0</v>
      </c>
      <c r="NM123" s="127">
        <v>0</v>
      </c>
      <c r="NN123" s="127">
        <v>0</v>
      </c>
      <c r="NO123" s="127">
        <v>26</v>
      </c>
      <c r="NP123" s="127">
        <v>1</v>
      </c>
      <c r="NQ123" s="127">
        <v>114</v>
      </c>
      <c r="NR123" s="13"/>
      <c r="NS123" s="74" t="s">
        <v>55</v>
      </c>
      <c r="NT123" s="127">
        <v>40</v>
      </c>
      <c r="NU123" s="127">
        <v>0</v>
      </c>
      <c r="NV123" s="127">
        <v>14</v>
      </c>
      <c r="NW123" s="127">
        <v>3</v>
      </c>
      <c r="NX123" s="127">
        <v>9</v>
      </c>
      <c r="NY123" s="127">
        <v>0</v>
      </c>
      <c r="NZ123" s="127">
        <v>0</v>
      </c>
      <c r="OA123" s="127">
        <v>17</v>
      </c>
      <c r="OB123" s="127">
        <v>1</v>
      </c>
      <c r="OC123" s="127">
        <v>0</v>
      </c>
      <c r="OD123" s="127">
        <v>3</v>
      </c>
      <c r="OE123" s="127">
        <v>0</v>
      </c>
      <c r="OF123" s="127">
        <v>0</v>
      </c>
      <c r="OG123" s="127">
        <v>0</v>
      </c>
      <c r="OH123" s="127">
        <v>0</v>
      </c>
      <c r="OI123" s="127">
        <v>0</v>
      </c>
      <c r="OJ123" s="127">
        <v>23</v>
      </c>
      <c r="OK123" s="127">
        <v>0</v>
      </c>
      <c r="OL123" s="127">
        <v>110</v>
      </c>
    </row>
    <row r="124" spans="1:402" ht="15.5" thickBot="1">
      <c r="A124" s="17" t="s">
        <v>56</v>
      </c>
      <c r="B124" s="89">
        <v>105</v>
      </c>
      <c r="C124" s="89">
        <v>1</v>
      </c>
      <c r="D124" s="89">
        <v>5</v>
      </c>
      <c r="E124" s="89">
        <v>3</v>
      </c>
      <c r="F124" s="89">
        <v>5</v>
      </c>
      <c r="G124" s="89">
        <v>0</v>
      </c>
      <c r="H124" s="89">
        <v>0</v>
      </c>
      <c r="I124" s="89">
        <v>18</v>
      </c>
      <c r="J124" s="89">
        <v>6</v>
      </c>
      <c r="K124" s="89">
        <v>2</v>
      </c>
      <c r="L124" s="89">
        <v>0</v>
      </c>
      <c r="M124" s="89">
        <v>0</v>
      </c>
      <c r="N124" s="89">
        <v>0</v>
      </c>
      <c r="O124" s="89">
        <v>0</v>
      </c>
      <c r="P124" s="89">
        <v>0</v>
      </c>
      <c r="Q124" s="89">
        <v>0</v>
      </c>
      <c r="R124" s="89">
        <v>15</v>
      </c>
      <c r="S124" s="89">
        <v>3</v>
      </c>
      <c r="T124" s="89">
        <v>163</v>
      </c>
      <c r="U124" s="104"/>
      <c r="V124" s="17" t="s">
        <v>56</v>
      </c>
      <c r="W124" s="89">
        <v>91</v>
      </c>
      <c r="X124" s="89">
        <v>0</v>
      </c>
      <c r="Y124" s="89">
        <v>5</v>
      </c>
      <c r="Z124" s="89">
        <v>6</v>
      </c>
      <c r="AA124" s="89">
        <v>1</v>
      </c>
      <c r="AB124" s="89">
        <v>1</v>
      </c>
      <c r="AC124" s="89">
        <v>1</v>
      </c>
      <c r="AD124" s="89">
        <v>17</v>
      </c>
      <c r="AE124" s="89">
        <v>2</v>
      </c>
      <c r="AF124" s="89">
        <v>0</v>
      </c>
      <c r="AG124" s="109">
        <v>0</v>
      </c>
      <c r="AH124" s="89">
        <v>0</v>
      </c>
      <c r="AI124" s="89">
        <v>0</v>
      </c>
      <c r="AJ124" s="89">
        <v>0</v>
      </c>
      <c r="AK124" s="89">
        <v>0</v>
      </c>
      <c r="AL124" s="89">
        <v>0</v>
      </c>
      <c r="AM124" s="89">
        <v>32</v>
      </c>
      <c r="AN124" s="89">
        <v>7</v>
      </c>
      <c r="AO124" s="89">
        <v>163</v>
      </c>
      <c r="AP124" s="104"/>
      <c r="AQ124" s="17" t="s">
        <v>56</v>
      </c>
      <c r="AR124" s="89">
        <v>64</v>
      </c>
      <c r="AS124" s="89">
        <v>0</v>
      </c>
      <c r="AT124" s="89">
        <v>10</v>
      </c>
      <c r="AU124" s="89">
        <v>6</v>
      </c>
      <c r="AV124" s="89">
        <v>3</v>
      </c>
      <c r="AW124" s="89">
        <v>0</v>
      </c>
      <c r="AX124" s="89">
        <v>0</v>
      </c>
      <c r="AY124" s="89">
        <v>16</v>
      </c>
      <c r="AZ124" s="89">
        <v>3</v>
      </c>
      <c r="BA124" s="89">
        <v>0</v>
      </c>
      <c r="BB124" s="89">
        <v>0</v>
      </c>
      <c r="BC124" s="89">
        <v>0</v>
      </c>
      <c r="BD124" s="89">
        <v>0</v>
      </c>
      <c r="BE124" s="89">
        <v>2</v>
      </c>
      <c r="BF124" s="89">
        <v>0</v>
      </c>
      <c r="BG124" s="89">
        <v>0</v>
      </c>
      <c r="BH124" s="89">
        <v>37</v>
      </c>
      <c r="BI124" s="89">
        <v>3</v>
      </c>
      <c r="BJ124" s="89">
        <v>144</v>
      </c>
      <c r="BK124" s="13"/>
      <c r="BL124" s="115" t="s">
        <v>56</v>
      </c>
      <c r="BM124" s="118">
        <v>65</v>
      </c>
      <c r="BN124" s="118">
        <v>0</v>
      </c>
      <c r="BO124" s="118">
        <v>5</v>
      </c>
      <c r="BP124" s="118">
        <v>5</v>
      </c>
      <c r="BQ124" s="118">
        <v>3</v>
      </c>
      <c r="BR124" s="118">
        <v>0</v>
      </c>
      <c r="BS124" s="118">
        <v>0</v>
      </c>
      <c r="BT124" s="118">
        <v>7</v>
      </c>
      <c r="BU124" s="118">
        <v>4</v>
      </c>
      <c r="BV124" s="118">
        <v>0</v>
      </c>
      <c r="BW124" s="118">
        <v>1</v>
      </c>
      <c r="BX124" s="118">
        <v>1</v>
      </c>
      <c r="BY124" s="118">
        <v>1</v>
      </c>
      <c r="BZ124" s="118">
        <v>0</v>
      </c>
      <c r="CA124" s="118">
        <v>0</v>
      </c>
      <c r="CB124" s="118">
        <v>0</v>
      </c>
      <c r="CC124" s="118">
        <v>14</v>
      </c>
      <c r="CD124" s="118">
        <v>2</v>
      </c>
      <c r="CE124" s="119">
        <v>108</v>
      </c>
      <c r="CF124" s="13"/>
      <c r="CG124" s="118" t="s">
        <v>56</v>
      </c>
      <c r="CH124" s="118">
        <v>64</v>
      </c>
      <c r="CI124" s="118">
        <v>0</v>
      </c>
      <c r="CJ124" s="118">
        <v>4</v>
      </c>
      <c r="CK124" s="118">
        <v>6</v>
      </c>
      <c r="CL124" s="118">
        <v>2</v>
      </c>
      <c r="CM124" s="118">
        <v>0</v>
      </c>
      <c r="CN124" s="118">
        <v>0</v>
      </c>
      <c r="CO124" s="118">
        <v>18</v>
      </c>
      <c r="CP124" s="118">
        <v>9</v>
      </c>
      <c r="CQ124" s="118">
        <v>0</v>
      </c>
      <c r="CR124" s="118">
        <v>3</v>
      </c>
      <c r="CS124" s="118">
        <v>0</v>
      </c>
      <c r="CT124" s="118">
        <v>0</v>
      </c>
      <c r="CU124" s="118">
        <v>0</v>
      </c>
      <c r="CV124" s="118">
        <v>0</v>
      </c>
      <c r="CW124" s="118">
        <v>0</v>
      </c>
      <c r="CX124" s="118">
        <v>26</v>
      </c>
      <c r="CY124" s="118">
        <v>4</v>
      </c>
      <c r="CZ124" s="118">
        <v>136</v>
      </c>
      <c r="DA124" s="13"/>
      <c r="DB124" s="118" t="s">
        <v>56</v>
      </c>
      <c r="DC124" s="118">
        <v>109</v>
      </c>
      <c r="DD124" s="118">
        <v>1</v>
      </c>
      <c r="DE124" s="118">
        <v>10</v>
      </c>
      <c r="DF124" s="118">
        <v>4</v>
      </c>
      <c r="DG124" s="118">
        <v>5</v>
      </c>
      <c r="DH124" s="118">
        <v>0</v>
      </c>
      <c r="DI124" s="118">
        <v>0</v>
      </c>
      <c r="DJ124" s="118">
        <v>7</v>
      </c>
      <c r="DK124" s="118">
        <v>4</v>
      </c>
      <c r="DL124" s="118">
        <v>0</v>
      </c>
      <c r="DM124" s="118">
        <v>2</v>
      </c>
      <c r="DN124" s="118">
        <v>0</v>
      </c>
      <c r="DO124" s="118">
        <v>0</v>
      </c>
      <c r="DP124" s="118">
        <v>0</v>
      </c>
      <c r="DQ124" s="118">
        <v>0</v>
      </c>
      <c r="DR124" s="118">
        <v>0</v>
      </c>
      <c r="DS124" s="118">
        <v>3</v>
      </c>
      <c r="DT124" s="118">
        <v>1</v>
      </c>
      <c r="DU124" s="118">
        <v>146</v>
      </c>
      <c r="DV124" s="13"/>
      <c r="DW124" s="118" t="s">
        <v>56</v>
      </c>
      <c r="DX124" s="118">
        <v>67</v>
      </c>
      <c r="DY124" s="118">
        <v>0</v>
      </c>
      <c r="DZ124" s="118">
        <v>4</v>
      </c>
      <c r="EA124" s="118">
        <v>5</v>
      </c>
      <c r="EB124" s="118">
        <v>4</v>
      </c>
      <c r="EC124" s="118">
        <v>0</v>
      </c>
      <c r="ED124" s="118">
        <v>3</v>
      </c>
      <c r="EE124" s="118">
        <v>13</v>
      </c>
      <c r="EF124" s="118">
        <v>11</v>
      </c>
      <c r="EG124" s="118">
        <v>0</v>
      </c>
      <c r="EH124" s="118">
        <v>2</v>
      </c>
      <c r="EI124" s="118">
        <v>1</v>
      </c>
      <c r="EJ124" s="118">
        <v>0</v>
      </c>
      <c r="EK124" s="118">
        <v>1</v>
      </c>
      <c r="EL124" s="118">
        <v>0</v>
      </c>
      <c r="EM124" s="118">
        <v>0</v>
      </c>
      <c r="EN124" s="118">
        <v>14</v>
      </c>
      <c r="EO124" s="118">
        <v>2</v>
      </c>
      <c r="EP124" s="118">
        <v>127</v>
      </c>
      <c r="EQ124" s="13"/>
      <c r="ER124" s="118" t="s">
        <v>56</v>
      </c>
      <c r="ES124" s="118">
        <v>96</v>
      </c>
      <c r="ET124" s="118">
        <v>0</v>
      </c>
      <c r="EU124" s="118">
        <v>5</v>
      </c>
      <c r="EV124" s="118">
        <v>4</v>
      </c>
      <c r="EW124" s="118">
        <v>2</v>
      </c>
      <c r="EX124" s="118">
        <v>0</v>
      </c>
      <c r="EY124" s="118">
        <v>2</v>
      </c>
      <c r="EZ124" s="118">
        <v>7</v>
      </c>
      <c r="FA124" s="118">
        <v>2</v>
      </c>
      <c r="FB124" s="118">
        <v>0</v>
      </c>
      <c r="FC124" s="118">
        <v>0</v>
      </c>
      <c r="FD124" s="118">
        <v>0</v>
      </c>
      <c r="FE124" s="118">
        <v>0</v>
      </c>
      <c r="FF124" s="118">
        <v>0</v>
      </c>
      <c r="FG124" s="118">
        <v>0</v>
      </c>
      <c r="FH124" s="118">
        <v>0</v>
      </c>
      <c r="FI124" s="118">
        <v>1</v>
      </c>
      <c r="FJ124" s="118">
        <v>1</v>
      </c>
      <c r="FK124" s="118">
        <v>120</v>
      </c>
      <c r="FL124" s="13"/>
      <c r="FM124" s="118" t="s">
        <v>56</v>
      </c>
      <c r="FN124" s="118">
        <v>49</v>
      </c>
      <c r="FO124" s="118">
        <v>1</v>
      </c>
      <c r="FP124" s="118">
        <v>12</v>
      </c>
      <c r="FQ124" s="118">
        <v>7</v>
      </c>
      <c r="FR124" s="118">
        <v>6</v>
      </c>
      <c r="FS124" s="118">
        <v>0</v>
      </c>
      <c r="FT124" s="118">
        <v>1</v>
      </c>
      <c r="FU124" s="118">
        <v>0</v>
      </c>
      <c r="FV124" s="118">
        <v>5</v>
      </c>
      <c r="FW124" s="118">
        <v>1</v>
      </c>
      <c r="FX124" s="118">
        <v>4</v>
      </c>
      <c r="FY124" s="118">
        <v>1</v>
      </c>
      <c r="FZ124" s="118">
        <v>0</v>
      </c>
      <c r="GA124" s="118">
        <v>0</v>
      </c>
      <c r="GB124" s="118">
        <v>0</v>
      </c>
      <c r="GC124" s="118">
        <v>0</v>
      </c>
      <c r="GD124" s="118">
        <v>3</v>
      </c>
      <c r="GE124" s="118">
        <v>52</v>
      </c>
      <c r="GF124" s="118">
        <v>142</v>
      </c>
      <c r="GG124" s="13"/>
      <c r="GH124" s="118" t="s">
        <v>56</v>
      </c>
      <c r="GI124" s="118">
        <v>88</v>
      </c>
      <c r="GJ124" s="118">
        <v>0</v>
      </c>
      <c r="GK124" s="118">
        <v>11</v>
      </c>
      <c r="GL124" s="118">
        <v>8</v>
      </c>
      <c r="GM124" s="118">
        <v>5</v>
      </c>
      <c r="GN124" s="118">
        <v>0</v>
      </c>
      <c r="GO124" s="118">
        <v>0</v>
      </c>
      <c r="GP124" s="118">
        <v>16</v>
      </c>
      <c r="GQ124" s="118">
        <v>1</v>
      </c>
      <c r="GR124" s="118">
        <v>0</v>
      </c>
      <c r="GS124" s="118">
        <v>3</v>
      </c>
      <c r="GT124" s="118">
        <v>1</v>
      </c>
      <c r="GU124" s="118">
        <v>0</v>
      </c>
      <c r="GV124" s="118">
        <v>1</v>
      </c>
      <c r="GW124" s="118">
        <v>0</v>
      </c>
      <c r="GX124" s="118">
        <v>0</v>
      </c>
      <c r="GY124" s="118">
        <v>2</v>
      </c>
      <c r="GZ124" s="118">
        <v>3</v>
      </c>
      <c r="HA124" s="118">
        <v>139</v>
      </c>
      <c r="HB124" s="13"/>
      <c r="HC124" s="118" t="s">
        <v>56</v>
      </c>
      <c r="HD124" s="118">
        <v>95</v>
      </c>
      <c r="HE124" s="118">
        <v>0</v>
      </c>
      <c r="HF124" s="118">
        <v>6</v>
      </c>
      <c r="HG124" s="118">
        <v>2</v>
      </c>
      <c r="HH124" s="118">
        <v>0</v>
      </c>
      <c r="HI124" s="118">
        <v>0</v>
      </c>
      <c r="HJ124" s="118">
        <v>0</v>
      </c>
      <c r="HK124" s="118">
        <v>10</v>
      </c>
      <c r="HL124" s="118">
        <v>0</v>
      </c>
      <c r="HM124" s="118">
        <v>0</v>
      </c>
      <c r="HN124" s="118">
        <v>8</v>
      </c>
      <c r="HO124" s="118">
        <v>2</v>
      </c>
      <c r="HP124" s="118">
        <v>0</v>
      </c>
      <c r="HQ124" s="118">
        <v>0</v>
      </c>
      <c r="HR124" s="118">
        <v>0</v>
      </c>
      <c r="HS124" s="118">
        <v>0</v>
      </c>
      <c r="HT124" s="118">
        <v>4</v>
      </c>
      <c r="HU124" s="118">
        <v>0</v>
      </c>
      <c r="HV124" s="118">
        <v>127</v>
      </c>
      <c r="HW124" s="13"/>
      <c r="HX124" s="118" t="s">
        <v>56</v>
      </c>
      <c r="HY124" s="118">
        <v>30</v>
      </c>
      <c r="HZ124" s="118">
        <v>0</v>
      </c>
      <c r="IA124" s="118">
        <v>5</v>
      </c>
      <c r="IB124" s="118">
        <v>4</v>
      </c>
      <c r="IC124" s="118">
        <v>2</v>
      </c>
      <c r="ID124" s="118">
        <v>0</v>
      </c>
      <c r="IE124" s="118">
        <v>0</v>
      </c>
      <c r="IF124" s="118">
        <v>19</v>
      </c>
      <c r="IG124" s="118">
        <v>7</v>
      </c>
      <c r="IH124" s="118">
        <v>0</v>
      </c>
      <c r="II124" s="118">
        <v>2</v>
      </c>
      <c r="IJ124" s="118">
        <v>0</v>
      </c>
      <c r="IK124" s="118">
        <v>0</v>
      </c>
      <c r="IL124" s="118">
        <v>0</v>
      </c>
      <c r="IM124" s="118">
        <v>0</v>
      </c>
      <c r="IN124" s="118">
        <v>0</v>
      </c>
      <c r="IO124" s="118">
        <v>39</v>
      </c>
      <c r="IP124" s="118">
        <v>2</v>
      </c>
      <c r="IQ124" s="118">
        <v>110</v>
      </c>
      <c r="IR124" s="13"/>
      <c r="IS124" s="118" t="s">
        <v>56</v>
      </c>
      <c r="IT124" s="118">
        <v>47</v>
      </c>
      <c r="IU124" s="118">
        <v>1</v>
      </c>
      <c r="IV124" s="118">
        <v>1</v>
      </c>
      <c r="IW124" s="118">
        <v>6</v>
      </c>
      <c r="IX124" s="118">
        <v>11</v>
      </c>
      <c r="IY124" s="118">
        <v>0</v>
      </c>
      <c r="IZ124" s="118">
        <v>0</v>
      </c>
      <c r="JA124" s="118">
        <v>20</v>
      </c>
      <c r="JB124" s="118">
        <v>2</v>
      </c>
      <c r="JC124" s="118">
        <v>2</v>
      </c>
      <c r="JD124" s="118">
        <v>2</v>
      </c>
      <c r="JE124" s="118">
        <v>2</v>
      </c>
      <c r="JF124" s="118">
        <v>0</v>
      </c>
      <c r="JG124" s="118">
        <v>0</v>
      </c>
      <c r="JH124" s="118">
        <v>0</v>
      </c>
      <c r="JI124" s="118">
        <v>2</v>
      </c>
      <c r="JJ124" s="118">
        <v>11</v>
      </c>
      <c r="JK124" s="118">
        <v>3</v>
      </c>
      <c r="JL124" s="118">
        <v>110</v>
      </c>
      <c r="JM124" s="13"/>
      <c r="JN124" s="70" t="s">
        <v>56</v>
      </c>
      <c r="JO124" s="122">
        <v>63</v>
      </c>
      <c r="JP124" s="122">
        <v>1</v>
      </c>
      <c r="JQ124" s="122">
        <v>6</v>
      </c>
      <c r="JR124" s="122">
        <v>8</v>
      </c>
      <c r="JS124" s="122">
        <v>2</v>
      </c>
      <c r="JT124" s="122">
        <v>2</v>
      </c>
      <c r="JU124" s="122">
        <v>0</v>
      </c>
      <c r="JV124" s="122">
        <v>19</v>
      </c>
      <c r="JW124" s="122">
        <v>3</v>
      </c>
      <c r="JX124" s="122">
        <v>0</v>
      </c>
      <c r="JY124" s="122">
        <v>0</v>
      </c>
      <c r="JZ124" s="122">
        <v>0</v>
      </c>
      <c r="KA124" s="122">
        <v>0</v>
      </c>
      <c r="KB124" s="122">
        <v>0</v>
      </c>
      <c r="KC124" s="122">
        <v>0</v>
      </c>
      <c r="KD124" s="122">
        <v>0</v>
      </c>
      <c r="KE124" s="122">
        <v>3</v>
      </c>
      <c r="KF124" s="122">
        <v>2</v>
      </c>
      <c r="KG124" s="123">
        <v>109</v>
      </c>
      <c r="KH124" s="13"/>
      <c r="KI124" s="118" t="s">
        <v>56</v>
      </c>
      <c r="KJ124" s="118">
        <v>31</v>
      </c>
      <c r="KK124" s="118">
        <v>0</v>
      </c>
      <c r="KL124" s="118">
        <v>1</v>
      </c>
      <c r="KM124" s="118">
        <v>9</v>
      </c>
      <c r="KN124" s="118">
        <v>4</v>
      </c>
      <c r="KO124" s="118">
        <v>8</v>
      </c>
      <c r="KP124" s="118">
        <v>0</v>
      </c>
      <c r="KQ124" s="118">
        <v>1</v>
      </c>
      <c r="KR124" s="118">
        <v>0</v>
      </c>
      <c r="KS124" s="118">
        <v>0</v>
      </c>
      <c r="KT124" s="118">
        <v>1</v>
      </c>
      <c r="KU124" s="118">
        <v>0</v>
      </c>
      <c r="KV124" s="118">
        <v>1</v>
      </c>
      <c r="KW124" s="118">
        <v>1</v>
      </c>
      <c r="KX124" s="118">
        <v>0</v>
      </c>
      <c r="KY124" s="118">
        <v>0</v>
      </c>
      <c r="KZ124" s="118">
        <v>3</v>
      </c>
      <c r="LA124" s="118">
        <v>0</v>
      </c>
      <c r="LB124" s="118">
        <v>60</v>
      </c>
      <c r="LC124" s="13"/>
      <c r="LD124" s="58" t="s">
        <v>56</v>
      </c>
      <c r="LE124" s="65">
        <v>34</v>
      </c>
      <c r="LF124" s="65">
        <v>0</v>
      </c>
      <c r="LG124" s="65">
        <v>5</v>
      </c>
      <c r="LH124" s="65">
        <v>9</v>
      </c>
      <c r="LI124" s="65">
        <v>7</v>
      </c>
      <c r="LJ124" s="65">
        <v>12</v>
      </c>
      <c r="LK124" s="65">
        <v>0</v>
      </c>
      <c r="LL124" s="65">
        <v>0</v>
      </c>
      <c r="LM124" s="65">
        <v>0</v>
      </c>
      <c r="LN124" s="65">
        <v>0</v>
      </c>
      <c r="LO124" s="65">
        <v>2</v>
      </c>
      <c r="LP124" s="65">
        <v>0</v>
      </c>
      <c r="LQ124" s="65">
        <v>0</v>
      </c>
      <c r="LR124" s="65">
        <v>0</v>
      </c>
      <c r="LS124" s="65">
        <v>0</v>
      </c>
      <c r="LT124" s="65">
        <v>0</v>
      </c>
      <c r="LU124" s="65">
        <v>0</v>
      </c>
      <c r="LV124" s="65">
        <v>2</v>
      </c>
      <c r="LW124" s="65">
        <v>0</v>
      </c>
      <c r="LX124" s="65">
        <v>0</v>
      </c>
      <c r="LY124" s="65">
        <v>0</v>
      </c>
      <c r="LZ124" s="65">
        <v>4</v>
      </c>
      <c r="MA124" s="65">
        <v>75</v>
      </c>
      <c r="MB124" s="13"/>
      <c r="MC124" s="180" t="s">
        <v>56</v>
      </c>
      <c r="MD124" s="181">
        <v>52</v>
      </c>
      <c r="ME124" s="181">
        <v>0</v>
      </c>
      <c r="MF124" s="181">
        <v>6</v>
      </c>
      <c r="MG124" s="181">
        <v>5</v>
      </c>
      <c r="MH124" s="181">
        <v>1</v>
      </c>
      <c r="MI124" s="181">
        <v>0</v>
      </c>
      <c r="MJ124" s="181">
        <v>0</v>
      </c>
      <c r="MK124" s="181">
        <v>7</v>
      </c>
      <c r="ML124" s="181">
        <v>0</v>
      </c>
      <c r="MM124" s="181">
        <v>0</v>
      </c>
      <c r="MN124" s="181">
        <v>0</v>
      </c>
      <c r="MO124" s="181">
        <v>1</v>
      </c>
      <c r="MP124" s="181">
        <v>0</v>
      </c>
      <c r="MQ124" s="181">
        <v>0</v>
      </c>
      <c r="MR124" s="181">
        <v>0</v>
      </c>
      <c r="MS124" s="181">
        <v>0</v>
      </c>
      <c r="MT124" s="181">
        <v>0</v>
      </c>
      <c r="MU124" s="181">
        <v>4</v>
      </c>
      <c r="MV124" s="181">
        <v>76</v>
      </c>
      <c r="MW124" s="13"/>
      <c r="MX124" s="74" t="s">
        <v>56</v>
      </c>
      <c r="MY124" s="127">
        <v>74</v>
      </c>
      <c r="MZ124" s="127">
        <v>1</v>
      </c>
      <c r="NA124" s="127">
        <v>4</v>
      </c>
      <c r="NB124" s="127">
        <v>6</v>
      </c>
      <c r="NC124" s="127">
        <v>1</v>
      </c>
      <c r="ND124" s="127">
        <v>0</v>
      </c>
      <c r="NE124" s="127">
        <v>0</v>
      </c>
      <c r="NF124" s="127">
        <v>20</v>
      </c>
      <c r="NG124" s="127">
        <v>4</v>
      </c>
      <c r="NH124" s="127">
        <v>0</v>
      </c>
      <c r="NI124" s="127">
        <v>0</v>
      </c>
      <c r="NJ124" s="127">
        <v>0</v>
      </c>
      <c r="NK124" s="127">
        <v>0</v>
      </c>
      <c r="NL124" s="127">
        <v>0</v>
      </c>
      <c r="NM124" s="127">
        <v>0</v>
      </c>
      <c r="NN124" s="127">
        <v>0</v>
      </c>
      <c r="NO124" s="127">
        <v>0</v>
      </c>
      <c r="NP124" s="127">
        <v>2</v>
      </c>
      <c r="NQ124" s="127">
        <v>112</v>
      </c>
      <c r="NR124" s="13"/>
      <c r="NS124" s="74" t="s">
        <v>56</v>
      </c>
      <c r="NT124" s="127">
        <v>80</v>
      </c>
      <c r="NU124" s="127">
        <v>0</v>
      </c>
      <c r="NV124" s="127">
        <v>4</v>
      </c>
      <c r="NW124" s="127">
        <v>7</v>
      </c>
      <c r="NX124" s="127">
        <v>0</v>
      </c>
      <c r="NY124" s="127">
        <v>1</v>
      </c>
      <c r="NZ124" s="127">
        <v>0</v>
      </c>
      <c r="OA124" s="127">
        <v>19</v>
      </c>
      <c r="OB124" s="127">
        <v>0</v>
      </c>
      <c r="OC124" s="127">
        <v>0</v>
      </c>
      <c r="OD124" s="127">
        <v>4</v>
      </c>
      <c r="OE124" s="127">
        <v>0</v>
      </c>
      <c r="OF124" s="127">
        <v>1</v>
      </c>
      <c r="OG124" s="127">
        <v>1</v>
      </c>
      <c r="OH124" s="127">
        <v>1</v>
      </c>
      <c r="OI124" s="127">
        <v>0</v>
      </c>
      <c r="OJ124" s="127">
        <v>0</v>
      </c>
      <c r="OK124" s="127">
        <v>5</v>
      </c>
      <c r="OL124" s="127">
        <v>123</v>
      </c>
    </row>
    <row r="125" spans="1:402" ht="15.5" thickBot="1">
      <c r="A125" s="17" t="s">
        <v>57</v>
      </c>
      <c r="B125" s="89">
        <v>46</v>
      </c>
      <c r="C125" s="89">
        <v>0</v>
      </c>
      <c r="D125" s="89">
        <v>3</v>
      </c>
      <c r="E125" s="89">
        <v>12</v>
      </c>
      <c r="F125" s="89">
        <v>23</v>
      </c>
      <c r="G125" s="89">
        <v>0</v>
      </c>
      <c r="H125" s="89">
        <v>0</v>
      </c>
      <c r="I125" s="89">
        <v>4</v>
      </c>
      <c r="J125" s="89">
        <v>6</v>
      </c>
      <c r="K125" s="89">
        <v>6</v>
      </c>
      <c r="L125" s="89">
        <v>3</v>
      </c>
      <c r="M125" s="89">
        <v>0</v>
      </c>
      <c r="N125" s="89">
        <v>0</v>
      </c>
      <c r="O125" s="89">
        <v>1</v>
      </c>
      <c r="P125" s="89">
        <v>0</v>
      </c>
      <c r="Q125" s="89">
        <v>3</v>
      </c>
      <c r="R125" s="89">
        <v>0</v>
      </c>
      <c r="S125" s="89">
        <v>7</v>
      </c>
      <c r="T125" s="89">
        <v>114</v>
      </c>
      <c r="U125" s="104"/>
      <c r="V125" s="17" t="s">
        <v>57</v>
      </c>
      <c r="W125" s="89">
        <v>85</v>
      </c>
      <c r="X125" s="89">
        <v>0</v>
      </c>
      <c r="Y125" s="89">
        <v>2</v>
      </c>
      <c r="Z125" s="89">
        <v>16</v>
      </c>
      <c r="AA125" s="89">
        <v>13</v>
      </c>
      <c r="AB125" s="89">
        <v>0</v>
      </c>
      <c r="AC125" s="89">
        <v>0</v>
      </c>
      <c r="AD125" s="89">
        <v>12</v>
      </c>
      <c r="AE125" s="89">
        <v>8</v>
      </c>
      <c r="AF125" s="89">
        <v>3</v>
      </c>
      <c r="AG125" s="109">
        <v>6</v>
      </c>
      <c r="AH125" s="89">
        <v>0</v>
      </c>
      <c r="AI125" s="89">
        <v>0</v>
      </c>
      <c r="AJ125" s="89">
        <v>0</v>
      </c>
      <c r="AK125" s="89">
        <v>0</v>
      </c>
      <c r="AL125" s="89">
        <v>2</v>
      </c>
      <c r="AM125" s="89">
        <v>0</v>
      </c>
      <c r="AN125" s="89">
        <v>5</v>
      </c>
      <c r="AO125" s="89">
        <v>152</v>
      </c>
      <c r="AP125" s="104"/>
      <c r="AQ125" s="17" t="s">
        <v>57</v>
      </c>
      <c r="AR125" s="89">
        <v>75</v>
      </c>
      <c r="AS125" s="89">
        <v>0</v>
      </c>
      <c r="AT125" s="89">
        <v>7</v>
      </c>
      <c r="AU125" s="89">
        <v>6</v>
      </c>
      <c r="AV125" s="89">
        <v>20</v>
      </c>
      <c r="AW125" s="89">
        <v>0</v>
      </c>
      <c r="AX125" s="89">
        <v>0</v>
      </c>
      <c r="AY125" s="89">
        <v>6</v>
      </c>
      <c r="AZ125" s="89">
        <v>14</v>
      </c>
      <c r="BA125" s="89">
        <v>6</v>
      </c>
      <c r="BB125" s="89">
        <v>3</v>
      </c>
      <c r="BC125" s="89">
        <v>0</v>
      </c>
      <c r="BD125" s="89">
        <v>0</v>
      </c>
      <c r="BE125" s="89">
        <v>0</v>
      </c>
      <c r="BF125" s="89">
        <v>0</v>
      </c>
      <c r="BG125" s="89">
        <v>3</v>
      </c>
      <c r="BH125" s="89">
        <v>0</v>
      </c>
      <c r="BI125" s="89">
        <v>6</v>
      </c>
      <c r="BJ125" s="89">
        <v>146</v>
      </c>
      <c r="BK125" s="13"/>
      <c r="BL125" s="115" t="s">
        <v>57</v>
      </c>
      <c r="BM125" s="118">
        <v>71</v>
      </c>
      <c r="BN125" s="118">
        <v>1</v>
      </c>
      <c r="BO125" s="118">
        <v>2</v>
      </c>
      <c r="BP125" s="118">
        <v>13</v>
      </c>
      <c r="BQ125" s="118">
        <v>15</v>
      </c>
      <c r="BR125" s="118">
        <v>0</v>
      </c>
      <c r="BS125" s="118">
        <v>0</v>
      </c>
      <c r="BT125" s="118">
        <v>9</v>
      </c>
      <c r="BU125" s="118">
        <v>10</v>
      </c>
      <c r="BV125" s="118">
        <v>2</v>
      </c>
      <c r="BW125" s="118">
        <v>8</v>
      </c>
      <c r="BX125" s="118">
        <v>0</v>
      </c>
      <c r="BY125" s="118">
        <v>1</v>
      </c>
      <c r="BZ125" s="118">
        <v>0</v>
      </c>
      <c r="CA125" s="118">
        <v>1</v>
      </c>
      <c r="CB125" s="118">
        <v>2</v>
      </c>
      <c r="CC125" s="118">
        <v>0</v>
      </c>
      <c r="CD125" s="118">
        <v>9</v>
      </c>
      <c r="CE125" s="119">
        <v>144</v>
      </c>
      <c r="CF125" s="13"/>
      <c r="CG125" s="118" t="s">
        <v>57</v>
      </c>
      <c r="CH125" s="118">
        <v>84</v>
      </c>
      <c r="CI125" s="118">
        <v>0</v>
      </c>
      <c r="CJ125" s="118">
        <v>4</v>
      </c>
      <c r="CK125" s="118">
        <v>17</v>
      </c>
      <c r="CL125" s="118">
        <v>6</v>
      </c>
      <c r="CM125" s="118">
        <v>0</v>
      </c>
      <c r="CN125" s="118">
        <v>0</v>
      </c>
      <c r="CO125" s="118">
        <v>12</v>
      </c>
      <c r="CP125" s="118">
        <v>13</v>
      </c>
      <c r="CQ125" s="118">
        <v>1</v>
      </c>
      <c r="CR125" s="118">
        <v>5</v>
      </c>
      <c r="CS125" s="118">
        <v>1</v>
      </c>
      <c r="CT125" s="118">
        <v>0</v>
      </c>
      <c r="CU125" s="118">
        <v>2</v>
      </c>
      <c r="CV125" s="118">
        <v>0</v>
      </c>
      <c r="CW125" s="118">
        <v>3</v>
      </c>
      <c r="CX125" s="118">
        <v>1</v>
      </c>
      <c r="CY125" s="118">
        <v>7</v>
      </c>
      <c r="CZ125" s="118">
        <v>156</v>
      </c>
      <c r="DA125" s="13"/>
      <c r="DB125" s="118" t="s">
        <v>57</v>
      </c>
      <c r="DC125" s="118">
        <v>88</v>
      </c>
      <c r="DD125" s="118">
        <v>0</v>
      </c>
      <c r="DE125" s="118">
        <v>9</v>
      </c>
      <c r="DF125" s="118">
        <v>9</v>
      </c>
      <c r="DG125" s="118">
        <v>34</v>
      </c>
      <c r="DH125" s="118">
        <v>0</v>
      </c>
      <c r="DI125" s="118">
        <v>0</v>
      </c>
      <c r="DJ125" s="118">
        <v>6</v>
      </c>
      <c r="DK125" s="118">
        <v>13</v>
      </c>
      <c r="DL125" s="118">
        <v>0</v>
      </c>
      <c r="DM125" s="118">
        <v>14</v>
      </c>
      <c r="DN125" s="118">
        <v>0</v>
      </c>
      <c r="DO125" s="118">
        <v>0</v>
      </c>
      <c r="DP125" s="118">
        <v>3</v>
      </c>
      <c r="DQ125" s="118">
        <v>0</v>
      </c>
      <c r="DR125" s="118">
        <v>6</v>
      </c>
      <c r="DS125" s="118">
        <v>0</v>
      </c>
      <c r="DT125" s="118">
        <v>16</v>
      </c>
      <c r="DU125" s="118">
        <v>198</v>
      </c>
      <c r="DV125" s="13"/>
      <c r="DW125" s="118" t="s">
        <v>57</v>
      </c>
      <c r="DX125" s="118">
        <v>87</v>
      </c>
      <c r="DY125" s="118">
        <v>0</v>
      </c>
      <c r="DZ125" s="118">
        <v>3</v>
      </c>
      <c r="EA125" s="118">
        <v>10</v>
      </c>
      <c r="EB125" s="118">
        <v>22</v>
      </c>
      <c r="EC125" s="118">
        <v>0</v>
      </c>
      <c r="ED125" s="118">
        <v>0</v>
      </c>
      <c r="EE125" s="118">
        <v>8</v>
      </c>
      <c r="EF125" s="118">
        <v>5</v>
      </c>
      <c r="EG125" s="118">
        <v>0</v>
      </c>
      <c r="EH125" s="118">
        <v>4</v>
      </c>
      <c r="EI125" s="118">
        <v>0</v>
      </c>
      <c r="EJ125" s="118">
        <v>0</v>
      </c>
      <c r="EK125" s="118">
        <v>4</v>
      </c>
      <c r="EL125" s="118">
        <v>1</v>
      </c>
      <c r="EM125" s="118">
        <v>0</v>
      </c>
      <c r="EN125" s="118">
        <v>0</v>
      </c>
      <c r="EO125" s="118">
        <v>5</v>
      </c>
      <c r="EP125" s="118">
        <v>149</v>
      </c>
      <c r="EQ125" s="13"/>
      <c r="ER125" s="118" t="s">
        <v>57</v>
      </c>
      <c r="ES125" s="118">
        <v>79</v>
      </c>
      <c r="ET125" s="118">
        <v>0</v>
      </c>
      <c r="EU125" s="118">
        <v>5</v>
      </c>
      <c r="EV125" s="118">
        <v>14</v>
      </c>
      <c r="EW125" s="118">
        <v>8</v>
      </c>
      <c r="EX125" s="118">
        <v>0</v>
      </c>
      <c r="EY125" s="118">
        <v>0</v>
      </c>
      <c r="EZ125" s="118">
        <v>8</v>
      </c>
      <c r="FA125" s="118">
        <v>3</v>
      </c>
      <c r="FB125" s="118">
        <v>0</v>
      </c>
      <c r="FC125" s="118">
        <v>6</v>
      </c>
      <c r="FD125" s="118">
        <v>0</v>
      </c>
      <c r="FE125" s="118">
        <v>0</v>
      </c>
      <c r="FF125" s="118">
        <v>3</v>
      </c>
      <c r="FG125" s="118">
        <v>0</v>
      </c>
      <c r="FH125" s="118">
        <v>0</v>
      </c>
      <c r="FI125" s="118">
        <v>0</v>
      </c>
      <c r="FJ125" s="118">
        <v>18</v>
      </c>
      <c r="FK125" s="118">
        <v>144</v>
      </c>
      <c r="FL125" s="13"/>
      <c r="FM125" s="118" t="s">
        <v>57</v>
      </c>
      <c r="FN125" s="118">
        <v>92</v>
      </c>
      <c r="FO125" s="118">
        <v>0</v>
      </c>
      <c r="FP125" s="118">
        <v>6</v>
      </c>
      <c r="FQ125" s="118">
        <v>11</v>
      </c>
      <c r="FR125" s="118">
        <v>25</v>
      </c>
      <c r="FS125" s="118">
        <v>0</v>
      </c>
      <c r="FT125" s="118">
        <v>0</v>
      </c>
      <c r="FU125" s="118">
        <v>0</v>
      </c>
      <c r="FV125" s="118">
        <v>6</v>
      </c>
      <c r="FW125" s="118">
        <v>0</v>
      </c>
      <c r="FX125" s="118">
        <v>3</v>
      </c>
      <c r="FY125" s="118">
        <v>0</v>
      </c>
      <c r="FZ125" s="118">
        <v>0</v>
      </c>
      <c r="GA125" s="118">
        <v>0</v>
      </c>
      <c r="GB125" s="118">
        <v>0</v>
      </c>
      <c r="GC125" s="118">
        <v>0</v>
      </c>
      <c r="GD125" s="118">
        <v>0</v>
      </c>
      <c r="GE125" s="118">
        <v>12</v>
      </c>
      <c r="GF125" s="118">
        <v>155</v>
      </c>
      <c r="GG125" s="13"/>
      <c r="GH125" s="118" t="s">
        <v>57</v>
      </c>
      <c r="GI125" s="118">
        <v>66</v>
      </c>
      <c r="GJ125" s="118">
        <v>0</v>
      </c>
      <c r="GK125" s="118">
        <v>3</v>
      </c>
      <c r="GL125" s="118">
        <v>8</v>
      </c>
      <c r="GM125" s="118">
        <v>12</v>
      </c>
      <c r="GN125" s="118">
        <v>0</v>
      </c>
      <c r="GO125" s="118">
        <v>0</v>
      </c>
      <c r="GP125" s="118">
        <v>9</v>
      </c>
      <c r="GQ125" s="118">
        <v>1</v>
      </c>
      <c r="GR125" s="118">
        <v>0</v>
      </c>
      <c r="GS125" s="118">
        <v>4</v>
      </c>
      <c r="GT125" s="118">
        <v>0</v>
      </c>
      <c r="GU125" s="118">
        <v>0</v>
      </c>
      <c r="GV125" s="118">
        <v>0</v>
      </c>
      <c r="GW125" s="118">
        <v>0</v>
      </c>
      <c r="GX125" s="118">
        <v>1</v>
      </c>
      <c r="GY125" s="118">
        <v>0</v>
      </c>
      <c r="GZ125" s="118">
        <v>9</v>
      </c>
      <c r="HA125" s="118">
        <v>113</v>
      </c>
      <c r="HB125" s="13"/>
      <c r="HC125" s="118" t="s">
        <v>57</v>
      </c>
      <c r="HD125" s="118">
        <v>77</v>
      </c>
      <c r="HE125" s="118">
        <v>0</v>
      </c>
      <c r="HF125" s="118">
        <v>2</v>
      </c>
      <c r="HG125" s="118">
        <v>13</v>
      </c>
      <c r="HH125" s="118">
        <v>9</v>
      </c>
      <c r="HI125" s="118">
        <v>0</v>
      </c>
      <c r="HJ125" s="118">
        <v>0</v>
      </c>
      <c r="HK125" s="118">
        <v>13</v>
      </c>
      <c r="HL125" s="118">
        <v>8</v>
      </c>
      <c r="HM125" s="118">
        <v>0</v>
      </c>
      <c r="HN125" s="118">
        <v>7</v>
      </c>
      <c r="HO125" s="118">
        <v>0</v>
      </c>
      <c r="HP125" s="118">
        <v>0</v>
      </c>
      <c r="HQ125" s="118">
        <v>4</v>
      </c>
      <c r="HR125" s="118">
        <v>0</v>
      </c>
      <c r="HS125" s="118">
        <v>0</v>
      </c>
      <c r="HT125" s="118">
        <v>0</v>
      </c>
      <c r="HU125" s="118">
        <v>5</v>
      </c>
      <c r="HV125" s="118">
        <v>138</v>
      </c>
      <c r="HW125" s="13"/>
      <c r="HX125" s="118" t="s">
        <v>57</v>
      </c>
      <c r="HY125" s="118">
        <v>56</v>
      </c>
      <c r="HZ125" s="118">
        <v>0</v>
      </c>
      <c r="IA125" s="118">
        <v>4</v>
      </c>
      <c r="IB125" s="118">
        <v>12</v>
      </c>
      <c r="IC125" s="118">
        <v>8</v>
      </c>
      <c r="ID125" s="118">
        <v>0</v>
      </c>
      <c r="IE125" s="118">
        <v>0</v>
      </c>
      <c r="IF125" s="118">
        <v>5</v>
      </c>
      <c r="IG125" s="118">
        <v>7</v>
      </c>
      <c r="IH125" s="118">
        <v>0</v>
      </c>
      <c r="II125" s="118">
        <v>10</v>
      </c>
      <c r="IJ125" s="118">
        <v>0</v>
      </c>
      <c r="IK125" s="118">
        <v>0</v>
      </c>
      <c r="IL125" s="118">
        <v>1</v>
      </c>
      <c r="IM125" s="118">
        <v>0</v>
      </c>
      <c r="IN125" s="118">
        <v>0</v>
      </c>
      <c r="IO125" s="118">
        <v>0</v>
      </c>
      <c r="IP125" s="118">
        <v>7</v>
      </c>
      <c r="IQ125" s="118">
        <v>110</v>
      </c>
      <c r="IR125" s="13"/>
      <c r="IS125" s="118" t="s">
        <v>57</v>
      </c>
      <c r="IT125" s="118">
        <v>65</v>
      </c>
      <c r="IU125" s="118">
        <v>1</v>
      </c>
      <c r="IV125" s="118">
        <v>4</v>
      </c>
      <c r="IW125" s="118">
        <v>7</v>
      </c>
      <c r="IX125" s="118">
        <v>6</v>
      </c>
      <c r="IY125" s="118">
        <v>0</v>
      </c>
      <c r="IZ125" s="118">
        <v>0</v>
      </c>
      <c r="JA125" s="118">
        <v>6</v>
      </c>
      <c r="JB125" s="118">
        <v>3</v>
      </c>
      <c r="JC125" s="118">
        <v>0</v>
      </c>
      <c r="JD125" s="118">
        <v>4</v>
      </c>
      <c r="JE125" s="118">
        <v>0</v>
      </c>
      <c r="JF125" s="118">
        <v>0</v>
      </c>
      <c r="JG125" s="118">
        <v>0</v>
      </c>
      <c r="JH125" s="118">
        <v>0</v>
      </c>
      <c r="JI125" s="118">
        <v>1</v>
      </c>
      <c r="JJ125" s="118">
        <v>0</v>
      </c>
      <c r="JK125" s="118">
        <v>5</v>
      </c>
      <c r="JL125" s="118">
        <v>102</v>
      </c>
      <c r="JM125" s="13"/>
      <c r="JN125" s="70" t="s">
        <v>57</v>
      </c>
      <c r="JO125" s="122">
        <v>71</v>
      </c>
      <c r="JP125" s="122">
        <v>0</v>
      </c>
      <c r="JQ125" s="122">
        <v>1</v>
      </c>
      <c r="JR125" s="122">
        <v>8</v>
      </c>
      <c r="JS125" s="122">
        <v>6</v>
      </c>
      <c r="JT125" s="122">
        <v>0</v>
      </c>
      <c r="JU125" s="122">
        <v>0</v>
      </c>
      <c r="JV125" s="122">
        <v>5</v>
      </c>
      <c r="JW125" s="122">
        <v>4</v>
      </c>
      <c r="JX125" s="122">
        <v>0</v>
      </c>
      <c r="JY125" s="122">
        <v>8</v>
      </c>
      <c r="JZ125" s="122">
        <v>2</v>
      </c>
      <c r="KA125" s="122">
        <v>0</v>
      </c>
      <c r="KB125" s="122">
        <v>1</v>
      </c>
      <c r="KC125" s="122">
        <v>0</v>
      </c>
      <c r="KD125" s="122">
        <v>0</v>
      </c>
      <c r="KE125" s="122">
        <v>0</v>
      </c>
      <c r="KF125" s="122">
        <v>5</v>
      </c>
      <c r="KG125" s="123">
        <v>111</v>
      </c>
      <c r="KH125" s="13"/>
      <c r="KI125" s="118" t="s">
        <v>57</v>
      </c>
      <c r="KJ125" s="118">
        <v>80</v>
      </c>
      <c r="KK125" s="118">
        <v>0</v>
      </c>
      <c r="KL125" s="118">
        <v>1</v>
      </c>
      <c r="KM125" s="118">
        <v>12</v>
      </c>
      <c r="KN125" s="118">
        <v>14</v>
      </c>
      <c r="KO125" s="118">
        <v>11</v>
      </c>
      <c r="KP125" s="118">
        <v>9</v>
      </c>
      <c r="KQ125" s="118">
        <v>0</v>
      </c>
      <c r="KR125" s="118">
        <v>0</v>
      </c>
      <c r="KS125" s="118">
        <v>0</v>
      </c>
      <c r="KT125" s="118">
        <v>2</v>
      </c>
      <c r="KU125" s="118">
        <v>0</v>
      </c>
      <c r="KV125" s="118">
        <v>7</v>
      </c>
      <c r="KW125" s="118">
        <v>2</v>
      </c>
      <c r="KX125" s="118">
        <v>0</v>
      </c>
      <c r="KY125" s="118">
        <v>0</v>
      </c>
      <c r="KZ125" s="118">
        <v>2</v>
      </c>
      <c r="LA125" s="118">
        <v>3</v>
      </c>
      <c r="LB125" s="118">
        <v>143</v>
      </c>
      <c r="LC125" s="13"/>
      <c r="LD125" s="58" t="s">
        <v>57</v>
      </c>
      <c r="LE125" s="65">
        <v>55</v>
      </c>
      <c r="LF125" s="65">
        <v>0</v>
      </c>
      <c r="LG125" s="65">
        <v>0</v>
      </c>
      <c r="LH125" s="65">
        <v>12</v>
      </c>
      <c r="LI125" s="65">
        <v>6</v>
      </c>
      <c r="LJ125" s="65">
        <v>8</v>
      </c>
      <c r="LK125" s="65">
        <v>7</v>
      </c>
      <c r="LL125" s="65">
        <v>0</v>
      </c>
      <c r="LM125" s="65">
        <v>0</v>
      </c>
      <c r="LN125" s="65">
        <v>0</v>
      </c>
      <c r="LO125" s="65">
        <v>2</v>
      </c>
      <c r="LP125" s="65">
        <v>0</v>
      </c>
      <c r="LQ125" s="65">
        <v>2</v>
      </c>
      <c r="LR125" s="65">
        <v>3</v>
      </c>
      <c r="LS125" s="65">
        <v>0</v>
      </c>
      <c r="LT125" s="65">
        <v>0</v>
      </c>
      <c r="LU125" s="65">
        <v>3</v>
      </c>
      <c r="LV125" s="65">
        <v>0</v>
      </c>
      <c r="LW125" s="65">
        <v>0</v>
      </c>
      <c r="LX125" s="65">
        <v>1</v>
      </c>
      <c r="LY125" s="65">
        <v>0</v>
      </c>
      <c r="LZ125" s="65">
        <v>8</v>
      </c>
      <c r="MA125" s="65">
        <v>107</v>
      </c>
      <c r="MB125" s="13"/>
      <c r="MC125" s="180" t="s">
        <v>57</v>
      </c>
      <c r="MD125" s="181">
        <v>106</v>
      </c>
      <c r="ME125" s="181">
        <v>0</v>
      </c>
      <c r="MF125" s="181">
        <v>1</v>
      </c>
      <c r="MG125" s="181">
        <v>4</v>
      </c>
      <c r="MH125" s="181">
        <v>10</v>
      </c>
      <c r="MI125" s="181">
        <v>1</v>
      </c>
      <c r="MJ125" s="181">
        <v>0</v>
      </c>
      <c r="MK125" s="181">
        <v>9</v>
      </c>
      <c r="ML125" s="181">
        <v>4</v>
      </c>
      <c r="MM125" s="181">
        <v>0</v>
      </c>
      <c r="MN125" s="181">
        <v>9</v>
      </c>
      <c r="MO125" s="181">
        <v>0</v>
      </c>
      <c r="MP125" s="181">
        <v>0</v>
      </c>
      <c r="MQ125" s="181">
        <v>0</v>
      </c>
      <c r="MR125" s="181">
        <v>1</v>
      </c>
      <c r="MS125" s="181">
        <v>1</v>
      </c>
      <c r="MT125" s="181">
        <v>0</v>
      </c>
      <c r="MU125" s="181">
        <v>10</v>
      </c>
      <c r="MV125" s="181">
        <v>156</v>
      </c>
      <c r="MW125" s="13"/>
      <c r="MX125" s="74" t="s">
        <v>57</v>
      </c>
      <c r="MY125" s="127">
        <v>87</v>
      </c>
      <c r="MZ125" s="127">
        <v>0</v>
      </c>
      <c r="NA125" s="127">
        <v>7</v>
      </c>
      <c r="NB125" s="127">
        <v>13</v>
      </c>
      <c r="NC125" s="127">
        <v>6</v>
      </c>
      <c r="ND125" s="127">
        <v>0</v>
      </c>
      <c r="NE125" s="127">
        <v>0</v>
      </c>
      <c r="NF125" s="127">
        <v>9</v>
      </c>
      <c r="NG125" s="127">
        <v>6</v>
      </c>
      <c r="NH125" s="127">
        <v>0</v>
      </c>
      <c r="NI125" s="127">
        <v>14</v>
      </c>
      <c r="NJ125" s="127">
        <v>7</v>
      </c>
      <c r="NK125" s="127">
        <v>0</v>
      </c>
      <c r="NL125" s="127">
        <v>3</v>
      </c>
      <c r="NM125" s="127">
        <v>1</v>
      </c>
      <c r="NN125" s="127">
        <v>1</v>
      </c>
      <c r="NO125" s="127">
        <v>0</v>
      </c>
      <c r="NP125" s="127">
        <v>21</v>
      </c>
      <c r="NQ125" s="127">
        <v>175</v>
      </c>
      <c r="NR125" s="13"/>
      <c r="NS125" s="74" t="s">
        <v>57</v>
      </c>
      <c r="NT125" s="127">
        <v>128</v>
      </c>
      <c r="NU125" s="127">
        <v>0</v>
      </c>
      <c r="NV125" s="127">
        <v>4</v>
      </c>
      <c r="NW125" s="127">
        <v>26</v>
      </c>
      <c r="NX125" s="127">
        <v>12</v>
      </c>
      <c r="NY125" s="127">
        <v>0</v>
      </c>
      <c r="NZ125" s="127">
        <v>0</v>
      </c>
      <c r="OA125" s="127">
        <v>12</v>
      </c>
      <c r="OB125" s="127">
        <v>13</v>
      </c>
      <c r="OC125" s="127">
        <v>1</v>
      </c>
      <c r="OD125" s="127">
        <v>6</v>
      </c>
      <c r="OE125" s="127">
        <v>3</v>
      </c>
      <c r="OF125" s="127">
        <v>0</v>
      </c>
      <c r="OG125" s="127">
        <v>1</v>
      </c>
      <c r="OH125" s="127">
        <v>1</v>
      </c>
      <c r="OI125" s="127">
        <v>4</v>
      </c>
      <c r="OJ125" s="127">
        <v>0</v>
      </c>
      <c r="OK125" s="127">
        <v>11</v>
      </c>
      <c r="OL125" s="127">
        <v>222</v>
      </c>
    </row>
    <row r="126" spans="1:402" ht="15.5" thickBot="1">
      <c r="A126" s="17" t="s">
        <v>58</v>
      </c>
      <c r="B126" s="89">
        <v>114</v>
      </c>
      <c r="C126" s="89">
        <v>0</v>
      </c>
      <c r="D126" s="89">
        <v>6</v>
      </c>
      <c r="E126" s="89">
        <v>4</v>
      </c>
      <c r="F126" s="89">
        <v>1</v>
      </c>
      <c r="G126" s="89">
        <v>0</v>
      </c>
      <c r="H126" s="89">
        <v>0</v>
      </c>
      <c r="I126" s="89">
        <v>12</v>
      </c>
      <c r="J126" s="89">
        <v>52</v>
      </c>
      <c r="K126" s="89">
        <v>5</v>
      </c>
      <c r="L126" s="89">
        <v>14</v>
      </c>
      <c r="M126" s="89">
        <v>2</v>
      </c>
      <c r="N126" s="89">
        <v>0</v>
      </c>
      <c r="O126" s="89">
        <v>0</v>
      </c>
      <c r="P126" s="89">
        <v>0</v>
      </c>
      <c r="Q126" s="89">
        <v>0</v>
      </c>
      <c r="R126" s="89">
        <v>32</v>
      </c>
      <c r="S126" s="89">
        <v>29</v>
      </c>
      <c r="T126" s="89">
        <v>271</v>
      </c>
      <c r="U126" s="104"/>
      <c r="V126" s="17" t="s">
        <v>58</v>
      </c>
      <c r="W126" s="89">
        <v>75</v>
      </c>
      <c r="X126" s="89">
        <v>0</v>
      </c>
      <c r="Y126" s="89">
        <v>8</v>
      </c>
      <c r="Z126" s="89">
        <v>9</v>
      </c>
      <c r="AA126" s="89">
        <v>3</v>
      </c>
      <c r="AB126" s="89">
        <v>0</v>
      </c>
      <c r="AC126" s="89">
        <v>0</v>
      </c>
      <c r="AD126" s="89">
        <v>10</v>
      </c>
      <c r="AE126" s="89">
        <v>34</v>
      </c>
      <c r="AF126" s="89">
        <v>1</v>
      </c>
      <c r="AG126" s="109">
        <v>11</v>
      </c>
      <c r="AH126" s="89">
        <v>0</v>
      </c>
      <c r="AI126" s="89">
        <v>0</v>
      </c>
      <c r="AJ126" s="89">
        <v>1</v>
      </c>
      <c r="AK126" s="89">
        <v>0</v>
      </c>
      <c r="AL126" s="89">
        <v>1</v>
      </c>
      <c r="AM126" s="89">
        <v>34</v>
      </c>
      <c r="AN126" s="89">
        <v>31</v>
      </c>
      <c r="AO126" s="89">
        <v>218</v>
      </c>
      <c r="AP126" s="104"/>
      <c r="AQ126" s="17" t="s">
        <v>58</v>
      </c>
      <c r="AR126" s="89">
        <v>107</v>
      </c>
      <c r="AS126" s="89">
        <v>1</v>
      </c>
      <c r="AT126" s="89">
        <v>6</v>
      </c>
      <c r="AU126" s="89">
        <v>2</v>
      </c>
      <c r="AV126" s="89">
        <v>5</v>
      </c>
      <c r="AW126" s="89">
        <v>3</v>
      </c>
      <c r="AX126" s="89">
        <v>2</v>
      </c>
      <c r="AY126" s="89">
        <v>43</v>
      </c>
      <c r="AZ126" s="89">
        <v>37</v>
      </c>
      <c r="BA126" s="89">
        <v>1</v>
      </c>
      <c r="BB126" s="89">
        <v>10</v>
      </c>
      <c r="BC126" s="89">
        <v>4</v>
      </c>
      <c r="BD126" s="89">
        <v>1</v>
      </c>
      <c r="BE126" s="89">
        <v>2</v>
      </c>
      <c r="BF126" s="89">
        <v>0</v>
      </c>
      <c r="BG126" s="89">
        <v>0</v>
      </c>
      <c r="BH126" s="89">
        <v>48</v>
      </c>
      <c r="BI126" s="89">
        <v>14</v>
      </c>
      <c r="BJ126" s="89">
        <v>286</v>
      </c>
      <c r="BK126" s="13"/>
      <c r="BL126" s="115" t="s">
        <v>58</v>
      </c>
      <c r="BM126" s="118">
        <v>126</v>
      </c>
      <c r="BN126" s="118">
        <v>0</v>
      </c>
      <c r="BO126" s="118">
        <v>9</v>
      </c>
      <c r="BP126" s="118">
        <v>1</v>
      </c>
      <c r="BQ126" s="118">
        <v>4</v>
      </c>
      <c r="BR126" s="118">
        <v>1</v>
      </c>
      <c r="BS126" s="118">
        <v>0</v>
      </c>
      <c r="BT126" s="118">
        <v>32</v>
      </c>
      <c r="BU126" s="118">
        <v>34</v>
      </c>
      <c r="BV126" s="118">
        <v>0</v>
      </c>
      <c r="BW126" s="118">
        <v>9</v>
      </c>
      <c r="BX126" s="118">
        <v>1</v>
      </c>
      <c r="BY126" s="118">
        <v>0</v>
      </c>
      <c r="BZ126" s="118">
        <v>0</v>
      </c>
      <c r="CA126" s="118">
        <v>0</v>
      </c>
      <c r="CB126" s="118">
        <v>0</v>
      </c>
      <c r="CC126" s="118">
        <v>37</v>
      </c>
      <c r="CD126" s="118">
        <v>11</v>
      </c>
      <c r="CE126" s="119">
        <v>265</v>
      </c>
      <c r="CF126" s="13"/>
      <c r="CG126" s="118" t="s">
        <v>58</v>
      </c>
      <c r="CH126" s="118">
        <v>92</v>
      </c>
      <c r="CI126" s="118">
        <v>1</v>
      </c>
      <c r="CJ126" s="118">
        <v>4</v>
      </c>
      <c r="CK126" s="118">
        <v>25</v>
      </c>
      <c r="CL126" s="118">
        <v>9</v>
      </c>
      <c r="CM126" s="118">
        <v>4</v>
      </c>
      <c r="CN126" s="118">
        <v>8</v>
      </c>
      <c r="CO126" s="118">
        <v>22</v>
      </c>
      <c r="CP126" s="118">
        <v>20</v>
      </c>
      <c r="CQ126" s="118">
        <v>22</v>
      </c>
      <c r="CR126" s="118">
        <v>4</v>
      </c>
      <c r="CS126" s="118">
        <v>6</v>
      </c>
      <c r="CT126" s="118">
        <v>0</v>
      </c>
      <c r="CU126" s="118">
        <v>3</v>
      </c>
      <c r="CV126" s="118">
        <v>0</v>
      </c>
      <c r="CW126" s="118">
        <v>0</v>
      </c>
      <c r="CX126" s="118">
        <v>33</v>
      </c>
      <c r="CY126" s="118">
        <v>48</v>
      </c>
      <c r="CZ126" s="118">
        <v>301</v>
      </c>
      <c r="DA126" s="13"/>
      <c r="DB126" s="118" t="s">
        <v>58</v>
      </c>
      <c r="DC126" s="118">
        <v>183</v>
      </c>
      <c r="DD126" s="118">
        <v>0</v>
      </c>
      <c r="DE126" s="118">
        <v>10</v>
      </c>
      <c r="DF126" s="118">
        <v>6</v>
      </c>
      <c r="DG126" s="118">
        <v>6</v>
      </c>
      <c r="DH126" s="118">
        <v>3</v>
      </c>
      <c r="DI126" s="118">
        <v>0</v>
      </c>
      <c r="DJ126" s="118">
        <v>18</v>
      </c>
      <c r="DK126" s="118">
        <v>27</v>
      </c>
      <c r="DL126" s="118">
        <v>0</v>
      </c>
      <c r="DM126" s="118">
        <v>17</v>
      </c>
      <c r="DN126" s="118">
        <v>5</v>
      </c>
      <c r="DO126" s="118">
        <v>0</v>
      </c>
      <c r="DP126" s="118">
        <v>0</v>
      </c>
      <c r="DQ126" s="118">
        <v>0</v>
      </c>
      <c r="DR126" s="118">
        <v>0</v>
      </c>
      <c r="DS126" s="118">
        <v>44</v>
      </c>
      <c r="DT126" s="118">
        <v>13</v>
      </c>
      <c r="DU126" s="118">
        <v>332</v>
      </c>
      <c r="DV126" s="13"/>
      <c r="DW126" s="118" t="s">
        <v>58</v>
      </c>
      <c r="DX126" s="118">
        <v>133</v>
      </c>
      <c r="DY126" s="118">
        <v>0</v>
      </c>
      <c r="DZ126" s="118">
        <v>9</v>
      </c>
      <c r="EA126" s="118">
        <v>5</v>
      </c>
      <c r="EB126" s="118">
        <v>2</v>
      </c>
      <c r="EC126" s="118">
        <v>1</v>
      </c>
      <c r="ED126" s="118">
        <v>0</v>
      </c>
      <c r="EE126" s="118">
        <v>29</v>
      </c>
      <c r="EF126" s="118">
        <v>35</v>
      </c>
      <c r="EG126" s="118">
        <v>1</v>
      </c>
      <c r="EH126" s="118">
        <v>26</v>
      </c>
      <c r="EI126" s="118">
        <v>3</v>
      </c>
      <c r="EJ126" s="118">
        <v>1</v>
      </c>
      <c r="EK126" s="118">
        <v>1</v>
      </c>
      <c r="EL126" s="118">
        <v>1</v>
      </c>
      <c r="EM126" s="118">
        <v>0</v>
      </c>
      <c r="EN126" s="118">
        <v>32</v>
      </c>
      <c r="EO126" s="118">
        <v>27</v>
      </c>
      <c r="EP126" s="118">
        <v>306</v>
      </c>
      <c r="EQ126" s="13"/>
      <c r="ER126" s="118" t="s">
        <v>58</v>
      </c>
      <c r="ES126" s="118">
        <v>129</v>
      </c>
      <c r="ET126" s="118">
        <v>0</v>
      </c>
      <c r="EU126" s="118">
        <v>4</v>
      </c>
      <c r="EV126" s="118">
        <v>2</v>
      </c>
      <c r="EW126" s="118">
        <v>3</v>
      </c>
      <c r="EX126" s="118">
        <v>3</v>
      </c>
      <c r="EY126" s="118">
        <v>0</v>
      </c>
      <c r="EZ126" s="118">
        <v>19</v>
      </c>
      <c r="FA126" s="118">
        <v>45</v>
      </c>
      <c r="FB126" s="118">
        <v>0</v>
      </c>
      <c r="FC126" s="118">
        <v>21</v>
      </c>
      <c r="FD126" s="118">
        <v>3</v>
      </c>
      <c r="FE126" s="118">
        <v>0</v>
      </c>
      <c r="FF126" s="118">
        <v>1</v>
      </c>
      <c r="FG126" s="118">
        <v>0</v>
      </c>
      <c r="FH126" s="118">
        <v>0</v>
      </c>
      <c r="FI126" s="118">
        <v>39</v>
      </c>
      <c r="FJ126" s="118">
        <v>37</v>
      </c>
      <c r="FK126" s="118">
        <v>306</v>
      </c>
      <c r="FL126" s="13"/>
      <c r="FM126" s="118" t="s">
        <v>58</v>
      </c>
      <c r="FN126" s="118">
        <v>105</v>
      </c>
      <c r="FO126" s="118">
        <v>1</v>
      </c>
      <c r="FP126" s="118">
        <v>10</v>
      </c>
      <c r="FQ126" s="118">
        <v>29</v>
      </c>
      <c r="FR126" s="118">
        <v>10</v>
      </c>
      <c r="FS126" s="118">
        <v>1</v>
      </c>
      <c r="FT126" s="118">
        <v>0</v>
      </c>
      <c r="FU126" s="118">
        <v>0</v>
      </c>
      <c r="FV126" s="118">
        <v>27</v>
      </c>
      <c r="FW126" s="118">
        <v>0</v>
      </c>
      <c r="FX126" s="118">
        <v>11</v>
      </c>
      <c r="FY126" s="118">
        <v>5</v>
      </c>
      <c r="FZ126" s="118">
        <v>0</v>
      </c>
      <c r="GA126" s="118">
        <v>0</v>
      </c>
      <c r="GB126" s="118">
        <v>0</v>
      </c>
      <c r="GC126" s="118">
        <v>0</v>
      </c>
      <c r="GD126" s="118">
        <v>42</v>
      </c>
      <c r="GE126" s="118">
        <v>47</v>
      </c>
      <c r="GF126" s="118">
        <v>288</v>
      </c>
      <c r="GG126" s="13"/>
      <c r="GH126" s="118" t="s">
        <v>58</v>
      </c>
      <c r="GI126" s="118">
        <v>73</v>
      </c>
      <c r="GJ126" s="118">
        <v>0</v>
      </c>
      <c r="GK126" s="118">
        <v>4</v>
      </c>
      <c r="GL126" s="118">
        <v>5</v>
      </c>
      <c r="GM126" s="118">
        <v>4</v>
      </c>
      <c r="GN126" s="118">
        <v>4</v>
      </c>
      <c r="GO126" s="118">
        <v>0</v>
      </c>
      <c r="GP126" s="118">
        <v>19</v>
      </c>
      <c r="GQ126" s="118">
        <v>16</v>
      </c>
      <c r="GR126" s="118">
        <v>0</v>
      </c>
      <c r="GS126" s="118">
        <v>9</v>
      </c>
      <c r="GT126" s="118">
        <v>1</v>
      </c>
      <c r="GU126" s="118">
        <v>0</v>
      </c>
      <c r="GV126" s="118">
        <v>0</v>
      </c>
      <c r="GW126" s="118">
        <v>0</v>
      </c>
      <c r="GX126" s="118">
        <v>0</v>
      </c>
      <c r="GY126" s="118">
        <v>34</v>
      </c>
      <c r="GZ126" s="118">
        <v>14</v>
      </c>
      <c r="HA126" s="118">
        <v>183</v>
      </c>
      <c r="HB126" s="13"/>
      <c r="HC126" s="118" t="s">
        <v>58</v>
      </c>
      <c r="HD126" s="118">
        <v>140</v>
      </c>
      <c r="HE126" s="118">
        <v>0</v>
      </c>
      <c r="HF126" s="118">
        <v>6</v>
      </c>
      <c r="HG126" s="118">
        <v>3</v>
      </c>
      <c r="HH126" s="118">
        <v>3</v>
      </c>
      <c r="HI126" s="118">
        <v>6</v>
      </c>
      <c r="HJ126" s="118">
        <v>0</v>
      </c>
      <c r="HK126" s="118">
        <v>6</v>
      </c>
      <c r="HL126" s="118">
        <v>37</v>
      </c>
      <c r="HM126" s="118">
        <v>0</v>
      </c>
      <c r="HN126" s="118">
        <v>24</v>
      </c>
      <c r="HO126" s="118">
        <v>0</v>
      </c>
      <c r="HP126" s="118">
        <v>0</v>
      </c>
      <c r="HQ126" s="118">
        <v>0</v>
      </c>
      <c r="HR126" s="118">
        <v>0</v>
      </c>
      <c r="HS126" s="118">
        <v>0</v>
      </c>
      <c r="HT126" s="118">
        <v>36</v>
      </c>
      <c r="HU126" s="118">
        <v>13</v>
      </c>
      <c r="HV126" s="118">
        <v>274</v>
      </c>
      <c r="HW126" s="13"/>
      <c r="HX126" s="118" t="s">
        <v>58</v>
      </c>
      <c r="HY126" s="118">
        <v>113</v>
      </c>
      <c r="HZ126" s="118">
        <v>1</v>
      </c>
      <c r="IA126" s="118">
        <v>14</v>
      </c>
      <c r="IB126" s="118">
        <v>6</v>
      </c>
      <c r="IC126" s="118">
        <v>2</v>
      </c>
      <c r="ID126" s="118">
        <v>2</v>
      </c>
      <c r="IE126" s="118">
        <v>0</v>
      </c>
      <c r="IF126" s="118">
        <v>9</v>
      </c>
      <c r="IG126" s="118">
        <v>21</v>
      </c>
      <c r="IH126" s="118">
        <v>0</v>
      </c>
      <c r="II126" s="118">
        <v>17</v>
      </c>
      <c r="IJ126" s="118">
        <v>1</v>
      </c>
      <c r="IK126" s="118">
        <v>0</v>
      </c>
      <c r="IL126" s="118">
        <v>1</v>
      </c>
      <c r="IM126" s="118">
        <v>1</v>
      </c>
      <c r="IN126" s="118">
        <v>0</v>
      </c>
      <c r="IO126" s="118">
        <v>24</v>
      </c>
      <c r="IP126" s="118">
        <v>8</v>
      </c>
      <c r="IQ126" s="118">
        <v>220</v>
      </c>
      <c r="IR126" s="13"/>
      <c r="IS126" s="118" t="s">
        <v>58</v>
      </c>
      <c r="IT126" s="118">
        <v>148</v>
      </c>
      <c r="IU126" s="118">
        <v>0</v>
      </c>
      <c r="IV126" s="118">
        <v>12</v>
      </c>
      <c r="IW126" s="118">
        <v>5</v>
      </c>
      <c r="IX126" s="118">
        <v>5</v>
      </c>
      <c r="IY126" s="118">
        <v>0</v>
      </c>
      <c r="IZ126" s="118">
        <v>0</v>
      </c>
      <c r="JA126" s="118">
        <v>6</v>
      </c>
      <c r="JB126" s="118">
        <v>21</v>
      </c>
      <c r="JC126" s="118">
        <v>0</v>
      </c>
      <c r="JD126" s="118">
        <v>12</v>
      </c>
      <c r="JE126" s="118">
        <v>0</v>
      </c>
      <c r="JF126" s="118">
        <v>0</v>
      </c>
      <c r="JG126" s="118">
        <v>2</v>
      </c>
      <c r="JH126" s="118">
        <v>2</v>
      </c>
      <c r="JI126" s="118">
        <v>0</v>
      </c>
      <c r="JJ126" s="118">
        <v>35</v>
      </c>
      <c r="JK126" s="118">
        <v>20</v>
      </c>
      <c r="JL126" s="118">
        <v>268</v>
      </c>
      <c r="JM126" s="13"/>
      <c r="JN126" s="70" t="s">
        <v>58</v>
      </c>
      <c r="JO126" s="122">
        <v>167</v>
      </c>
      <c r="JP126" s="122">
        <v>0</v>
      </c>
      <c r="JQ126" s="122">
        <v>7</v>
      </c>
      <c r="JR126" s="122">
        <v>2</v>
      </c>
      <c r="JS126" s="122">
        <v>6</v>
      </c>
      <c r="JT126" s="122">
        <v>2</v>
      </c>
      <c r="JU126" s="122">
        <v>0</v>
      </c>
      <c r="JV126" s="122">
        <v>4</v>
      </c>
      <c r="JW126" s="122">
        <v>26</v>
      </c>
      <c r="JX126" s="122">
        <v>1</v>
      </c>
      <c r="JY126" s="122">
        <v>10</v>
      </c>
      <c r="JZ126" s="122">
        <v>1</v>
      </c>
      <c r="KA126" s="122">
        <v>1</v>
      </c>
      <c r="KB126" s="122">
        <v>2</v>
      </c>
      <c r="KC126" s="122">
        <v>1</v>
      </c>
      <c r="KD126" s="122">
        <v>0</v>
      </c>
      <c r="KE126" s="122">
        <v>7</v>
      </c>
      <c r="KF126" s="122">
        <v>5</v>
      </c>
      <c r="KG126" s="123">
        <v>242</v>
      </c>
      <c r="KH126" s="13"/>
      <c r="KI126" s="118" t="s">
        <v>58</v>
      </c>
      <c r="KJ126" s="118">
        <v>98</v>
      </c>
      <c r="KK126" s="118">
        <v>1</v>
      </c>
      <c r="KL126" s="118">
        <v>12</v>
      </c>
      <c r="KM126" s="118">
        <v>39</v>
      </c>
      <c r="KN126" s="118">
        <v>1</v>
      </c>
      <c r="KO126" s="118">
        <v>3</v>
      </c>
      <c r="KP126" s="118">
        <v>4</v>
      </c>
      <c r="KQ126" s="118">
        <v>3</v>
      </c>
      <c r="KR126" s="118">
        <v>0</v>
      </c>
      <c r="KS126" s="118">
        <v>1</v>
      </c>
      <c r="KT126" s="118">
        <v>18</v>
      </c>
      <c r="KU126" s="118">
        <v>0</v>
      </c>
      <c r="KV126" s="118">
        <v>15</v>
      </c>
      <c r="KW126" s="118">
        <v>1</v>
      </c>
      <c r="KX126" s="118">
        <v>0</v>
      </c>
      <c r="KY126" s="118">
        <v>0</v>
      </c>
      <c r="KZ126" s="118">
        <v>0</v>
      </c>
      <c r="LA126" s="118">
        <v>1</v>
      </c>
      <c r="LB126" s="118">
        <v>197</v>
      </c>
      <c r="LC126" s="13"/>
      <c r="LD126" s="58" t="s">
        <v>58</v>
      </c>
      <c r="LE126" s="65">
        <v>60</v>
      </c>
      <c r="LF126" s="65">
        <v>1</v>
      </c>
      <c r="LG126" s="65">
        <v>4</v>
      </c>
      <c r="LH126" s="65">
        <v>22</v>
      </c>
      <c r="LI126" s="65">
        <v>2</v>
      </c>
      <c r="LJ126" s="65">
        <v>3</v>
      </c>
      <c r="LK126" s="65">
        <v>0</v>
      </c>
      <c r="LL126" s="65">
        <v>1</v>
      </c>
      <c r="LM126" s="65">
        <v>0</v>
      </c>
      <c r="LN126" s="65">
        <v>0</v>
      </c>
      <c r="LO126" s="65">
        <v>17</v>
      </c>
      <c r="LP126" s="65">
        <v>0</v>
      </c>
      <c r="LQ126" s="65">
        <v>8</v>
      </c>
      <c r="LR126" s="65">
        <v>3</v>
      </c>
      <c r="LS126" s="65">
        <v>0</v>
      </c>
      <c r="LT126" s="65">
        <v>0</v>
      </c>
      <c r="LU126" s="65">
        <v>1</v>
      </c>
      <c r="LV126" s="65">
        <v>2</v>
      </c>
      <c r="LW126" s="65">
        <v>0</v>
      </c>
      <c r="LX126" s="65">
        <v>4</v>
      </c>
      <c r="LY126" s="65">
        <v>7</v>
      </c>
      <c r="LZ126" s="65">
        <v>4</v>
      </c>
      <c r="MA126" s="65">
        <v>139</v>
      </c>
      <c r="MB126" s="13"/>
      <c r="MC126" s="180" t="s">
        <v>58</v>
      </c>
      <c r="MD126" s="181">
        <v>91</v>
      </c>
      <c r="ME126" s="181">
        <v>1</v>
      </c>
      <c r="MF126" s="181">
        <v>6</v>
      </c>
      <c r="MG126" s="181">
        <v>0</v>
      </c>
      <c r="MH126" s="181">
        <v>8</v>
      </c>
      <c r="MI126" s="181">
        <v>0</v>
      </c>
      <c r="MJ126" s="181">
        <v>0</v>
      </c>
      <c r="MK126" s="181">
        <v>7</v>
      </c>
      <c r="ML126" s="181">
        <v>23</v>
      </c>
      <c r="MM126" s="181">
        <v>0</v>
      </c>
      <c r="MN126" s="181">
        <v>14</v>
      </c>
      <c r="MO126" s="181">
        <v>0</v>
      </c>
      <c r="MP126" s="181">
        <v>0</v>
      </c>
      <c r="MQ126" s="181">
        <v>0</v>
      </c>
      <c r="MR126" s="181">
        <v>0</v>
      </c>
      <c r="MS126" s="181">
        <v>1</v>
      </c>
      <c r="MT126" s="181">
        <v>0</v>
      </c>
      <c r="MU126" s="181">
        <v>13</v>
      </c>
      <c r="MV126" s="181">
        <v>164</v>
      </c>
      <c r="MW126" s="13"/>
      <c r="MX126" s="74" t="s">
        <v>58</v>
      </c>
      <c r="MY126" s="127">
        <v>113</v>
      </c>
      <c r="MZ126" s="127">
        <v>0</v>
      </c>
      <c r="NA126" s="127">
        <v>5</v>
      </c>
      <c r="NB126" s="127">
        <v>1</v>
      </c>
      <c r="NC126" s="127">
        <v>5</v>
      </c>
      <c r="ND126" s="127">
        <v>3</v>
      </c>
      <c r="NE126" s="127">
        <v>0</v>
      </c>
      <c r="NF126" s="127">
        <v>9</v>
      </c>
      <c r="NG126" s="127">
        <v>14</v>
      </c>
      <c r="NH126" s="127">
        <v>1</v>
      </c>
      <c r="NI126" s="127">
        <v>27</v>
      </c>
      <c r="NJ126" s="127">
        <v>0</v>
      </c>
      <c r="NK126" s="127">
        <v>0</v>
      </c>
      <c r="NL126" s="127">
        <v>1</v>
      </c>
      <c r="NM126" s="127">
        <v>0</v>
      </c>
      <c r="NN126" s="127">
        <v>1</v>
      </c>
      <c r="NO126" s="127">
        <v>18</v>
      </c>
      <c r="NP126" s="127">
        <v>25</v>
      </c>
      <c r="NQ126" s="127">
        <v>223</v>
      </c>
      <c r="NR126" s="13"/>
      <c r="NS126" s="74" t="s">
        <v>58</v>
      </c>
      <c r="NT126" s="127">
        <v>87</v>
      </c>
      <c r="NU126" s="127">
        <v>0</v>
      </c>
      <c r="NV126" s="127">
        <v>1</v>
      </c>
      <c r="NW126" s="127">
        <v>1</v>
      </c>
      <c r="NX126" s="127">
        <v>1</v>
      </c>
      <c r="NY126" s="127">
        <v>0</v>
      </c>
      <c r="NZ126" s="127">
        <v>2</v>
      </c>
      <c r="OA126" s="127">
        <v>3</v>
      </c>
      <c r="OB126" s="127">
        <v>22</v>
      </c>
      <c r="OC126" s="127">
        <v>0</v>
      </c>
      <c r="OD126" s="127">
        <v>8</v>
      </c>
      <c r="OE126" s="127">
        <v>2</v>
      </c>
      <c r="OF126" s="127">
        <v>0</v>
      </c>
      <c r="OG126" s="127">
        <v>1</v>
      </c>
      <c r="OH126" s="127">
        <v>0</v>
      </c>
      <c r="OI126" s="127">
        <v>0</v>
      </c>
      <c r="OJ126" s="127">
        <v>1</v>
      </c>
      <c r="OK126" s="127">
        <v>5</v>
      </c>
      <c r="OL126" s="127">
        <v>134</v>
      </c>
    </row>
    <row r="127" spans="1:402" ht="15.5" thickBot="1">
      <c r="A127" s="17" t="s">
        <v>59</v>
      </c>
      <c r="B127" s="89">
        <v>102</v>
      </c>
      <c r="C127" s="89">
        <v>0</v>
      </c>
      <c r="D127" s="89">
        <v>1</v>
      </c>
      <c r="E127" s="89">
        <v>1</v>
      </c>
      <c r="F127" s="89">
        <v>4</v>
      </c>
      <c r="G127" s="89">
        <v>0</v>
      </c>
      <c r="H127" s="89">
        <v>0</v>
      </c>
      <c r="I127" s="89">
        <v>4</v>
      </c>
      <c r="J127" s="89">
        <v>0</v>
      </c>
      <c r="K127" s="89">
        <v>0</v>
      </c>
      <c r="L127" s="89">
        <v>8</v>
      </c>
      <c r="M127" s="89">
        <v>1</v>
      </c>
      <c r="N127" s="89">
        <v>1</v>
      </c>
      <c r="O127" s="89">
        <v>0</v>
      </c>
      <c r="P127" s="89">
        <v>0</v>
      </c>
      <c r="Q127" s="89">
        <v>0</v>
      </c>
      <c r="R127" s="89">
        <v>4</v>
      </c>
      <c r="S127" s="89">
        <v>0</v>
      </c>
      <c r="T127" s="89">
        <v>126</v>
      </c>
      <c r="U127" s="104"/>
      <c r="V127" s="17" t="s">
        <v>59</v>
      </c>
      <c r="W127" s="89">
        <v>128</v>
      </c>
      <c r="X127" s="89">
        <v>0</v>
      </c>
      <c r="Y127" s="89">
        <v>1</v>
      </c>
      <c r="Z127" s="89">
        <v>4</v>
      </c>
      <c r="AA127" s="89">
        <v>4</v>
      </c>
      <c r="AB127" s="89">
        <v>2</v>
      </c>
      <c r="AC127" s="89">
        <v>0</v>
      </c>
      <c r="AD127" s="89">
        <v>11</v>
      </c>
      <c r="AE127" s="89">
        <v>8</v>
      </c>
      <c r="AF127" s="89">
        <v>0</v>
      </c>
      <c r="AG127" s="109">
        <v>7</v>
      </c>
      <c r="AH127" s="89">
        <v>1</v>
      </c>
      <c r="AI127" s="89">
        <v>0</v>
      </c>
      <c r="AJ127" s="89">
        <v>0</v>
      </c>
      <c r="AK127" s="89">
        <v>0</v>
      </c>
      <c r="AL127" s="89">
        <v>2</v>
      </c>
      <c r="AM127" s="89">
        <v>2</v>
      </c>
      <c r="AN127" s="89">
        <v>1</v>
      </c>
      <c r="AO127" s="89">
        <v>171</v>
      </c>
      <c r="AP127" s="104"/>
      <c r="AQ127" s="17" t="s">
        <v>59</v>
      </c>
      <c r="AR127" s="89">
        <v>114</v>
      </c>
      <c r="AS127" s="89">
        <v>0</v>
      </c>
      <c r="AT127" s="89">
        <v>7</v>
      </c>
      <c r="AU127" s="89">
        <v>1</v>
      </c>
      <c r="AV127" s="89">
        <v>2</v>
      </c>
      <c r="AW127" s="89">
        <v>2</v>
      </c>
      <c r="AX127" s="89">
        <v>2</v>
      </c>
      <c r="AY127" s="89">
        <v>16</v>
      </c>
      <c r="AZ127" s="89">
        <v>1</v>
      </c>
      <c r="BA127" s="89">
        <v>2</v>
      </c>
      <c r="BB127" s="89">
        <v>6</v>
      </c>
      <c r="BC127" s="89">
        <v>4</v>
      </c>
      <c r="BD127" s="89">
        <v>0</v>
      </c>
      <c r="BE127" s="89">
        <v>0</v>
      </c>
      <c r="BF127" s="89">
        <v>0</v>
      </c>
      <c r="BG127" s="89">
        <v>18</v>
      </c>
      <c r="BH127" s="89">
        <v>14</v>
      </c>
      <c r="BI127" s="89">
        <v>5</v>
      </c>
      <c r="BJ127" s="89">
        <v>194</v>
      </c>
      <c r="BK127" s="13"/>
      <c r="BL127" s="115" t="s">
        <v>59</v>
      </c>
      <c r="BM127" s="118">
        <v>162</v>
      </c>
      <c r="BN127" s="118">
        <v>2</v>
      </c>
      <c r="BO127" s="118">
        <v>5</v>
      </c>
      <c r="BP127" s="118">
        <v>0</v>
      </c>
      <c r="BQ127" s="118">
        <v>2</v>
      </c>
      <c r="BR127" s="118">
        <v>0</v>
      </c>
      <c r="BS127" s="118">
        <v>0</v>
      </c>
      <c r="BT127" s="118">
        <v>27</v>
      </c>
      <c r="BU127" s="118">
        <v>6</v>
      </c>
      <c r="BV127" s="118">
        <v>0</v>
      </c>
      <c r="BW127" s="118">
        <v>11</v>
      </c>
      <c r="BX127" s="118">
        <v>3</v>
      </c>
      <c r="BY127" s="118">
        <v>0</v>
      </c>
      <c r="BZ127" s="118">
        <v>0</v>
      </c>
      <c r="CA127" s="118">
        <v>0</v>
      </c>
      <c r="CB127" s="118">
        <v>25</v>
      </c>
      <c r="CC127" s="118">
        <v>26</v>
      </c>
      <c r="CD127" s="118">
        <v>4</v>
      </c>
      <c r="CE127" s="119">
        <v>273</v>
      </c>
      <c r="CF127" s="13"/>
      <c r="CG127" s="118" t="s">
        <v>59</v>
      </c>
      <c r="CH127" s="118">
        <v>154</v>
      </c>
      <c r="CI127" s="118">
        <v>0</v>
      </c>
      <c r="CJ127" s="118">
        <v>7</v>
      </c>
      <c r="CK127" s="118">
        <v>2</v>
      </c>
      <c r="CL127" s="118">
        <v>7</v>
      </c>
      <c r="CM127" s="118">
        <v>2</v>
      </c>
      <c r="CN127" s="118">
        <v>0</v>
      </c>
      <c r="CO127" s="118">
        <v>21</v>
      </c>
      <c r="CP127" s="118">
        <v>6</v>
      </c>
      <c r="CQ127" s="118">
        <v>1</v>
      </c>
      <c r="CR127" s="118">
        <v>6</v>
      </c>
      <c r="CS127" s="118">
        <v>3</v>
      </c>
      <c r="CT127" s="118">
        <v>0</v>
      </c>
      <c r="CU127" s="118">
        <v>0</v>
      </c>
      <c r="CV127" s="118">
        <v>0</v>
      </c>
      <c r="CW127" s="118">
        <v>3</v>
      </c>
      <c r="CX127" s="118">
        <v>9</v>
      </c>
      <c r="CY127" s="118">
        <v>4</v>
      </c>
      <c r="CZ127" s="118">
        <v>225</v>
      </c>
      <c r="DA127" s="13"/>
      <c r="DB127" s="118" t="s">
        <v>59</v>
      </c>
      <c r="DC127" s="118">
        <v>124</v>
      </c>
      <c r="DD127" s="118">
        <v>0</v>
      </c>
      <c r="DE127" s="118">
        <v>8</v>
      </c>
      <c r="DF127" s="118">
        <v>0</v>
      </c>
      <c r="DG127" s="118">
        <v>2</v>
      </c>
      <c r="DH127" s="118">
        <v>2</v>
      </c>
      <c r="DI127" s="118">
        <v>0</v>
      </c>
      <c r="DJ127" s="118">
        <v>22</v>
      </c>
      <c r="DK127" s="118">
        <v>1</v>
      </c>
      <c r="DL127" s="118">
        <v>2</v>
      </c>
      <c r="DM127" s="118">
        <v>3</v>
      </c>
      <c r="DN127" s="118">
        <v>1</v>
      </c>
      <c r="DO127" s="118">
        <v>0</v>
      </c>
      <c r="DP127" s="118">
        <v>0</v>
      </c>
      <c r="DQ127" s="118">
        <v>0</v>
      </c>
      <c r="DR127" s="118">
        <v>21</v>
      </c>
      <c r="DS127" s="118">
        <v>4</v>
      </c>
      <c r="DT127" s="118">
        <v>7</v>
      </c>
      <c r="DU127" s="118">
        <v>197</v>
      </c>
      <c r="DV127" s="13"/>
      <c r="DW127" s="118" t="s">
        <v>59</v>
      </c>
      <c r="DX127" s="118">
        <v>141</v>
      </c>
      <c r="DY127" s="118">
        <v>0</v>
      </c>
      <c r="DZ127" s="118">
        <v>7</v>
      </c>
      <c r="EA127" s="118">
        <v>2</v>
      </c>
      <c r="EB127" s="118">
        <v>0</v>
      </c>
      <c r="EC127" s="118">
        <v>1</v>
      </c>
      <c r="ED127" s="118">
        <v>0</v>
      </c>
      <c r="EE127" s="118">
        <v>15</v>
      </c>
      <c r="EF127" s="118">
        <v>1</v>
      </c>
      <c r="EG127" s="118">
        <v>1</v>
      </c>
      <c r="EH127" s="118">
        <v>5</v>
      </c>
      <c r="EI127" s="118">
        <v>1</v>
      </c>
      <c r="EJ127" s="118">
        <v>0</v>
      </c>
      <c r="EK127" s="118">
        <v>1</v>
      </c>
      <c r="EL127" s="118">
        <v>0</v>
      </c>
      <c r="EM127" s="118">
        <v>2</v>
      </c>
      <c r="EN127" s="118">
        <v>4</v>
      </c>
      <c r="EO127" s="118">
        <v>4</v>
      </c>
      <c r="EP127" s="118">
        <v>185</v>
      </c>
      <c r="EQ127" s="13"/>
      <c r="ER127" s="118" t="s">
        <v>59</v>
      </c>
      <c r="ES127" s="118">
        <v>120</v>
      </c>
      <c r="ET127" s="118">
        <v>0</v>
      </c>
      <c r="EU127" s="118">
        <v>3</v>
      </c>
      <c r="EV127" s="118">
        <v>1</v>
      </c>
      <c r="EW127" s="118">
        <v>5</v>
      </c>
      <c r="EX127" s="118">
        <v>1</v>
      </c>
      <c r="EY127" s="118">
        <v>1</v>
      </c>
      <c r="EZ127" s="118">
        <v>9</v>
      </c>
      <c r="FA127" s="118">
        <v>4</v>
      </c>
      <c r="FB127" s="118">
        <v>1</v>
      </c>
      <c r="FC127" s="118">
        <v>3</v>
      </c>
      <c r="FD127" s="118">
        <v>0</v>
      </c>
      <c r="FE127" s="118">
        <v>0</v>
      </c>
      <c r="FF127" s="118">
        <v>0</v>
      </c>
      <c r="FG127" s="118">
        <v>0</v>
      </c>
      <c r="FH127" s="118">
        <v>9</v>
      </c>
      <c r="FI127" s="118">
        <v>3</v>
      </c>
      <c r="FJ127" s="118">
        <v>7</v>
      </c>
      <c r="FK127" s="118">
        <v>167</v>
      </c>
      <c r="FL127" s="13"/>
      <c r="FM127" s="118" t="s">
        <v>59</v>
      </c>
      <c r="FN127" s="118">
        <v>90</v>
      </c>
      <c r="FO127" s="118">
        <v>0</v>
      </c>
      <c r="FP127" s="118">
        <v>4</v>
      </c>
      <c r="FQ127" s="118">
        <v>2</v>
      </c>
      <c r="FR127" s="118">
        <v>10</v>
      </c>
      <c r="FS127" s="118">
        <v>1</v>
      </c>
      <c r="FT127" s="118">
        <v>0</v>
      </c>
      <c r="FU127" s="118">
        <v>1</v>
      </c>
      <c r="FV127" s="118">
        <v>6</v>
      </c>
      <c r="FW127" s="118">
        <v>1</v>
      </c>
      <c r="FX127" s="118">
        <v>5</v>
      </c>
      <c r="FY127" s="118">
        <v>0</v>
      </c>
      <c r="FZ127" s="118">
        <v>0</v>
      </c>
      <c r="GA127" s="118">
        <v>2</v>
      </c>
      <c r="GB127" s="118">
        <v>0</v>
      </c>
      <c r="GC127" s="118">
        <v>7</v>
      </c>
      <c r="GD127" s="118">
        <v>1</v>
      </c>
      <c r="GE127" s="118">
        <v>65</v>
      </c>
      <c r="GF127" s="118">
        <v>195</v>
      </c>
      <c r="GG127" s="13"/>
      <c r="GH127" s="118" t="s">
        <v>59</v>
      </c>
      <c r="GI127" s="118">
        <v>103</v>
      </c>
      <c r="GJ127" s="118">
        <v>0</v>
      </c>
      <c r="GK127" s="118">
        <v>5</v>
      </c>
      <c r="GL127" s="118">
        <v>1</v>
      </c>
      <c r="GM127" s="118">
        <v>7</v>
      </c>
      <c r="GN127" s="118">
        <v>3</v>
      </c>
      <c r="GO127" s="118">
        <v>2</v>
      </c>
      <c r="GP127" s="118">
        <v>13</v>
      </c>
      <c r="GQ127" s="118">
        <v>6</v>
      </c>
      <c r="GR127" s="118">
        <v>0</v>
      </c>
      <c r="GS127" s="118">
        <v>2</v>
      </c>
      <c r="GT127" s="118">
        <v>1</v>
      </c>
      <c r="GU127" s="118">
        <v>0</v>
      </c>
      <c r="GV127" s="118">
        <v>0</v>
      </c>
      <c r="GW127" s="118">
        <v>1</v>
      </c>
      <c r="GX127" s="118">
        <v>3</v>
      </c>
      <c r="GY127" s="118">
        <v>4</v>
      </c>
      <c r="GZ127" s="118">
        <v>10</v>
      </c>
      <c r="HA127" s="118">
        <v>161</v>
      </c>
      <c r="HB127" s="13"/>
      <c r="HC127" s="118" t="s">
        <v>59</v>
      </c>
      <c r="HD127" s="118">
        <v>128</v>
      </c>
      <c r="HE127" s="118">
        <v>1</v>
      </c>
      <c r="HF127" s="118">
        <v>2</v>
      </c>
      <c r="HG127" s="118">
        <v>3</v>
      </c>
      <c r="HH127" s="118">
        <v>4</v>
      </c>
      <c r="HI127" s="118">
        <v>2</v>
      </c>
      <c r="HJ127" s="118">
        <v>0</v>
      </c>
      <c r="HK127" s="118">
        <v>10</v>
      </c>
      <c r="HL127" s="118">
        <v>6</v>
      </c>
      <c r="HM127" s="118">
        <v>1</v>
      </c>
      <c r="HN127" s="118">
        <v>5</v>
      </c>
      <c r="HO127" s="118">
        <v>1</v>
      </c>
      <c r="HP127" s="118">
        <v>0</v>
      </c>
      <c r="HQ127" s="118">
        <v>1</v>
      </c>
      <c r="HR127" s="118">
        <v>1</v>
      </c>
      <c r="HS127" s="118">
        <v>2</v>
      </c>
      <c r="HT127" s="118">
        <v>6</v>
      </c>
      <c r="HU127" s="118">
        <v>4</v>
      </c>
      <c r="HV127" s="118">
        <v>177</v>
      </c>
      <c r="HW127" s="13"/>
      <c r="HX127" s="118" t="s">
        <v>59</v>
      </c>
      <c r="HY127" s="118">
        <v>98</v>
      </c>
      <c r="HZ127" s="118">
        <v>1</v>
      </c>
      <c r="IA127" s="118">
        <v>4</v>
      </c>
      <c r="IB127" s="118">
        <v>4</v>
      </c>
      <c r="IC127" s="118">
        <v>3</v>
      </c>
      <c r="ID127" s="118">
        <v>0</v>
      </c>
      <c r="IE127" s="118">
        <v>0</v>
      </c>
      <c r="IF127" s="118">
        <v>13</v>
      </c>
      <c r="IG127" s="118">
        <v>4</v>
      </c>
      <c r="IH127" s="118">
        <v>1</v>
      </c>
      <c r="II127" s="118">
        <v>4</v>
      </c>
      <c r="IJ127" s="118">
        <v>1</v>
      </c>
      <c r="IK127" s="118">
        <v>0</v>
      </c>
      <c r="IL127" s="118">
        <v>1</v>
      </c>
      <c r="IM127" s="118">
        <v>0</v>
      </c>
      <c r="IN127" s="118">
        <v>2</v>
      </c>
      <c r="IO127" s="118">
        <v>0</v>
      </c>
      <c r="IP127" s="118">
        <v>2</v>
      </c>
      <c r="IQ127" s="118">
        <v>138</v>
      </c>
      <c r="IR127" s="13"/>
      <c r="IS127" s="118" t="s">
        <v>59</v>
      </c>
      <c r="IT127" s="118">
        <v>108</v>
      </c>
      <c r="IU127" s="118">
        <v>1</v>
      </c>
      <c r="IV127" s="118">
        <v>5</v>
      </c>
      <c r="IW127" s="118">
        <v>2</v>
      </c>
      <c r="IX127" s="118">
        <v>2</v>
      </c>
      <c r="IY127" s="118">
        <v>0</v>
      </c>
      <c r="IZ127" s="118">
        <v>0</v>
      </c>
      <c r="JA127" s="118">
        <v>10</v>
      </c>
      <c r="JB127" s="118">
        <v>0</v>
      </c>
      <c r="JC127" s="118">
        <v>0</v>
      </c>
      <c r="JD127" s="118">
        <v>3</v>
      </c>
      <c r="JE127" s="118">
        <v>0</v>
      </c>
      <c r="JF127" s="118">
        <v>0</v>
      </c>
      <c r="JG127" s="118">
        <v>0</v>
      </c>
      <c r="JH127" s="118">
        <v>0</v>
      </c>
      <c r="JI127" s="118">
        <v>2</v>
      </c>
      <c r="JJ127" s="118">
        <v>1</v>
      </c>
      <c r="JK127" s="118">
        <v>0</v>
      </c>
      <c r="JL127" s="118">
        <v>134</v>
      </c>
      <c r="JM127" s="13"/>
      <c r="JN127" s="70" t="s">
        <v>59</v>
      </c>
      <c r="JO127" s="122">
        <v>140</v>
      </c>
      <c r="JP127" s="122">
        <v>0</v>
      </c>
      <c r="JQ127" s="122">
        <v>6</v>
      </c>
      <c r="JR127" s="122">
        <v>4</v>
      </c>
      <c r="JS127" s="122">
        <v>0</v>
      </c>
      <c r="JT127" s="122">
        <v>1</v>
      </c>
      <c r="JU127" s="122">
        <v>1</v>
      </c>
      <c r="JV127" s="122">
        <v>8</v>
      </c>
      <c r="JW127" s="122">
        <v>2</v>
      </c>
      <c r="JX127" s="122">
        <v>2</v>
      </c>
      <c r="JY127" s="122">
        <v>6</v>
      </c>
      <c r="JZ127" s="122">
        <v>0</v>
      </c>
      <c r="KA127" s="122">
        <v>0</v>
      </c>
      <c r="KB127" s="122">
        <v>0</v>
      </c>
      <c r="KC127" s="122">
        <v>2</v>
      </c>
      <c r="KD127" s="122">
        <v>3</v>
      </c>
      <c r="KE127" s="122">
        <v>5</v>
      </c>
      <c r="KF127" s="122">
        <v>2</v>
      </c>
      <c r="KG127" s="123">
        <v>182</v>
      </c>
      <c r="KH127" s="13"/>
      <c r="KI127" s="118" t="s">
        <v>59</v>
      </c>
      <c r="KJ127" s="118">
        <v>77</v>
      </c>
      <c r="KK127" s="118">
        <v>0</v>
      </c>
      <c r="KL127" s="118">
        <v>6</v>
      </c>
      <c r="KM127" s="118">
        <v>35</v>
      </c>
      <c r="KN127" s="118">
        <v>1</v>
      </c>
      <c r="KO127" s="118">
        <v>12</v>
      </c>
      <c r="KP127" s="118">
        <v>1</v>
      </c>
      <c r="KQ127" s="118">
        <v>0</v>
      </c>
      <c r="KR127" s="118">
        <v>0</v>
      </c>
      <c r="KS127" s="118">
        <v>8</v>
      </c>
      <c r="KT127" s="118">
        <v>2</v>
      </c>
      <c r="KU127" s="118">
        <v>0</v>
      </c>
      <c r="KV127" s="118">
        <v>3</v>
      </c>
      <c r="KW127" s="118">
        <v>0</v>
      </c>
      <c r="KX127" s="118">
        <v>0</v>
      </c>
      <c r="KY127" s="118">
        <v>1</v>
      </c>
      <c r="KZ127" s="118">
        <v>0</v>
      </c>
      <c r="LA127" s="118">
        <v>0</v>
      </c>
      <c r="LB127" s="118">
        <v>146</v>
      </c>
      <c r="LC127" s="13"/>
      <c r="LD127" s="58" t="s">
        <v>59</v>
      </c>
      <c r="LE127" s="65">
        <v>49</v>
      </c>
      <c r="LF127" s="65">
        <v>0</v>
      </c>
      <c r="LG127" s="65">
        <v>5</v>
      </c>
      <c r="LH127" s="65">
        <v>30</v>
      </c>
      <c r="LI127" s="65">
        <v>0</v>
      </c>
      <c r="LJ127" s="65">
        <v>3</v>
      </c>
      <c r="LK127" s="65">
        <v>4</v>
      </c>
      <c r="LL127" s="65">
        <v>1</v>
      </c>
      <c r="LM127" s="65">
        <v>1</v>
      </c>
      <c r="LN127" s="65">
        <v>5</v>
      </c>
      <c r="LO127" s="65">
        <v>6</v>
      </c>
      <c r="LP127" s="65">
        <v>0</v>
      </c>
      <c r="LQ127" s="65">
        <v>2</v>
      </c>
      <c r="LR127" s="65">
        <v>1</v>
      </c>
      <c r="LS127" s="65">
        <v>0</v>
      </c>
      <c r="LT127" s="65">
        <v>0</v>
      </c>
      <c r="LU127" s="65">
        <v>0</v>
      </c>
      <c r="LV127" s="65">
        <v>3</v>
      </c>
      <c r="LW127" s="65">
        <v>0</v>
      </c>
      <c r="LX127" s="65">
        <v>5</v>
      </c>
      <c r="LY127" s="65">
        <v>1</v>
      </c>
      <c r="LZ127" s="65">
        <v>0</v>
      </c>
      <c r="MA127" s="65">
        <v>116</v>
      </c>
      <c r="MB127" s="13"/>
      <c r="MC127" s="180" t="s">
        <v>59</v>
      </c>
      <c r="MD127" s="181">
        <v>137</v>
      </c>
      <c r="ME127" s="181">
        <v>0</v>
      </c>
      <c r="MF127" s="181">
        <v>6</v>
      </c>
      <c r="MG127" s="181">
        <v>2</v>
      </c>
      <c r="MH127" s="181">
        <v>4</v>
      </c>
      <c r="MI127" s="181">
        <v>0</v>
      </c>
      <c r="MJ127" s="181">
        <v>0</v>
      </c>
      <c r="MK127" s="181">
        <v>15</v>
      </c>
      <c r="ML127" s="181">
        <v>2</v>
      </c>
      <c r="MM127" s="181">
        <v>2</v>
      </c>
      <c r="MN127" s="181">
        <v>3</v>
      </c>
      <c r="MO127" s="181">
        <v>1</v>
      </c>
      <c r="MP127" s="181">
        <v>0</v>
      </c>
      <c r="MQ127" s="181">
        <v>0</v>
      </c>
      <c r="MR127" s="181">
        <v>0</v>
      </c>
      <c r="MS127" s="181">
        <v>2</v>
      </c>
      <c r="MT127" s="181">
        <v>0</v>
      </c>
      <c r="MU127" s="181">
        <v>6</v>
      </c>
      <c r="MV127" s="181">
        <v>180</v>
      </c>
      <c r="MW127" s="13"/>
      <c r="MX127" s="74" t="s">
        <v>59</v>
      </c>
      <c r="MY127" s="127">
        <v>152</v>
      </c>
      <c r="MZ127" s="127">
        <v>0</v>
      </c>
      <c r="NA127" s="127">
        <v>5</v>
      </c>
      <c r="NB127" s="127">
        <v>3</v>
      </c>
      <c r="NC127" s="127">
        <v>4</v>
      </c>
      <c r="ND127" s="127">
        <v>1</v>
      </c>
      <c r="NE127" s="127">
        <v>0</v>
      </c>
      <c r="NF127" s="127">
        <v>14</v>
      </c>
      <c r="NG127" s="127">
        <v>2</v>
      </c>
      <c r="NH127" s="127">
        <v>2</v>
      </c>
      <c r="NI127" s="127">
        <v>1</v>
      </c>
      <c r="NJ127" s="127">
        <v>0</v>
      </c>
      <c r="NK127" s="127">
        <v>1</v>
      </c>
      <c r="NL127" s="127">
        <v>0</v>
      </c>
      <c r="NM127" s="127">
        <v>0</v>
      </c>
      <c r="NN127" s="127">
        <v>3</v>
      </c>
      <c r="NO127" s="127">
        <v>2</v>
      </c>
      <c r="NP127" s="127">
        <v>0</v>
      </c>
      <c r="NQ127" s="127">
        <v>190</v>
      </c>
      <c r="NR127" s="13"/>
      <c r="NS127" s="74" t="s">
        <v>59</v>
      </c>
      <c r="NT127" s="127">
        <v>142</v>
      </c>
      <c r="NU127" s="127">
        <v>1</v>
      </c>
      <c r="NV127" s="127">
        <v>5</v>
      </c>
      <c r="NW127" s="127">
        <v>1</v>
      </c>
      <c r="NX127" s="127">
        <v>1</v>
      </c>
      <c r="NY127" s="127">
        <v>0</v>
      </c>
      <c r="NZ127" s="127">
        <v>0</v>
      </c>
      <c r="OA127" s="127">
        <v>15</v>
      </c>
      <c r="OB127" s="127">
        <v>0</v>
      </c>
      <c r="OC127" s="127">
        <v>1</v>
      </c>
      <c r="OD127" s="127">
        <v>5</v>
      </c>
      <c r="OE127" s="127">
        <v>1</v>
      </c>
      <c r="OF127" s="127">
        <v>3</v>
      </c>
      <c r="OG127" s="127">
        <v>0</v>
      </c>
      <c r="OH127" s="127">
        <v>0</v>
      </c>
      <c r="OI127" s="127">
        <v>2</v>
      </c>
      <c r="OJ127" s="127">
        <v>0</v>
      </c>
      <c r="OK127" s="127">
        <v>0</v>
      </c>
      <c r="OL127" s="127">
        <v>177</v>
      </c>
    </row>
    <row r="128" spans="1:402" ht="15.5" thickBot="1">
      <c r="A128" s="17" t="s">
        <v>60</v>
      </c>
      <c r="B128" s="89">
        <v>254</v>
      </c>
      <c r="C128" s="89">
        <v>0</v>
      </c>
      <c r="D128" s="89">
        <v>22</v>
      </c>
      <c r="E128" s="89">
        <v>10</v>
      </c>
      <c r="F128" s="89">
        <v>28</v>
      </c>
      <c r="G128" s="89">
        <v>4</v>
      </c>
      <c r="H128" s="89">
        <v>1</v>
      </c>
      <c r="I128" s="89">
        <v>12</v>
      </c>
      <c r="J128" s="89">
        <v>20</v>
      </c>
      <c r="K128" s="89">
        <v>1</v>
      </c>
      <c r="L128" s="89">
        <v>13</v>
      </c>
      <c r="M128" s="89">
        <v>6</v>
      </c>
      <c r="N128" s="89">
        <v>0</v>
      </c>
      <c r="O128" s="89">
        <v>0</v>
      </c>
      <c r="P128" s="89">
        <v>0</v>
      </c>
      <c r="Q128" s="89">
        <v>0</v>
      </c>
      <c r="R128" s="89">
        <v>2</v>
      </c>
      <c r="S128" s="89">
        <v>4</v>
      </c>
      <c r="T128" s="89">
        <v>377</v>
      </c>
      <c r="U128" s="104"/>
      <c r="V128" s="17" t="s">
        <v>60</v>
      </c>
      <c r="W128" s="89">
        <v>270</v>
      </c>
      <c r="X128" s="89">
        <v>0</v>
      </c>
      <c r="Y128" s="89">
        <v>20</v>
      </c>
      <c r="Z128" s="89">
        <v>25</v>
      </c>
      <c r="AA128" s="89">
        <v>23</v>
      </c>
      <c r="AB128" s="89">
        <v>6</v>
      </c>
      <c r="AC128" s="89">
        <v>1</v>
      </c>
      <c r="AD128" s="89">
        <v>18</v>
      </c>
      <c r="AE128" s="89">
        <v>8</v>
      </c>
      <c r="AF128" s="89">
        <v>10</v>
      </c>
      <c r="AG128" s="109">
        <v>11</v>
      </c>
      <c r="AH128" s="89">
        <v>4</v>
      </c>
      <c r="AI128" s="89">
        <v>3</v>
      </c>
      <c r="AJ128" s="89">
        <v>0</v>
      </c>
      <c r="AK128" s="89">
        <v>0</v>
      </c>
      <c r="AL128" s="89">
        <v>0</v>
      </c>
      <c r="AM128" s="89">
        <v>4</v>
      </c>
      <c r="AN128" s="89">
        <v>4</v>
      </c>
      <c r="AO128" s="89">
        <v>407</v>
      </c>
      <c r="AP128" s="104"/>
      <c r="AQ128" s="17" t="s">
        <v>60</v>
      </c>
      <c r="AR128" s="89">
        <v>293</v>
      </c>
      <c r="AS128" s="89">
        <v>0</v>
      </c>
      <c r="AT128" s="89">
        <v>0</v>
      </c>
      <c r="AU128" s="89">
        <v>17</v>
      </c>
      <c r="AV128" s="89">
        <v>0</v>
      </c>
      <c r="AW128" s="89">
        <v>0</v>
      </c>
      <c r="AX128" s="89">
        <v>0</v>
      </c>
      <c r="AY128" s="89">
        <v>19</v>
      </c>
      <c r="AZ128" s="89">
        <v>3</v>
      </c>
      <c r="BA128" s="89">
        <v>0</v>
      </c>
      <c r="BB128" s="89">
        <v>5</v>
      </c>
      <c r="BC128" s="89">
        <v>1</v>
      </c>
      <c r="BD128" s="89">
        <v>0</v>
      </c>
      <c r="BE128" s="89">
        <v>1</v>
      </c>
      <c r="BF128" s="89">
        <v>0</v>
      </c>
      <c r="BG128" s="89">
        <v>0</v>
      </c>
      <c r="BH128" s="89">
        <v>0</v>
      </c>
      <c r="BI128" s="89">
        <v>4</v>
      </c>
      <c r="BJ128" s="89">
        <v>343</v>
      </c>
      <c r="BK128" s="13"/>
      <c r="BL128" s="115" t="s">
        <v>60</v>
      </c>
      <c r="BM128" s="118">
        <v>253</v>
      </c>
      <c r="BN128" s="118">
        <v>0</v>
      </c>
      <c r="BO128" s="118">
        <v>6</v>
      </c>
      <c r="BP128" s="118">
        <v>19</v>
      </c>
      <c r="BQ128" s="118">
        <v>2</v>
      </c>
      <c r="BR128" s="118">
        <v>1</v>
      </c>
      <c r="BS128" s="118">
        <v>1</v>
      </c>
      <c r="BT128" s="118">
        <v>10</v>
      </c>
      <c r="BU128" s="118">
        <v>5</v>
      </c>
      <c r="BV128" s="118">
        <v>0</v>
      </c>
      <c r="BW128" s="118">
        <v>12</v>
      </c>
      <c r="BX128" s="118">
        <v>0</v>
      </c>
      <c r="BY128" s="118">
        <v>0</v>
      </c>
      <c r="BZ128" s="118">
        <v>2</v>
      </c>
      <c r="CA128" s="118">
        <v>0</v>
      </c>
      <c r="CB128" s="118">
        <v>0</v>
      </c>
      <c r="CC128" s="118">
        <v>0</v>
      </c>
      <c r="CD128" s="118">
        <v>1</v>
      </c>
      <c r="CE128" s="119">
        <v>312</v>
      </c>
      <c r="CF128" s="13"/>
      <c r="CG128" s="118" t="s">
        <v>60</v>
      </c>
      <c r="CH128" s="118">
        <v>239</v>
      </c>
      <c r="CI128" s="118">
        <v>1</v>
      </c>
      <c r="CJ128" s="118">
        <v>0</v>
      </c>
      <c r="CK128" s="118">
        <v>17</v>
      </c>
      <c r="CL128" s="118">
        <v>0</v>
      </c>
      <c r="CM128" s="118">
        <v>0</v>
      </c>
      <c r="CN128" s="118">
        <v>0</v>
      </c>
      <c r="CO128" s="118">
        <v>18</v>
      </c>
      <c r="CP128" s="118">
        <v>9</v>
      </c>
      <c r="CQ128" s="118">
        <v>0</v>
      </c>
      <c r="CR128" s="118">
        <v>11</v>
      </c>
      <c r="CS128" s="118">
        <v>0</v>
      </c>
      <c r="CT128" s="118">
        <v>0</v>
      </c>
      <c r="CU128" s="118">
        <v>0</v>
      </c>
      <c r="CV128" s="118">
        <v>0</v>
      </c>
      <c r="CW128" s="118">
        <v>0</v>
      </c>
      <c r="CX128" s="118">
        <v>0</v>
      </c>
      <c r="CY128" s="118">
        <v>4</v>
      </c>
      <c r="CZ128" s="118">
        <v>299</v>
      </c>
      <c r="DA128" s="13"/>
      <c r="DB128" s="118" t="s">
        <v>60</v>
      </c>
      <c r="DC128" s="118">
        <v>260</v>
      </c>
      <c r="DD128" s="118">
        <v>0</v>
      </c>
      <c r="DE128" s="118">
        <v>7</v>
      </c>
      <c r="DF128" s="118">
        <v>5</v>
      </c>
      <c r="DG128" s="118">
        <v>7</v>
      </c>
      <c r="DH128" s="118">
        <v>2</v>
      </c>
      <c r="DI128" s="118">
        <v>0</v>
      </c>
      <c r="DJ128" s="118">
        <v>16</v>
      </c>
      <c r="DK128" s="118">
        <v>7</v>
      </c>
      <c r="DL128" s="118">
        <v>0</v>
      </c>
      <c r="DM128" s="118">
        <v>18</v>
      </c>
      <c r="DN128" s="118">
        <v>0</v>
      </c>
      <c r="DO128" s="118">
        <v>1</v>
      </c>
      <c r="DP128" s="118">
        <v>2</v>
      </c>
      <c r="DQ128" s="118">
        <v>0</v>
      </c>
      <c r="DR128" s="118">
        <v>0</v>
      </c>
      <c r="DS128" s="118">
        <v>4</v>
      </c>
      <c r="DT128" s="118">
        <v>15</v>
      </c>
      <c r="DU128" s="118">
        <v>344</v>
      </c>
      <c r="DV128" s="13"/>
      <c r="DW128" s="118" t="s">
        <v>60</v>
      </c>
      <c r="DX128" s="118">
        <v>243</v>
      </c>
      <c r="DY128" s="118">
        <v>1</v>
      </c>
      <c r="DZ128" s="118">
        <v>8</v>
      </c>
      <c r="EA128" s="118">
        <v>4</v>
      </c>
      <c r="EB128" s="118">
        <v>5</v>
      </c>
      <c r="EC128" s="118">
        <v>0</v>
      </c>
      <c r="ED128" s="118">
        <v>0</v>
      </c>
      <c r="EE128" s="118">
        <v>20</v>
      </c>
      <c r="EF128" s="118">
        <v>19</v>
      </c>
      <c r="EG128" s="118">
        <v>0</v>
      </c>
      <c r="EH128" s="118">
        <v>26</v>
      </c>
      <c r="EI128" s="118">
        <v>0</v>
      </c>
      <c r="EJ128" s="118">
        <v>0</v>
      </c>
      <c r="EK128" s="118">
        <v>2</v>
      </c>
      <c r="EL128" s="118">
        <v>0</v>
      </c>
      <c r="EM128" s="118">
        <v>0</v>
      </c>
      <c r="EN128" s="118">
        <v>5</v>
      </c>
      <c r="EO128" s="118">
        <v>11</v>
      </c>
      <c r="EP128" s="118">
        <v>344</v>
      </c>
      <c r="EQ128" s="13"/>
      <c r="ER128" s="118" t="s">
        <v>60</v>
      </c>
      <c r="ES128" s="118">
        <v>313</v>
      </c>
      <c r="ET128" s="118">
        <v>2</v>
      </c>
      <c r="EU128" s="118">
        <v>28</v>
      </c>
      <c r="EV128" s="118">
        <v>13</v>
      </c>
      <c r="EW128" s="118">
        <v>17</v>
      </c>
      <c r="EX128" s="118">
        <v>0</v>
      </c>
      <c r="EY128" s="118">
        <v>0</v>
      </c>
      <c r="EZ128" s="118">
        <v>29</v>
      </c>
      <c r="FA128" s="118">
        <v>7</v>
      </c>
      <c r="FB128" s="118">
        <v>0</v>
      </c>
      <c r="FC128" s="118">
        <v>34</v>
      </c>
      <c r="FD128" s="118">
        <v>1</v>
      </c>
      <c r="FE128" s="118">
        <v>0</v>
      </c>
      <c r="FF128" s="118">
        <v>1</v>
      </c>
      <c r="FG128" s="118">
        <v>0</v>
      </c>
      <c r="FH128" s="118">
        <v>0</v>
      </c>
      <c r="FI128" s="118">
        <v>6</v>
      </c>
      <c r="FJ128" s="118">
        <v>27</v>
      </c>
      <c r="FK128" s="118">
        <v>478</v>
      </c>
      <c r="FL128" s="13"/>
      <c r="FM128" s="118" t="s">
        <v>60</v>
      </c>
      <c r="FN128" s="118">
        <v>183</v>
      </c>
      <c r="FO128" s="118">
        <v>0</v>
      </c>
      <c r="FP128" s="118">
        <v>19</v>
      </c>
      <c r="FQ128" s="118">
        <v>10</v>
      </c>
      <c r="FR128" s="118">
        <v>9</v>
      </c>
      <c r="FS128" s="118">
        <v>0</v>
      </c>
      <c r="FT128" s="118">
        <v>0</v>
      </c>
      <c r="FU128" s="118">
        <v>0</v>
      </c>
      <c r="FV128" s="118">
        <v>15</v>
      </c>
      <c r="FW128" s="118">
        <v>0</v>
      </c>
      <c r="FX128" s="118">
        <v>33</v>
      </c>
      <c r="FY128" s="118">
        <v>0</v>
      </c>
      <c r="FZ128" s="118">
        <v>0</v>
      </c>
      <c r="GA128" s="118">
        <v>1</v>
      </c>
      <c r="GB128" s="118">
        <v>0</v>
      </c>
      <c r="GC128" s="118">
        <v>0</v>
      </c>
      <c r="GD128" s="118">
        <v>6</v>
      </c>
      <c r="GE128" s="118">
        <v>202</v>
      </c>
      <c r="GF128" s="118">
        <v>478</v>
      </c>
      <c r="GG128" s="13"/>
      <c r="GH128" s="118" t="s">
        <v>60</v>
      </c>
      <c r="GI128" s="118">
        <v>320</v>
      </c>
      <c r="GJ128" s="118">
        <v>0</v>
      </c>
      <c r="GK128" s="118">
        <v>14</v>
      </c>
      <c r="GL128" s="118">
        <v>14</v>
      </c>
      <c r="GM128" s="118">
        <v>16</v>
      </c>
      <c r="GN128" s="118">
        <v>3</v>
      </c>
      <c r="GO128" s="118">
        <v>0</v>
      </c>
      <c r="GP128" s="118">
        <v>18</v>
      </c>
      <c r="GQ128" s="118">
        <v>4</v>
      </c>
      <c r="GR128" s="118">
        <v>0</v>
      </c>
      <c r="GS128" s="118">
        <v>20</v>
      </c>
      <c r="GT128" s="118">
        <v>5</v>
      </c>
      <c r="GU128" s="118">
        <v>4</v>
      </c>
      <c r="GV128" s="118">
        <v>1</v>
      </c>
      <c r="GW128" s="118">
        <v>0</v>
      </c>
      <c r="GX128" s="118">
        <v>6</v>
      </c>
      <c r="GY128" s="118">
        <v>7</v>
      </c>
      <c r="GZ128" s="118">
        <v>25</v>
      </c>
      <c r="HA128" s="118">
        <v>457</v>
      </c>
      <c r="HB128" s="13"/>
      <c r="HC128" s="118" t="s">
        <v>60</v>
      </c>
      <c r="HD128" s="118">
        <v>340</v>
      </c>
      <c r="HE128" s="118">
        <v>1</v>
      </c>
      <c r="HF128" s="118">
        <v>37</v>
      </c>
      <c r="HG128" s="118">
        <v>20</v>
      </c>
      <c r="HH128" s="118">
        <v>22</v>
      </c>
      <c r="HI128" s="118">
        <v>3</v>
      </c>
      <c r="HJ128" s="118">
        <v>0</v>
      </c>
      <c r="HK128" s="118">
        <v>14</v>
      </c>
      <c r="HL128" s="118">
        <v>15</v>
      </c>
      <c r="HM128" s="118">
        <v>2</v>
      </c>
      <c r="HN128" s="118">
        <v>22</v>
      </c>
      <c r="HO128" s="118">
        <v>2</v>
      </c>
      <c r="HP128" s="118">
        <v>4</v>
      </c>
      <c r="HQ128" s="118">
        <v>0</v>
      </c>
      <c r="HR128" s="118">
        <v>0</v>
      </c>
      <c r="HS128" s="118">
        <v>2</v>
      </c>
      <c r="HT128" s="118">
        <v>4</v>
      </c>
      <c r="HU128" s="118">
        <v>14</v>
      </c>
      <c r="HV128" s="118">
        <v>502</v>
      </c>
      <c r="HW128" s="13"/>
      <c r="HX128" s="118" t="s">
        <v>60</v>
      </c>
      <c r="HY128" s="118">
        <v>262</v>
      </c>
      <c r="HZ128" s="118">
        <v>0</v>
      </c>
      <c r="IA128" s="118">
        <v>28</v>
      </c>
      <c r="IB128" s="118">
        <v>4</v>
      </c>
      <c r="IC128" s="118">
        <v>9</v>
      </c>
      <c r="ID128" s="118">
        <v>4</v>
      </c>
      <c r="IE128" s="118">
        <v>0</v>
      </c>
      <c r="IF128" s="118">
        <v>25</v>
      </c>
      <c r="IG128" s="118">
        <v>11</v>
      </c>
      <c r="IH128" s="118">
        <v>0</v>
      </c>
      <c r="II128" s="118">
        <v>27</v>
      </c>
      <c r="IJ128" s="118">
        <v>3</v>
      </c>
      <c r="IK128" s="118">
        <v>0</v>
      </c>
      <c r="IL128" s="118">
        <v>0</v>
      </c>
      <c r="IM128" s="118">
        <v>0</v>
      </c>
      <c r="IN128" s="118">
        <v>0</v>
      </c>
      <c r="IO128" s="118">
        <v>13</v>
      </c>
      <c r="IP128" s="118">
        <v>10</v>
      </c>
      <c r="IQ128" s="118">
        <v>396</v>
      </c>
      <c r="IR128" s="13"/>
      <c r="IS128" s="118" t="s">
        <v>60</v>
      </c>
      <c r="IT128" s="118">
        <v>265</v>
      </c>
      <c r="IU128" s="118">
        <v>0</v>
      </c>
      <c r="IV128" s="118">
        <v>34</v>
      </c>
      <c r="IW128" s="118">
        <v>5</v>
      </c>
      <c r="IX128" s="118">
        <v>5</v>
      </c>
      <c r="IY128" s="118">
        <v>1</v>
      </c>
      <c r="IZ128" s="118">
        <v>0</v>
      </c>
      <c r="JA128" s="118">
        <v>14</v>
      </c>
      <c r="JB128" s="118">
        <v>11</v>
      </c>
      <c r="JC128" s="118">
        <v>0</v>
      </c>
      <c r="JD128" s="118">
        <v>22</v>
      </c>
      <c r="JE128" s="118">
        <v>1</v>
      </c>
      <c r="JF128" s="118">
        <v>3</v>
      </c>
      <c r="JG128" s="118">
        <v>0</v>
      </c>
      <c r="JH128" s="118">
        <v>0</v>
      </c>
      <c r="JI128" s="118">
        <v>0</v>
      </c>
      <c r="JJ128" s="118">
        <v>1</v>
      </c>
      <c r="JK128" s="118">
        <v>18</v>
      </c>
      <c r="JL128" s="118">
        <v>380</v>
      </c>
      <c r="JM128" s="13"/>
      <c r="JN128" s="70" t="s">
        <v>60</v>
      </c>
      <c r="JO128" s="122">
        <v>261</v>
      </c>
      <c r="JP128" s="122">
        <v>0</v>
      </c>
      <c r="JQ128" s="122">
        <v>34</v>
      </c>
      <c r="JR128" s="122">
        <v>12</v>
      </c>
      <c r="JS128" s="122">
        <v>2</v>
      </c>
      <c r="JT128" s="122">
        <v>0</v>
      </c>
      <c r="JU128" s="122">
        <v>0</v>
      </c>
      <c r="JV128" s="122">
        <v>16</v>
      </c>
      <c r="JW128" s="122">
        <v>8</v>
      </c>
      <c r="JX128" s="122">
        <v>0</v>
      </c>
      <c r="JY128" s="122">
        <v>18</v>
      </c>
      <c r="JZ128" s="122">
        <v>1</v>
      </c>
      <c r="KA128" s="122">
        <v>3</v>
      </c>
      <c r="KB128" s="122">
        <v>0</v>
      </c>
      <c r="KC128" s="122">
        <v>0</v>
      </c>
      <c r="KD128" s="122">
        <v>0</v>
      </c>
      <c r="KE128" s="122">
        <v>1</v>
      </c>
      <c r="KF128" s="122">
        <v>9</v>
      </c>
      <c r="KG128" s="123">
        <v>365</v>
      </c>
      <c r="KH128" s="13"/>
      <c r="KI128" s="118" t="s">
        <v>60</v>
      </c>
      <c r="KJ128" s="118">
        <v>122</v>
      </c>
      <c r="KK128" s="118">
        <v>0</v>
      </c>
      <c r="KL128" s="118">
        <v>16</v>
      </c>
      <c r="KM128" s="118">
        <v>93</v>
      </c>
      <c r="KN128" s="118">
        <v>19</v>
      </c>
      <c r="KO128" s="118">
        <v>7</v>
      </c>
      <c r="KP128" s="118">
        <v>7</v>
      </c>
      <c r="KQ128" s="118">
        <v>1</v>
      </c>
      <c r="KR128" s="118">
        <v>0</v>
      </c>
      <c r="KS128" s="118">
        <v>1</v>
      </c>
      <c r="KT128" s="118">
        <v>4</v>
      </c>
      <c r="KU128" s="118">
        <v>1</v>
      </c>
      <c r="KV128" s="118">
        <v>24</v>
      </c>
      <c r="KW128" s="118">
        <v>1</v>
      </c>
      <c r="KX128" s="118">
        <v>4</v>
      </c>
      <c r="KY128" s="118">
        <v>0</v>
      </c>
      <c r="KZ128" s="118">
        <v>1</v>
      </c>
      <c r="LA128" s="118">
        <v>5</v>
      </c>
      <c r="LB128" s="118">
        <v>306</v>
      </c>
      <c r="LC128" s="13"/>
      <c r="LD128" s="58" t="s">
        <v>60</v>
      </c>
      <c r="LE128" s="65">
        <v>133</v>
      </c>
      <c r="LF128" s="65">
        <v>0</v>
      </c>
      <c r="LG128" s="65">
        <v>25</v>
      </c>
      <c r="LH128" s="65">
        <v>115</v>
      </c>
      <c r="LI128" s="65">
        <v>10</v>
      </c>
      <c r="LJ128" s="65">
        <v>11</v>
      </c>
      <c r="LK128" s="65">
        <v>6</v>
      </c>
      <c r="LL128" s="65">
        <v>6</v>
      </c>
      <c r="LM128" s="65">
        <v>0</v>
      </c>
      <c r="LN128" s="65">
        <v>1</v>
      </c>
      <c r="LO128" s="65">
        <v>9</v>
      </c>
      <c r="LP128" s="65">
        <v>0</v>
      </c>
      <c r="LQ128" s="65">
        <v>10</v>
      </c>
      <c r="LR128" s="65">
        <v>1</v>
      </c>
      <c r="LS128" s="65">
        <v>1</v>
      </c>
      <c r="LT128" s="65">
        <v>0</v>
      </c>
      <c r="LU128" s="65">
        <v>1</v>
      </c>
      <c r="LV128" s="65">
        <v>2</v>
      </c>
      <c r="LW128" s="65">
        <v>0</v>
      </c>
      <c r="LX128" s="65">
        <v>2</v>
      </c>
      <c r="LY128" s="65">
        <v>2</v>
      </c>
      <c r="LZ128" s="65">
        <v>9</v>
      </c>
      <c r="MA128" s="65">
        <v>344</v>
      </c>
      <c r="MB128" s="13"/>
      <c r="MC128" s="180" t="s">
        <v>60</v>
      </c>
      <c r="MD128" s="181">
        <v>306</v>
      </c>
      <c r="ME128" s="181">
        <v>2</v>
      </c>
      <c r="MF128" s="181">
        <v>34</v>
      </c>
      <c r="MG128" s="181">
        <v>11</v>
      </c>
      <c r="MH128" s="181">
        <v>10</v>
      </c>
      <c r="MI128" s="181">
        <v>5</v>
      </c>
      <c r="MJ128" s="181">
        <v>0</v>
      </c>
      <c r="MK128" s="181">
        <v>20</v>
      </c>
      <c r="ML128" s="181">
        <v>17</v>
      </c>
      <c r="MM128" s="181">
        <v>0</v>
      </c>
      <c r="MN128" s="181">
        <v>21</v>
      </c>
      <c r="MO128" s="181">
        <v>2</v>
      </c>
      <c r="MP128" s="181">
        <v>2</v>
      </c>
      <c r="MQ128" s="181">
        <v>0</v>
      </c>
      <c r="MR128" s="181">
        <v>0</v>
      </c>
      <c r="MS128" s="181">
        <v>0</v>
      </c>
      <c r="MT128" s="181">
        <v>0</v>
      </c>
      <c r="MU128" s="181">
        <v>10</v>
      </c>
      <c r="MV128" s="181">
        <v>440</v>
      </c>
      <c r="MW128" s="13"/>
      <c r="MX128" s="74" t="s">
        <v>60</v>
      </c>
      <c r="MY128" s="127">
        <v>300</v>
      </c>
      <c r="MZ128" s="127">
        <v>1</v>
      </c>
      <c r="NA128" s="127">
        <v>44</v>
      </c>
      <c r="NB128" s="127">
        <v>4</v>
      </c>
      <c r="NC128" s="127">
        <v>16</v>
      </c>
      <c r="ND128" s="127">
        <v>5</v>
      </c>
      <c r="NE128" s="127">
        <v>0</v>
      </c>
      <c r="NF128" s="127">
        <v>15</v>
      </c>
      <c r="NG128" s="127">
        <v>22</v>
      </c>
      <c r="NH128" s="127">
        <v>0</v>
      </c>
      <c r="NI128" s="127">
        <v>11</v>
      </c>
      <c r="NJ128" s="127">
        <v>1</v>
      </c>
      <c r="NK128" s="127">
        <v>2</v>
      </c>
      <c r="NL128" s="127">
        <v>0</v>
      </c>
      <c r="NM128" s="127">
        <v>0</v>
      </c>
      <c r="NN128" s="127">
        <v>2</v>
      </c>
      <c r="NO128" s="127">
        <v>1</v>
      </c>
      <c r="NP128" s="127">
        <v>4</v>
      </c>
      <c r="NQ128" s="127">
        <v>428</v>
      </c>
      <c r="NR128" s="13"/>
      <c r="NS128" s="74" t="s">
        <v>60</v>
      </c>
      <c r="NT128" s="127">
        <v>369</v>
      </c>
      <c r="NU128" s="127">
        <v>0</v>
      </c>
      <c r="NV128" s="127">
        <v>28</v>
      </c>
      <c r="NW128" s="127">
        <v>15</v>
      </c>
      <c r="NX128" s="127">
        <v>22</v>
      </c>
      <c r="NY128" s="127">
        <v>5</v>
      </c>
      <c r="NZ128" s="127">
        <v>0</v>
      </c>
      <c r="OA128" s="127">
        <v>12</v>
      </c>
      <c r="OB128" s="127">
        <v>20</v>
      </c>
      <c r="OC128" s="127">
        <v>0</v>
      </c>
      <c r="OD128" s="127">
        <v>15</v>
      </c>
      <c r="OE128" s="127">
        <v>5</v>
      </c>
      <c r="OF128" s="127">
        <v>5</v>
      </c>
      <c r="OG128" s="127">
        <v>0</v>
      </c>
      <c r="OH128" s="127">
        <v>0</v>
      </c>
      <c r="OI128" s="127">
        <v>2</v>
      </c>
      <c r="OJ128" s="127">
        <v>0</v>
      </c>
      <c r="OK128" s="127">
        <v>19</v>
      </c>
      <c r="OL128" s="127">
        <v>517</v>
      </c>
    </row>
    <row r="129" spans="1:402" ht="15.5" thickBot="1">
      <c r="A129" s="17" t="s">
        <v>61</v>
      </c>
      <c r="B129" s="89">
        <v>107</v>
      </c>
      <c r="C129" s="89">
        <v>0</v>
      </c>
      <c r="D129" s="89">
        <v>7</v>
      </c>
      <c r="E129" s="89">
        <v>3</v>
      </c>
      <c r="F129" s="89">
        <v>3</v>
      </c>
      <c r="G129" s="89">
        <v>0</v>
      </c>
      <c r="H129" s="89">
        <v>0</v>
      </c>
      <c r="I129" s="89">
        <v>14</v>
      </c>
      <c r="J129" s="89">
        <v>13</v>
      </c>
      <c r="K129" s="89">
        <v>1</v>
      </c>
      <c r="L129" s="89">
        <v>4</v>
      </c>
      <c r="M129" s="89">
        <v>1</v>
      </c>
      <c r="N129" s="89">
        <v>1</v>
      </c>
      <c r="O129" s="89">
        <v>0</v>
      </c>
      <c r="P129" s="89">
        <v>0</v>
      </c>
      <c r="Q129" s="89">
        <v>1</v>
      </c>
      <c r="R129" s="89">
        <v>0</v>
      </c>
      <c r="S129" s="89">
        <v>0</v>
      </c>
      <c r="T129" s="89">
        <v>155</v>
      </c>
      <c r="U129" s="104"/>
      <c r="V129" s="17" t="s">
        <v>61</v>
      </c>
      <c r="W129" s="89">
        <v>96</v>
      </c>
      <c r="X129" s="89">
        <v>0</v>
      </c>
      <c r="Y129" s="89">
        <v>8</v>
      </c>
      <c r="Z129" s="89">
        <v>3</v>
      </c>
      <c r="AA129" s="89">
        <v>9</v>
      </c>
      <c r="AB129" s="89">
        <v>0</v>
      </c>
      <c r="AC129" s="89">
        <v>1</v>
      </c>
      <c r="AD129" s="89">
        <v>14</v>
      </c>
      <c r="AE129" s="89">
        <v>12</v>
      </c>
      <c r="AF129" s="89">
        <v>3</v>
      </c>
      <c r="AG129" s="109">
        <v>4</v>
      </c>
      <c r="AH129" s="89">
        <v>0</v>
      </c>
      <c r="AI129" s="89">
        <v>0</v>
      </c>
      <c r="AJ129" s="89">
        <v>0</v>
      </c>
      <c r="AK129" s="89">
        <v>0</v>
      </c>
      <c r="AL129" s="89">
        <v>2</v>
      </c>
      <c r="AM129" s="89">
        <v>0</v>
      </c>
      <c r="AN129" s="89">
        <v>0</v>
      </c>
      <c r="AO129" s="89">
        <v>152</v>
      </c>
      <c r="AP129" s="104"/>
      <c r="AQ129" s="17" t="s">
        <v>61</v>
      </c>
      <c r="AR129" s="89">
        <v>90</v>
      </c>
      <c r="AS129" s="89">
        <v>2</v>
      </c>
      <c r="AT129" s="89">
        <v>9</v>
      </c>
      <c r="AU129" s="89">
        <v>3</v>
      </c>
      <c r="AV129" s="89">
        <v>5</v>
      </c>
      <c r="AW129" s="89">
        <v>0</v>
      </c>
      <c r="AX129" s="89">
        <v>0</v>
      </c>
      <c r="AY129" s="89">
        <v>13</v>
      </c>
      <c r="AZ129" s="89">
        <v>13</v>
      </c>
      <c r="BA129" s="89">
        <v>5</v>
      </c>
      <c r="BB129" s="89">
        <v>3</v>
      </c>
      <c r="BC129" s="89">
        <v>2</v>
      </c>
      <c r="BD129" s="89">
        <v>0</v>
      </c>
      <c r="BE129" s="89">
        <v>2</v>
      </c>
      <c r="BF129" s="89">
        <v>0</v>
      </c>
      <c r="BG129" s="89">
        <v>1</v>
      </c>
      <c r="BH129" s="89">
        <v>0</v>
      </c>
      <c r="BI129" s="89">
        <v>0</v>
      </c>
      <c r="BJ129" s="89">
        <v>148</v>
      </c>
      <c r="BK129" s="13"/>
      <c r="BL129" s="115" t="s">
        <v>61</v>
      </c>
      <c r="BM129" s="118">
        <v>72</v>
      </c>
      <c r="BN129" s="118">
        <v>0</v>
      </c>
      <c r="BO129" s="118">
        <v>2</v>
      </c>
      <c r="BP129" s="118">
        <v>1</v>
      </c>
      <c r="BQ129" s="118">
        <v>4</v>
      </c>
      <c r="BR129" s="118">
        <v>0</v>
      </c>
      <c r="BS129" s="118">
        <v>1</v>
      </c>
      <c r="BT129" s="118">
        <v>11</v>
      </c>
      <c r="BU129" s="118">
        <v>12</v>
      </c>
      <c r="BV129" s="118">
        <v>5</v>
      </c>
      <c r="BW129" s="118">
        <v>4</v>
      </c>
      <c r="BX129" s="118">
        <v>1</v>
      </c>
      <c r="BY129" s="118">
        <v>0</v>
      </c>
      <c r="BZ129" s="118">
        <v>0</v>
      </c>
      <c r="CA129" s="118">
        <v>0</v>
      </c>
      <c r="CB129" s="118">
        <v>0</v>
      </c>
      <c r="CC129" s="118">
        <v>0</v>
      </c>
      <c r="CD129" s="118">
        <v>0</v>
      </c>
      <c r="CE129" s="119">
        <v>113</v>
      </c>
      <c r="CF129" s="13"/>
      <c r="CG129" s="118" t="s">
        <v>61</v>
      </c>
      <c r="CH129" s="118">
        <v>95</v>
      </c>
      <c r="CI129" s="118">
        <v>1</v>
      </c>
      <c r="CJ129" s="118">
        <v>6</v>
      </c>
      <c r="CK129" s="118">
        <v>1</v>
      </c>
      <c r="CL129" s="118">
        <v>9</v>
      </c>
      <c r="CM129" s="118">
        <v>1</v>
      </c>
      <c r="CN129" s="118">
        <v>0</v>
      </c>
      <c r="CO129" s="118">
        <v>10</v>
      </c>
      <c r="CP129" s="118">
        <v>29</v>
      </c>
      <c r="CQ129" s="118">
        <v>5</v>
      </c>
      <c r="CR129" s="118">
        <v>2</v>
      </c>
      <c r="CS129" s="118">
        <v>0</v>
      </c>
      <c r="CT129" s="118">
        <v>0</v>
      </c>
      <c r="CU129" s="118">
        <v>0</v>
      </c>
      <c r="CV129" s="118">
        <v>0</v>
      </c>
      <c r="CW129" s="118">
        <v>2</v>
      </c>
      <c r="CX129" s="118">
        <v>1</v>
      </c>
      <c r="CY129" s="118">
        <v>0</v>
      </c>
      <c r="CZ129" s="118">
        <v>162</v>
      </c>
      <c r="DA129" s="13"/>
      <c r="DB129" s="118" t="s">
        <v>61</v>
      </c>
      <c r="DC129" s="118">
        <v>95</v>
      </c>
      <c r="DD129" s="118">
        <v>0</v>
      </c>
      <c r="DE129" s="118">
        <v>11</v>
      </c>
      <c r="DF129" s="118">
        <v>3</v>
      </c>
      <c r="DG129" s="118">
        <v>8</v>
      </c>
      <c r="DH129" s="118">
        <v>2</v>
      </c>
      <c r="DI129" s="118">
        <v>0</v>
      </c>
      <c r="DJ129" s="118">
        <v>9</v>
      </c>
      <c r="DK129" s="118">
        <v>22</v>
      </c>
      <c r="DL129" s="118">
        <v>0</v>
      </c>
      <c r="DM129" s="118">
        <v>7</v>
      </c>
      <c r="DN129" s="118">
        <v>0</v>
      </c>
      <c r="DO129" s="118">
        <v>0</v>
      </c>
      <c r="DP129" s="118">
        <v>0</v>
      </c>
      <c r="DQ129" s="118">
        <v>0</v>
      </c>
      <c r="DR129" s="118">
        <v>0</v>
      </c>
      <c r="DS129" s="118">
        <v>0</v>
      </c>
      <c r="DT129" s="118">
        <v>0</v>
      </c>
      <c r="DU129" s="118">
        <v>157</v>
      </c>
      <c r="DV129" s="13"/>
      <c r="DW129" s="118" t="s">
        <v>61</v>
      </c>
      <c r="DX129" s="118">
        <v>90</v>
      </c>
      <c r="DY129" s="118">
        <v>0</v>
      </c>
      <c r="DZ129" s="118">
        <v>5</v>
      </c>
      <c r="EA129" s="118">
        <v>4</v>
      </c>
      <c r="EB129" s="118">
        <v>3</v>
      </c>
      <c r="EC129" s="118">
        <v>1</v>
      </c>
      <c r="ED129" s="118">
        <v>0</v>
      </c>
      <c r="EE129" s="118">
        <v>13</v>
      </c>
      <c r="EF129" s="118">
        <v>21</v>
      </c>
      <c r="EG129" s="118">
        <v>4</v>
      </c>
      <c r="EH129" s="118">
        <v>14</v>
      </c>
      <c r="EI129" s="118">
        <v>0</v>
      </c>
      <c r="EJ129" s="118">
        <v>0</v>
      </c>
      <c r="EK129" s="118">
        <v>0</v>
      </c>
      <c r="EL129" s="118">
        <v>0</v>
      </c>
      <c r="EM129" s="118">
        <v>0</v>
      </c>
      <c r="EN129" s="118">
        <v>0</v>
      </c>
      <c r="EO129" s="118">
        <v>1</v>
      </c>
      <c r="EP129" s="118">
        <v>156</v>
      </c>
      <c r="EQ129" s="13"/>
      <c r="ER129" s="118" t="s">
        <v>61</v>
      </c>
      <c r="ES129" s="118">
        <v>103</v>
      </c>
      <c r="ET129" s="118">
        <v>0</v>
      </c>
      <c r="EU129" s="118">
        <v>7</v>
      </c>
      <c r="EV129" s="118">
        <v>3</v>
      </c>
      <c r="EW129" s="118">
        <v>4</v>
      </c>
      <c r="EX129" s="118">
        <v>0</v>
      </c>
      <c r="EY129" s="118">
        <v>0</v>
      </c>
      <c r="EZ129" s="118">
        <v>10</v>
      </c>
      <c r="FA129" s="118">
        <v>13</v>
      </c>
      <c r="FB129" s="118">
        <v>5</v>
      </c>
      <c r="FC129" s="118">
        <v>3</v>
      </c>
      <c r="FD129" s="118">
        <v>1</v>
      </c>
      <c r="FE129" s="118">
        <v>0</v>
      </c>
      <c r="FF129" s="118">
        <v>0</v>
      </c>
      <c r="FG129" s="118">
        <v>0</v>
      </c>
      <c r="FH129" s="118">
        <v>1</v>
      </c>
      <c r="FI129" s="118">
        <v>0</v>
      </c>
      <c r="FJ129" s="118">
        <v>1</v>
      </c>
      <c r="FK129" s="118">
        <v>151</v>
      </c>
      <c r="FL129" s="13"/>
      <c r="FM129" s="118" t="s">
        <v>61</v>
      </c>
      <c r="FN129" s="118">
        <v>81</v>
      </c>
      <c r="FO129" s="118">
        <v>0</v>
      </c>
      <c r="FP129" s="118">
        <v>4</v>
      </c>
      <c r="FQ129" s="118">
        <v>2</v>
      </c>
      <c r="FR129" s="118">
        <v>3</v>
      </c>
      <c r="FS129" s="118">
        <v>1</v>
      </c>
      <c r="FT129" s="118">
        <v>0</v>
      </c>
      <c r="FU129" s="118">
        <v>0</v>
      </c>
      <c r="FV129" s="118">
        <v>16</v>
      </c>
      <c r="FW129" s="118">
        <v>6</v>
      </c>
      <c r="FX129" s="118">
        <v>1</v>
      </c>
      <c r="FY129" s="118">
        <v>2</v>
      </c>
      <c r="FZ129" s="118">
        <v>0</v>
      </c>
      <c r="GA129" s="118">
        <v>0</v>
      </c>
      <c r="GB129" s="118">
        <v>0</v>
      </c>
      <c r="GC129" s="118">
        <v>1</v>
      </c>
      <c r="GD129" s="118">
        <v>0</v>
      </c>
      <c r="GE129" s="118">
        <v>16</v>
      </c>
      <c r="GF129" s="118">
        <v>133</v>
      </c>
      <c r="GG129" s="13"/>
      <c r="GH129" s="118" t="s">
        <v>61</v>
      </c>
      <c r="GI129" s="118">
        <v>70</v>
      </c>
      <c r="GJ129" s="118">
        <v>1</v>
      </c>
      <c r="GK129" s="118">
        <v>12</v>
      </c>
      <c r="GL129" s="118">
        <v>0</v>
      </c>
      <c r="GM129" s="118">
        <v>4</v>
      </c>
      <c r="GN129" s="118">
        <v>0</v>
      </c>
      <c r="GO129" s="118">
        <v>0</v>
      </c>
      <c r="GP129" s="118">
        <v>1</v>
      </c>
      <c r="GQ129" s="118">
        <v>12</v>
      </c>
      <c r="GR129" s="118">
        <v>1</v>
      </c>
      <c r="GS129" s="118">
        <v>6</v>
      </c>
      <c r="GT129" s="118">
        <v>1</v>
      </c>
      <c r="GU129" s="118">
        <v>1</v>
      </c>
      <c r="GV129" s="118">
        <v>0</v>
      </c>
      <c r="GW129" s="118">
        <v>0</v>
      </c>
      <c r="GX129" s="118">
        <v>1</v>
      </c>
      <c r="GY129" s="118">
        <v>0</v>
      </c>
      <c r="GZ129" s="118">
        <v>2</v>
      </c>
      <c r="HA129" s="118">
        <v>112</v>
      </c>
      <c r="HB129" s="13"/>
      <c r="HC129" s="118" t="s">
        <v>61</v>
      </c>
      <c r="HD129" s="118">
        <v>83</v>
      </c>
      <c r="HE129" s="118">
        <v>1</v>
      </c>
      <c r="HF129" s="118">
        <v>6</v>
      </c>
      <c r="HG129" s="118">
        <v>2</v>
      </c>
      <c r="HH129" s="118">
        <v>3</v>
      </c>
      <c r="HI129" s="118">
        <v>1</v>
      </c>
      <c r="HJ129" s="118">
        <v>1</v>
      </c>
      <c r="HK129" s="118">
        <v>12</v>
      </c>
      <c r="HL129" s="118">
        <v>6</v>
      </c>
      <c r="HM129" s="118">
        <v>0</v>
      </c>
      <c r="HN129" s="118">
        <v>4</v>
      </c>
      <c r="HO129" s="118">
        <v>3</v>
      </c>
      <c r="HP129" s="118">
        <v>3</v>
      </c>
      <c r="HQ129" s="118">
        <v>0</v>
      </c>
      <c r="HR129" s="118">
        <v>1</v>
      </c>
      <c r="HS129" s="118">
        <v>1</v>
      </c>
      <c r="HT129" s="118">
        <v>0</v>
      </c>
      <c r="HU129" s="118">
        <v>2</v>
      </c>
      <c r="HV129" s="118">
        <v>129</v>
      </c>
      <c r="HW129" s="13"/>
      <c r="HX129" s="118" t="s">
        <v>61</v>
      </c>
      <c r="HY129" s="118">
        <v>68</v>
      </c>
      <c r="HZ129" s="118">
        <v>0</v>
      </c>
      <c r="IA129" s="118">
        <v>5</v>
      </c>
      <c r="IB129" s="118">
        <v>1</v>
      </c>
      <c r="IC129" s="118">
        <v>3</v>
      </c>
      <c r="ID129" s="118">
        <v>0</v>
      </c>
      <c r="IE129" s="118">
        <v>0</v>
      </c>
      <c r="IF129" s="118">
        <v>7</v>
      </c>
      <c r="IG129" s="118">
        <v>3</v>
      </c>
      <c r="IH129" s="118">
        <v>0</v>
      </c>
      <c r="II129" s="118">
        <v>8</v>
      </c>
      <c r="IJ129" s="118">
        <v>0</v>
      </c>
      <c r="IK129" s="118">
        <v>1</v>
      </c>
      <c r="IL129" s="118">
        <v>0</v>
      </c>
      <c r="IM129" s="118">
        <v>0</v>
      </c>
      <c r="IN129" s="118">
        <v>4</v>
      </c>
      <c r="IO129" s="118">
        <v>1</v>
      </c>
      <c r="IP129" s="118">
        <v>1</v>
      </c>
      <c r="IQ129" s="118">
        <v>102</v>
      </c>
      <c r="IR129" s="13"/>
      <c r="IS129" s="118" t="s">
        <v>61</v>
      </c>
      <c r="IT129" s="118">
        <v>81</v>
      </c>
      <c r="IU129" s="118">
        <v>0</v>
      </c>
      <c r="IV129" s="118">
        <v>7</v>
      </c>
      <c r="IW129" s="118">
        <v>1</v>
      </c>
      <c r="IX129" s="118">
        <v>2</v>
      </c>
      <c r="IY129" s="118">
        <v>0</v>
      </c>
      <c r="IZ129" s="118">
        <v>1</v>
      </c>
      <c r="JA129" s="118">
        <v>14</v>
      </c>
      <c r="JB129" s="118">
        <v>14</v>
      </c>
      <c r="JC129" s="118">
        <v>0</v>
      </c>
      <c r="JD129" s="118">
        <v>8</v>
      </c>
      <c r="JE129" s="118">
        <v>0</v>
      </c>
      <c r="JF129" s="118">
        <v>1</v>
      </c>
      <c r="JG129" s="118">
        <v>0</v>
      </c>
      <c r="JH129" s="118">
        <v>1</v>
      </c>
      <c r="JI129" s="118">
        <v>3</v>
      </c>
      <c r="JJ129" s="118">
        <v>2</v>
      </c>
      <c r="JK129" s="118">
        <v>0</v>
      </c>
      <c r="JL129" s="118">
        <v>135</v>
      </c>
      <c r="JM129" s="13"/>
      <c r="JN129" s="70" t="s">
        <v>61</v>
      </c>
      <c r="JO129" s="122">
        <v>80</v>
      </c>
      <c r="JP129" s="122">
        <v>0</v>
      </c>
      <c r="JQ129" s="122">
        <v>6</v>
      </c>
      <c r="JR129" s="122">
        <v>3</v>
      </c>
      <c r="JS129" s="122">
        <v>8</v>
      </c>
      <c r="JT129" s="122">
        <v>2</v>
      </c>
      <c r="JU129" s="122">
        <v>0</v>
      </c>
      <c r="JV129" s="122">
        <v>22</v>
      </c>
      <c r="JW129" s="122">
        <v>15</v>
      </c>
      <c r="JX129" s="122">
        <v>0</v>
      </c>
      <c r="JY129" s="122">
        <v>8</v>
      </c>
      <c r="JZ129" s="122">
        <v>0</v>
      </c>
      <c r="KA129" s="122">
        <v>1</v>
      </c>
      <c r="KB129" s="122">
        <v>0</v>
      </c>
      <c r="KC129" s="122">
        <v>0</v>
      </c>
      <c r="KD129" s="122">
        <v>1</v>
      </c>
      <c r="KE129" s="122">
        <v>0</v>
      </c>
      <c r="KF129" s="122">
        <v>0</v>
      </c>
      <c r="KG129" s="123">
        <v>146</v>
      </c>
      <c r="KH129" s="13"/>
      <c r="KI129" s="118" t="s">
        <v>61</v>
      </c>
      <c r="KJ129" s="118">
        <v>63</v>
      </c>
      <c r="KK129" s="118">
        <v>2</v>
      </c>
      <c r="KL129" s="118">
        <v>5</v>
      </c>
      <c r="KM129" s="118">
        <v>48</v>
      </c>
      <c r="KN129" s="118">
        <v>0</v>
      </c>
      <c r="KO129" s="118">
        <v>8</v>
      </c>
      <c r="KP129" s="118">
        <v>1</v>
      </c>
      <c r="KQ129" s="118">
        <v>0</v>
      </c>
      <c r="KR129" s="118">
        <v>0</v>
      </c>
      <c r="KS129" s="118">
        <v>0</v>
      </c>
      <c r="KT129" s="118">
        <v>8</v>
      </c>
      <c r="KU129" s="118">
        <v>1</v>
      </c>
      <c r="KV129" s="118">
        <v>3</v>
      </c>
      <c r="KW129" s="118">
        <v>0</v>
      </c>
      <c r="KX129" s="118">
        <v>0</v>
      </c>
      <c r="KY129" s="118">
        <v>0</v>
      </c>
      <c r="KZ129" s="118">
        <v>0</v>
      </c>
      <c r="LA129" s="118">
        <v>0</v>
      </c>
      <c r="LB129" s="118">
        <v>139</v>
      </c>
      <c r="LC129" s="13"/>
      <c r="LD129" s="58" t="s">
        <v>61</v>
      </c>
      <c r="LE129" s="65">
        <v>34</v>
      </c>
      <c r="LF129" s="65">
        <v>1</v>
      </c>
      <c r="LG129" s="65">
        <v>3</v>
      </c>
      <c r="LH129" s="65">
        <v>31</v>
      </c>
      <c r="LI129" s="65">
        <v>3</v>
      </c>
      <c r="LJ129" s="65">
        <v>3</v>
      </c>
      <c r="LK129" s="65">
        <v>1</v>
      </c>
      <c r="LL129" s="65">
        <v>1</v>
      </c>
      <c r="LM129" s="65">
        <v>0</v>
      </c>
      <c r="LN129" s="65">
        <v>0</v>
      </c>
      <c r="LO129" s="65">
        <v>8</v>
      </c>
      <c r="LP129" s="65">
        <v>0</v>
      </c>
      <c r="LQ129" s="65">
        <v>2</v>
      </c>
      <c r="LR129" s="65">
        <v>1</v>
      </c>
      <c r="LS129" s="65">
        <v>1</v>
      </c>
      <c r="LT129" s="65">
        <v>0</v>
      </c>
      <c r="LU129" s="65">
        <v>0</v>
      </c>
      <c r="LV129" s="65">
        <v>1</v>
      </c>
      <c r="LW129" s="65">
        <v>0</v>
      </c>
      <c r="LX129" s="65">
        <v>0</v>
      </c>
      <c r="LY129" s="65">
        <v>2</v>
      </c>
      <c r="LZ129" s="65">
        <v>0</v>
      </c>
      <c r="MA129" s="65">
        <v>92</v>
      </c>
      <c r="MB129" s="13"/>
      <c r="MC129" s="180" t="s">
        <v>61</v>
      </c>
      <c r="MD129" s="181">
        <v>102</v>
      </c>
      <c r="ME129" s="181">
        <v>1</v>
      </c>
      <c r="MF129" s="181">
        <v>6</v>
      </c>
      <c r="MG129" s="181">
        <v>2</v>
      </c>
      <c r="MH129" s="181">
        <v>3</v>
      </c>
      <c r="MI129" s="181">
        <v>1</v>
      </c>
      <c r="MJ129" s="181">
        <v>0</v>
      </c>
      <c r="MK129" s="181">
        <v>7</v>
      </c>
      <c r="ML129" s="181">
        <v>5</v>
      </c>
      <c r="MM129" s="181">
        <v>0</v>
      </c>
      <c r="MN129" s="181">
        <v>6</v>
      </c>
      <c r="MO129" s="181">
        <v>1</v>
      </c>
      <c r="MP129" s="181">
        <v>0</v>
      </c>
      <c r="MQ129" s="181">
        <v>0</v>
      </c>
      <c r="MR129" s="181">
        <v>0</v>
      </c>
      <c r="MS129" s="181">
        <v>0</v>
      </c>
      <c r="MT129" s="181">
        <v>0</v>
      </c>
      <c r="MU129" s="181">
        <v>0</v>
      </c>
      <c r="MV129" s="181">
        <v>134</v>
      </c>
      <c r="MW129" s="13"/>
      <c r="MX129" s="74" t="s">
        <v>61</v>
      </c>
      <c r="MY129" s="127">
        <v>159</v>
      </c>
      <c r="MZ129" s="127">
        <v>0</v>
      </c>
      <c r="NA129" s="127">
        <v>3</v>
      </c>
      <c r="NB129" s="127">
        <v>0</v>
      </c>
      <c r="NC129" s="127">
        <v>2</v>
      </c>
      <c r="ND129" s="127">
        <v>0</v>
      </c>
      <c r="NE129" s="127">
        <v>0</v>
      </c>
      <c r="NF129" s="127">
        <v>5</v>
      </c>
      <c r="NG129" s="127">
        <v>3</v>
      </c>
      <c r="NH129" s="127">
        <v>0</v>
      </c>
      <c r="NI129" s="127">
        <v>4</v>
      </c>
      <c r="NJ129" s="127">
        <v>0</v>
      </c>
      <c r="NK129" s="127">
        <v>0</v>
      </c>
      <c r="NL129" s="127">
        <v>1</v>
      </c>
      <c r="NM129" s="127">
        <v>0</v>
      </c>
      <c r="NN129" s="127">
        <v>0</v>
      </c>
      <c r="NO129" s="127">
        <v>2</v>
      </c>
      <c r="NP129" s="127">
        <v>0</v>
      </c>
      <c r="NQ129" s="127">
        <v>179</v>
      </c>
      <c r="NR129" s="13"/>
      <c r="NS129" s="74" t="s">
        <v>61</v>
      </c>
      <c r="NT129" s="127">
        <v>109</v>
      </c>
      <c r="NU129" s="127">
        <v>0</v>
      </c>
      <c r="NV129" s="127">
        <v>5</v>
      </c>
      <c r="NW129" s="127">
        <v>1</v>
      </c>
      <c r="NX129" s="127">
        <v>7</v>
      </c>
      <c r="NY129" s="127">
        <v>0</v>
      </c>
      <c r="NZ129" s="127">
        <v>1</v>
      </c>
      <c r="OA129" s="127">
        <v>8</v>
      </c>
      <c r="OB129" s="127">
        <v>8</v>
      </c>
      <c r="OC129" s="127">
        <v>1</v>
      </c>
      <c r="OD129" s="127">
        <v>5</v>
      </c>
      <c r="OE129" s="127">
        <v>1</v>
      </c>
      <c r="OF129" s="127">
        <v>0</v>
      </c>
      <c r="OG129" s="127">
        <v>1</v>
      </c>
      <c r="OH129" s="127">
        <v>0</v>
      </c>
      <c r="OI129" s="127">
        <v>1</v>
      </c>
      <c r="OJ129" s="127">
        <v>9</v>
      </c>
      <c r="OK129" s="127">
        <v>0</v>
      </c>
      <c r="OL129" s="127">
        <v>157</v>
      </c>
    </row>
    <row r="130" spans="1:402" ht="15.5" thickBot="1">
      <c r="A130" s="17" t="s">
        <v>62</v>
      </c>
      <c r="B130" s="89">
        <v>93</v>
      </c>
      <c r="C130" s="89">
        <v>0</v>
      </c>
      <c r="D130" s="89">
        <v>11</v>
      </c>
      <c r="E130" s="89">
        <v>5</v>
      </c>
      <c r="F130" s="89">
        <v>3</v>
      </c>
      <c r="G130" s="89">
        <v>2</v>
      </c>
      <c r="H130" s="89">
        <v>0</v>
      </c>
      <c r="I130" s="89">
        <v>8</v>
      </c>
      <c r="J130" s="89">
        <v>10</v>
      </c>
      <c r="K130" s="89">
        <v>2</v>
      </c>
      <c r="L130" s="89">
        <v>7</v>
      </c>
      <c r="M130" s="89">
        <v>1</v>
      </c>
      <c r="N130" s="89">
        <v>1</v>
      </c>
      <c r="O130" s="89">
        <v>0</v>
      </c>
      <c r="P130" s="89">
        <v>0</v>
      </c>
      <c r="Q130" s="89">
        <v>0</v>
      </c>
      <c r="R130" s="89">
        <v>0</v>
      </c>
      <c r="S130" s="89">
        <v>0</v>
      </c>
      <c r="T130" s="89">
        <v>143</v>
      </c>
      <c r="U130" s="104"/>
      <c r="V130" s="17" t="s">
        <v>62</v>
      </c>
      <c r="W130" s="89">
        <v>78</v>
      </c>
      <c r="X130" s="89">
        <v>0</v>
      </c>
      <c r="Y130" s="89">
        <v>11</v>
      </c>
      <c r="Z130" s="89">
        <v>6</v>
      </c>
      <c r="AA130" s="89">
        <v>8</v>
      </c>
      <c r="AB130" s="89">
        <v>0</v>
      </c>
      <c r="AC130" s="89">
        <v>2</v>
      </c>
      <c r="AD130" s="89">
        <v>7</v>
      </c>
      <c r="AE130" s="89">
        <v>10</v>
      </c>
      <c r="AF130" s="89">
        <v>2</v>
      </c>
      <c r="AG130" s="109">
        <v>2</v>
      </c>
      <c r="AH130" s="89">
        <v>2</v>
      </c>
      <c r="AI130" s="89">
        <v>1</v>
      </c>
      <c r="AJ130" s="89">
        <v>0</v>
      </c>
      <c r="AK130" s="89">
        <v>0</v>
      </c>
      <c r="AL130" s="89">
        <v>3</v>
      </c>
      <c r="AM130" s="89">
        <v>0</v>
      </c>
      <c r="AN130" s="89">
        <v>0</v>
      </c>
      <c r="AO130" s="89">
        <v>132</v>
      </c>
      <c r="AP130" s="104"/>
      <c r="AQ130" s="17" t="s">
        <v>62</v>
      </c>
      <c r="AR130" s="89">
        <v>61</v>
      </c>
      <c r="AS130" s="89">
        <v>0</v>
      </c>
      <c r="AT130" s="89">
        <v>15</v>
      </c>
      <c r="AU130" s="89">
        <v>3</v>
      </c>
      <c r="AV130" s="89">
        <v>7</v>
      </c>
      <c r="AW130" s="89">
        <v>1</v>
      </c>
      <c r="AX130" s="89">
        <v>1</v>
      </c>
      <c r="AY130" s="89">
        <v>8</v>
      </c>
      <c r="AZ130" s="89">
        <v>4</v>
      </c>
      <c r="BA130" s="89">
        <v>2</v>
      </c>
      <c r="BB130" s="89">
        <v>4</v>
      </c>
      <c r="BC130" s="89">
        <v>3</v>
      </c>
      <c r="BD130" s="89">
        <v>0</v>
      </c>
      <c r="BE130" s="89">
        <v>0</v>
      </c>
      <c r="BF130" s="89">
        <v>0</v>
      </c>
      <c r="BG130" s="89">
        <v>3</v>
      </c>
      <c r="BH130" s="89">
        <v>0</v>
      </c>
      <c r="BI130" s="89">
        <v>0</v>
      </c>
      <c r="BJ130" s="89">
        <v>112</v>
      </c>
      <c r="BK130" s="13"/>
      <c r="BL130" s="115" t="s">
        <v>62</v>
      </c>
      <c r="BM130" s="118">
        <v>78</v>
      </c>
      <c r="BN130" s="118">
        <v>0</v>
      </c>
      <c r="BO130" s="118">
        <v>8</v>
      </c>
      <c r="BP130" s="118">
        <v>4</v>
      </c>
      <c r="BQ130" s="118">
        <v>6</v>
      </c>
      <c r="BR130" s="118">
        <v>1</v>
      </c>
      <c r="BS130" s="118">
        <v>0</v>
      </c>
      <c r="BT130" s="118">
        <v>17</v>
      </c>
      <c r="BU130" s="118">
        <v>9</v>
      </c>
      <c r="BV130" s="118">
        <v>2</v>
      </c>
      <c r="BW130" s="118">
        <v>9</v>
      </c>
      <c r="BX130" s="118">
        <v>0</v>
      </c>
      <c r="BY130" s="118">
        <v>0</v>
      </c>
      <c r="BZ130" s="118">
        <v>0</v>
      </c>
      <c r="CA130" s="118">
        <v>0</v>
      </c>
      <c r="CB130" s="118">
        <v>0</v>
      </c>
      <c r="CC130" s="118">
        <v>0</v>
      </c>
      <c r="CD130" s="118">
        <v>0</v>
      </c>
      <c r="CE130" s="119">
        <v>134</v>
      </c>
      <c r="CF130" s="13"/>
      <c r="CG130" s="118" t="s">
        <v>62</v>
      </c>
      <c r="CH130" s="118">
        <v>73</v>
      </c>
      <c r="CI130" s="118">
        <v>0</v>
      </c>
      <c r="CJ130" s="118">
        <v>9</v>
      </c>
      <c r="CK130" s="118">
        <v>5</v>
      </c>
      <c r="CL130" s="118">
        <v>6</v>
      </c>
      <c r="CM130" s="118">
        <v>0</v>
      </c>
      <c r="CN130" s="118">
        <v>2</v>
      </c>
      <c r="CO130" s="118">
        <v>11</v>
      </c>
      <c r="CP130" s="118">
        <v>6</v>
      </c>
      <c r="CQ130" s="118">
        <v>1</v>
      </c>
      <c r="CR130" s="118">
        <v>19</v>
      </c>
      <c r="CS130" s="118">
        <v>0</v>
      </c>
      <c r="CT130" s="118">
        <v>0</v>
      </c>
      <c r="CU130" s="118">
        <v>0</v>
      </c>
      <c r="CV130" s="118">
        <v>0</v>
      </c>
      <c r="CW130" s="118">
        <v>0</v>
      </c>
      <c r="CX130" s="118">
        <v>0</v>
      </c>
      <c r="CY130" s="118">
        <v>2</v>
      </c>
      <c r="CZ130" s="118">
        <v>134</v>
      </c>
      <c r="DA130" s="13"/>
      <c r="DB130" s="118" t="s">
        <v>62</v>
      </c>
      <c r="DC130" s="118">
        <v>75</v>
      </c>
      <c r="DD130" s="118">
        <v>0</v>
      </c>
      <c r="DE130" s="118">
        <v>18</v>
      </c>
      <c r="DF130" s="118">
        <v>6</v>
      </c>
      <c r="DG130" s="118">
        <v>4</v>
      </c>
      <c r="DH130" s="118">
        <v>1</v>
      </c>
      <c r="DI130" s="118">
        <v>1</v>
      </c>
      <c r="DJ130" s="118">
        <v>13</v>
      </c>
      <c r="DK130" s="118">
        <v>2</v>
      </c>
      <c r="DL130" s="118">
        <v>1</v>
      </c>
      <c r="DM130" s="118">
        <v>15</v>
      </c>
      <c r="DN130" s="118">
        <v>0</v>
      </c>
      <c r="DO130" s="118">
        <v>0</v>
      </c>
      <c r="DP130" s="118">
        <v>0</v>
      </c>
      <c r="DQ130" s="118">
        <v>0</v>
      </c>
      <c r="DR130" s="118">
        <v>0</v>
      </c>
      <c r="DS130" s="118">
        <v>1</v>
      </c>
      <c r="DT130" s="118">
        <v>2</v>
      </c>
      <c r="DU130" s="118">
        <v>139</v>
      </c>
      <c r="DV130" s="13"/>
      <c r="DW130" s="118" t="s">
        <v>62</v>
      </c>
      <c r="DX130" s="118">
        <v>61</v>
      </c>
      <c r="DY130" s="118">
        <v>0</v>
      </c>
      <c r="DZ130" s="118">
        <v>12</v>
      </c>
      <c r="EA130" s="118">
        <v>3</v>
      </c>
      <c r="EB130" s="118">
        <v>6</v>
      </c>
      <c r="EC130" s="118">
        <v>1</v>
      </c>
      <c r="ED130" s="118">
        <v>0</v>
      </c>
      <c r="EE130" s="118">
        <v>11</v>
      </c>
      <c r="EF130" s="118">
        <v>4</v>
      </c>
      <c r="EG130" s="118">
        <v>3</v>
      </c>
      <c r="EH130" s="118">
        <v>13</v>
      </c>
      <c r="EI130" s="118">
        <v>0</v>
      </c>
      <c r="EJ130" s="118">
        <v>0</v>
      </c>
      <c r="EK130" s="118">
        <v>0</v>
      </c>
      <c r="EL130" s="118">
        <v>0</v>
      </c>
      <c r="EM130" s="118">
        <v>0</v>
      </c>
      <c r="EN130" s="118">
        <v>0</v>
      </c>
      <c r="EO130" s="118">
        <v>2</v>
      </c>
      <c r="EP130" s="118">
        <v>116</v>
      </c>
      <c r="EQ130" s="13"/>
      <c r="ER130" s="118" t="s">
        <v>62</v>
      </c>
      <c r="ES130" s="118">
        <v>78</v>
      </c>
      <c r="ET130" s="118">
        <v>0</v>
      </c>
      <c r="EU130" s="118">
        <v>10</v>
      </c>
      <c r="EV130" s="118">
        <v>3</v>
      </c>
      <c r="EW130" s="118">
        <v>6</v>
      </c>
      <c r="EX130" s="118">
        <v>1</v>
      </c>
      <c r="EY130" s="118">
        <v>2</v>
      </c>
      <c r="EZ130" s="118">
        <v>5</v>
      </c>
      <c r="FA130" s="118">
        <v>5</v>
      </c>
      <c r="FB130" s="118">
        <v>0</v>
      </c>
      <c r="FC130" s="118">
        <v>11</v>
      </c>
      <c r="FD130" s="118">
        <v>0</v>
      </c>
      <c r="FE130" s="118">
        <v>0</v>
      </c>
      <c r="FF130" s="118">
        <v>0</v>
      </c>
      <c r="FG130" s="118">
        <v>0</v>
      </c>
      <c r="FH130" s="118">
        <v>0</v>
      </c>
      <c r="FI130" s="118">
        <v>0</v>
      </c>
      <c r="FJ130" s="118">
        <v>1</v>
      </c>
      <c r="FK130" s="118">
        <v>122</v>
      </c>
      <c r="FL130" s="13"/>
      <c r="FM130" s="118" t="s">
        <v>62</v>
      </c>
      <c r="FN130" s="118">
        <v>64</v>
      </c>
      <c r="FO130" s="118">
        <v>0</v>
      </c>
      <c r="FP130" s="118">
        <v>14</v>
      </c>
      <c r="FQ130" s="118">
        <v>5</v>
      </c>
      <c r="FR130" s="118">
        <v>6</v>
      </c>
      <c r="FS130" s="118">
        <v>2</v>
      </c>
      <c r="FT130" s="118">
        <v>0</v>
      </c>
      <c r="FU130" s="118">
        <v>0</v>
      </c>
      <c r="FV130" s="118">
        <v>3</v>
      </c>
      <c r="FW130" s="118">
        <v>4</v>
      </c>
      <c r="FX130" s="118">
        <v>16</v>
      </c>
      <c r="FY130" s="118">
        <v>1</v>
      </c>
      <c r="FZ130" s="118">
        <v>0</v>
      </c>
      <c r="GA130" s="118">
        <v>0</v>
      </c>
      <c r="GB130" s="118">
        <v>2</v>
      </c>
      <c r="GC130" s="118">
        <v>0</v>
      </c>
      <c r="GD130" s="118">
        <v>0</v>
      </c>
      <c r="GE130" s="118">
        <v>9</v>
      </c>
      <c r="GF130" s="118">
        <v>126</v>
      </c>
      <c r="GG130" s="13"/>
      <c r="GH130" s="118" t="s">
        <v>62</v>
      </c>
      <c r="GI130" s="118">
        <v>53</v>
      </c>
      <c r="GJ130" s="118">
        <v>0</v>
      </c>
      <c r="GK130" s="118">
        <v>11</v>
      </c>
      <c r="GL130" s="118">
        <v>2</v>
      </c>
      <c r="GM130" s="118">
        <v>0</v>
      </c>
      <c r="GN130" s="118">
        <v>0</v>
      </c>
      <c r="GO130" s="118">
        <v>4</v>
      </c>
      <c r="GP130" s="118">
        <v>2</v>
      </c>
      <c r="GQ130" s="118">
        <v>1</v>
      </c>
      <c r="GR130" s="118">
        <v>0</v>
      </c>
      <c r="GS130" s="118">
        <v>8</v>
      </c>
      <c r="GT130" s="118">
        <v>0</v>
      </c>
      <c r="GU130" s="118">
        <v>0</v>
      </c>
      <c r="GV130" s="118">
        <v>0</v>
      </c>
      <c r="GW130" s="118">
        <v>0</v>
      </c>
      <c r="GX130" s="118">
        <v>0</v>
      </c>
      <c r="GY130" s="118">
        <v>0</v>
      </c>
      <c r="GZ130" s="118">
        <v>2</v>
      </c>
      <c r="HA130" s="118">
        <v>83</v>
      </c>
      <c r="HB130" s="13"/>
      <c r="HC130" s="118" t="s">
        <v>62</v>
      </c>
      <c r="HD130" s="118">
        <v>56</v>
      </c>
      <c r="HE130" s="118">
        <v>0</v>
      </c>
      <c r="HF130" s="118">
        <v>12</v>
      </c>
      <c r="HG130" s="118">
        <v>0</v>
      </c>
      <c r="HH130" s="118">
        <v>4</v>
      </c>
      <c r="HI130" s="118">
        <v>1</v>
      </c>
      <c r="HJ130" s="118">
        <v>3</v>
      </c>
      <c r="HK130" s="118">
        <v>5</v>
      </c>
      <c r="HL130" s="118">
        <v>1</v>
      </c>
      <c r="HM130" s="118">
        <v>0</v>
      </c>
      <c r="HN130" s="118">
        <v>11</v>
      </c>
      <c r="HO130" s="118">
        <v>0</v>
      </c>
      <c r="HP130" s="118">
        <v>0</v>
      </c>
      <c r="HQ130" s="118">
        <v>0</v>
      </c>
      <c r="HR130" s="118">
        <v>0</v>
      </c>
      <c r="HS130" s="118">
        <v>0</v>
      </c>
      <c r="HT130" s="118">
        <v>0</v>
      </c>
      <c r="HU130" s="118">
        <v>2</v>
      </c>
      <c r="HV130" s="118">
        <v>95</v>
      </c>
      <c r="HW130" s="13"/>
      <c r="HX130" s="118" t="s">
        <v>62</v>
      </c>
      <c r="HY130" s="118">
        <v>59</v>
      </c>
      <c r="HZ130" s="118">
        <v>0</v>
      </c>
      <c r="IA130" s="118">
        <v>6</v>
      </c>
      <c r="IB130" s="118">
        <v>1</v>
      </c>
      <c r="IC130" s="118">
        <v>5</v>
      </c>
      <c r="ID130" s="118">
        <v>1</v>
      </c>
      <c r="IE130" s="118">
        <v>0</v>
      </c>
      <c r="IF130" s="118">
        <v>5</v>
      </c>
      <c r="IG130" s="118">
        <v>0</v>
      </c>
      <c r="IH130" s="118">
        <v>1</v>
      </c>
      <c r="II130" s="118">
        <v>8</v>
      </c>
      <c r="IJ130" s="118">
        <v>0</v>
      </c>
      <c r="IK130" s="118">
        <v>1</v>
      </c>
      <c r="IL130" s="118">
        <v>0</v>
      </c>
      <c r="IM130" s="118">
        <v>0</v>
      </c>
      <c r="IN130" s="118">
        <v>0</v>
      </c>
      <c r="IO130" s="118">
        <v>0</v>
      </c>
      <c r="IP130" s="118">
        <v>8</v>
      </c>
      <c r="IQ130" s="118">
        <v>95</v>
      </c>
      <c r="IR130" s="13"/>
      <c r="IS130" s="118" t="s">
        <v>62</v>
      </c>
      <c r="IT130" s="118">
        <v>84</v>
      </c>
      <c r="IU130" s="118">
        <v>0</v>
      </c>
      <c r="IV130" s="118">
        <v>12</v>
      </c>
      <c r="IW130" s="118">
        <v>4</v>
      </c>
      <c r="IX130" s="118">
        <v>7</v>
      </c>
      <c r="IY130" s="118">
        <v>2</v>
      </c>
      <c r="IZ130" s="118">
        <v>0</v>
      </c>
      <c r="JA130" s="118">
        <v>10</v>
      </c>
      <c r="JB130" s="118">
        <v>2</v>
      </c>
      <c r="JC130" s="118">
        <v>4</v>
      </c>
      <c r="JD130" s="118">
        <v>13</v>
      </c>
      <c r="JE130" s="118">
        <v>1</v>
      </c>
      <c r="JF130" s="118">
        <v>1</v>
      </c>
      <c r="JG130" s="118">
        <v>0</v>
      </c>
      <c r="JH130" s="118">
        <v>4</v>
      </c>
      <c r="JI130" s="118">
        <v>2</v>
      </c>
      <c r="JJ130" s="118">
        <v>0</v>
      </c>
      <c r="JK130" s="118">
        <v>0</v>
      </c>
      <c r="JL130" s="118">
        <v>146</v>
      </c>
      <c r="JM130" s="13"/>
      <c r="JN130" s="70" t="s">
        <v>62</v>
      </c>
      <c r="JO130" s="122">
        <v>71</v>
      </c>
      <c r="JP130" s="122">
        <v>0</v>
      </c>
      <c r="JQ130" s="122">
        <v>10</v>
      </c>
      <c r="JR130" s="122">
        <v>6</v>
      </c>
      <c r="JS130" s="122">
        <v>4</v>
      </c>
      <c r="JT130" s="122">
        <v>0</v>
      </c>
      <c r="JU130" s="122">
        <v>0</v>
      </c>
      <c r="JV130" s="122">
        <v>7</v>
      </c>
      <c r="JW130" s="122">
        <v>5</v>
      </c>
      <c r="JX130" s="122">
        <v>3</v>
      </c>
      <c r="JY130" s="122">
        <v>15</v>
      </c>
      <c r="JZ130" s="122">
        <v>0</v>
      </c>
      <c r="KA130" s="122">
        <v>1</v>
      </c>
      <c r="KB130" s="122">
        <v>0</v>
      </c>
      <c r="KC130" s="122">
        <v>0</v>
      </c>
      <c r="KD130" s="122">
        <v>1</v>
      </c>
      <c r="KE130" s="122">
        <v>0</v>
      </c>
      <c r="KF130" s="122">
        <v>0</v>
      </c>
      <c r="KG130" s="123">
        <v>123</v>
      </c>
      <c r="KH130" s="13"/>
      <c r="KI130" s="118" t="s">
        <v>62</v>
      </c>
      <c r="KJ130" s="118">
        <v>56</v>
      </c>
      <c r="KK130" s="118">
        <v>0</v>
      </c>
      <c r="KL130" s="118">
        <v>8</v>
      </c>
      <c r="KM130" s="118">
        <v>30</v>
      </c>
      <c r="KN130" s="118">
        <v>4</v>
      </c>
      <c r="KO130" s="118">
        <v>7</v>
      </c>
      <c r="KP130" s="118">
        <v>0</v>
      </c>
      <c r="KQ130" s="118">
        <v>0</v>
      </c>
      <c r="KR130" s="118">
        <v>0</v>
      </c>
      <c r="KS130" s="118">
        <v>1</v>
      </c>
      <c r="KT130" s="118">
        <v>4</v>
      </c>
      <c r="KU130" s="118">
        <v>1</v>
      </c>
      <c r="KV130" s="118">
        <v>13</v>
      </c>
      <c r="KW130" s="118">
        <v>0</v>
      </c>
      <c r="KX130" s="118">
        <v>0</v>
      </c>
      <c r="KY130" s="118">
        <v>1</v>
      </c>
      <c r="KZ130" s="118">
        <v>0</v>
      </c>
      <c r="LA130" s="118">
        <v>1</v>
      </c>
      <c r="LB130" s="118">
        <v>126</v>
      </c>
      <c r="LC130" s="13"/>
      <c r="LD130" s="58" t="s">
        <v>62</v>
      </c>
      <c r="LE130" s="65">
        <v>49</v>
      </c>
      <c r="LF130" s="65">
        <v>0</v>
      </c>
      <c r="LG130" s="65">
        <v>3</v>
      </c>
      <c r="LH130" s="65">
        <v>40</v>
      </c>
      <c r="LI130" s="65">
        <v>7</v>
      </c>
      <c r="LJ130" s="65">
        <v>4</v>
      </c>
      <c r="LK130" s="65">
        <v>2</v>
      </c>
      <c r="LL130" s="65">
        <v>0</v>
      </c>
      <c r="LM130" s="65">
        <v>0</v>
      </c>
      <c r="LN130" s="65">
        <v>0</v>
      </c>
      <c r="LO130" s="65">
        <v>2</v>
      </c>
      <c r="LP130" s="65">
        <v>0</v>
      </c>
      <c r="LQ130" s="65">
        <v>11</v>
      </c>
      <c r="LR130" s="65">
        <v>0</v>
      </c>
      <c r="LS130" s="65">
        <v>0</v>
      </c>
      <c r="LT130" s="65">
        <v>0</v>
      </c>
      <c r="LU130" s="65">
        <v>0</v>
      </c>
      <c r="LV130" s="65">
        <v>1</v>
      </c>
      <c r="LW130" s="65">
        <v>0</v>
      </c>
      <c r="LX130" s="65">
        <v>0</v>
      </c>
      <c r="LY130" s="65">
        <v>0</v>
      </c>
      <c r="LZ130" s="65">
        <v>0</v>
      </c>
      <c r="MA130" s="65">
        <v>119</v>
      </c>
      <c r="MB130" s="13"/>
      <c r="MC130" s="180" t="s">
        <v>62</v>
      </c>
      <c r="MD130" s="181">
        <v>92</v>
      </c>
      <c r="ME130" s="181">
        <v>0</v>
      </c>
      <c r="MF130" s="181">
        <v>3</v>
      </c>
      <c r="MG130" s="181">
        <v>5</v>
      </c>
      <c r="MH130" s="181">
        <v>4</v>
      </c>
      <c r="MI130" s="181">
        <v>0</v>
      </c>
      <c r="MJ130" s="181">
        <v>0</v>
      </c>
      <c r="MK130" s="181">
        <v>7</v>
      </c>
      <c r="ML130" s="181">
        <v>4</v>
      </c>
      <c r="MM130" s="181">
        <v>0</v>
      </c>
      <c r="MN130" s="181">
        <v>12</v>
      </c>
      <c r="MO130" s="181">
        <v>1</v>
      </c>
      <c r="MP130" s="181">
        <v>5</v>
      </c>
      <c r="MQ130" s="181">
        <v>0</v>
      </c>
      <c r="MR130" s="181">
        <v>0</v>
      </c>
      <c r="MS130" s="181">
        <v>1</v>
      </c>
      <c r="MT130" s="181">
        <v>0</v>
      </c>
      <c r="MU130" s="181">
        <v>0</v>
      </c>
      <c r="MV130" s="181">
        <v>134</v>
      </c>
      <c r="MW130" s="13"/>
      <c r="MX130" s="74" t="s">
        <v>62</v>
      </c>
      <c r="MY130" s="127">
        <v>144</v>
      </c>
      <c r="MZ130" s="127">
        <v>0</v>
      </c>
      <c r="NA130" s="127">
        <v>5</v>
      </c>
      <c r="NB130" s="127">
        <v>4</v>
      </c>
      <c r="NC130" s="127">
        <v>4</v>
      </c>
      <c r="ND130" s="127">
        <v>1</v>
      </c>
      <c r="NE130" s="127">
        <v>0</v>
      </c>
      <c r="NF130" s="127">
        <v>6</v>
      </c>
      <c r="NG130" s="127">
        <v>7</v>
      </c>
      <c r="NH130" s="127">
        <v>0</v>
      </c>
      <c r="NI130" s="127">
        <v>13</v>
      </c>
      <c r="NJ130" s="127">
        <v>1</v>
      </c>
      <c r="NK130" s="127">
        <v>0</v>
      </c>
      <c r="NL130" s="127">
        <v>1</v>
      </c>
      <c r="NM130" s="127">
        <v>0</v>
      </c>
      <c r="NN130" s="127">
        <v>1</v>
      </c>
      <c r="NO130" s="127">
        <v>0</v>
      </c>
      <c r="NP130" s="127">
        <v>0</v>
      </c>
      <c r="NQ130" s="127">
        <v>187</v>
      </c>
      <c r="NR130" s="13"/>
      <c r="NS130" s="74" t="s">
        <v>62</v>
      </c>
      <c r="NT130" s="127">
        <v>48</v>
      </c>
      <c r="NU130" s="127">
        <v>0</v>
      </c>
      <c r="NV130" s="127">
        <v>7</v>
      </c>
      <c r="NW130" s="127">
        <v>5</v>
      </c>
      <c r="NX130" s="127">
        <v>2</v>
      </c>
      <c r="NY130" s="127">
        <v>0</v>
      </c>
      <c r="NZ130" s="127">
        <v>0</v>
      </c>
      <c r="OA130" s="127">
        <v>6</v>
      </c>
      <c r="OB130" s="127">
        <v>1</v>
      </c>
      <c r="OC130" s="127">
        <v>1</v>
      </c>
      <c r="OD130" s="127">
        <v>10</v>
      </c>
      <c r="OE130" s="127">
        <v>0</v>
      </c>
      <c r="OF130" s="127">
        <v>0</v>
      </c>
      <c r="OG130" s="127">
        <v>0</v>
      </c>
      <c r="OH130" s="127">
        <v>0</v>
      </c>
      <c r="OI130" s="127">
        <v>0</v>
      </c>
      <c r="OJ130" s="127">
        <v>0</v>
      </c>
      <c r="OK130" s="127">
        <v>0</v>
      </c>
      <c r="OL130" s="127">
        <v>80</v>
      </c>
    </row>
    <row r="131" spans="1:402" ht="15.5" thickBot="1">
      <c r="A131" s="17" t="s">
        <v>63</v>
      </c>
      <c r="B131" s="89">
        <v>128</v>
      </c>
      <c r="C131" s="89">
        <v>1</v>
      </c>
      <c r="D131" s="89">
        <v>15</v>
      </c>
      <c r="E131" s="89">
        <v>5</v>
      </c>
      <c r="F131" s="89">
        <v>14</v>
      </c>
      <c r="G131" s="89">
        <v>1</v>
      </c>
      <c r="H131" s="89">
        <v>0</v>
      </c>
      <c r="I131" s="89">
        <v>14</v>
      </c>
      <c r="J131" s="89">
        <v>18</v>
      </c>
      <c r="K131" s="89">
        <v>1</v>
      </c>
      <c r="L131" s="89">
        <v>6</v>
      </c>
      <c r="M131" s="89">
        <v>0</v>
      </c>
      <c r="N131" s="89">
        <v>2</v>
      </c>
      <c r="O131" s="89">
        <v>0</v>
      </c>
      <c r="P131" s="89">
        <v>0</v>
      </c>
      <c r="Q131" s="89">
        <v>4</v>
      </c>
      <c r="R131" s="89">
        <v>0</v>
      </c>
      <c r="S131" s="89">
        <v>0</v>
      </c>
      <c r="T131" s="89">
        <v>209</v>
      </c>
      <c r="U131" s="104"/>
      <c r="V131" s="17" t="s">
        <v>63</v>
      </c>
      <c r="W131" s="89">
        <v>129</v>
      </c>
      <c r="X131" s="89">
        <v>0</v>
      </c>
      <c r="Y131" s="89">
        <v>14</v>
      </c>
      <c r="Z131" s="89">
        <v>7</v>
      </c>
      <c r="AA131" s="89">
        <v>19</v>
      </c>
      <c r="AB131" s="89">
        <v>1</v>
      </c>
      <c r="AC131" s="89">
        <v>2</v>
      </c>
      <c r="AD131" s="89">
        <v>19</v>
      </c>
      <c r="AE131" s="89">
        <v>17</v>
      </c>
      <c r="AF131" s="89">
        <v>5</v>
      </c>
      <c r="AG131" s="109">
        <v>4</v>
      </c>
      <c r="AH131" s="89">
        <v>2</v>
      </c>
      <c r="AI131" s="89">
        <v>0</v>
      </c>
      <c r="AJ131" s="89">
        <v>0</v>
      </c>
      <c r="AK131" s="89">
        <v>2</v>
      </c>
      <c r="AL131" s="89">
        <v>1</v>
      </c>
      <c r="AM131" s="89">
        <v>0</v>
      </c>
      <c r="AN131" s="89">
        <v>0</v>
      </c>
      <c r="AO131" s="89">
        <v>222</v>
      </c>
      <c r="AP131" s="104"/>
      <c r="AQ131" s="17" t="s">
        <v>63</v>
      </c>
      <c r="AR131" s="89">
        <v>107</v>
      </c>
      <c r="AS131" s="89">
        <v>1</v>
      </c>
      <c r="AT131" s="89">
        <v>10</v>
      </c>
      <c r="AU131" s="89">
        <v>2</v>
      </c>
      <c r="AV131" s="89">
        <v>4</v>
      </c>
      <c r="AW131" s="89">
        <v>0</v>
      </c>
      <c r="AX131" s="89">
        <v>0</v>
      </c>
      <c r="AY131" s="89">
        <v>22</v>
      </c>
      <c r="AZ131" s="89">
        <v>12</v>
      </c>
      <c r="BA131" s="89">
        <v>5</v>
      </c>
      <c r="BB131" s="89">
        <v>11</v>
      </c>
      <c r="BC131" s="89">
        <v>2</v>
      </c>
      <c r="BD131" s="89">
        <v>0</v>
      </c>
      <c r="BE131" s="89">
        <v>0</v>
      </c>
      <c r="BF131" s="89">
        <v>0</v>
      </c>
      <c r="BG131" s="89">
        <v>5</v>
      </c>
      <c r="BH131" s="89">
        <v>0</v>
      </c>
      <c r="BI131" s="89">
        <v>0</v>
      </c>
      <c r="BJ131" s="89">
        <v>181</v>
      </c>
      <c r="BK131" s="13"/>
      <c r="BL131" s="115" t="s">
        <v>63</v>
      </c>
      <c r="BM131" s="118">
        <v>88</v>
      </c>
      <c r="BN131" s="118">
        <v>1</v>
      </c>
      <c r="BO131" s="118">
        <v>14</v>
      </c>
      <c r="BP131" s="118">
        <v>4</v>
      </c>
      <c r="BQ131" s="118">
        <v>11</v>
      </c>
      <c r="BR131" s="118">
        <v>0</v>
      </c>
      <c r="BS131" s="118">
        <v>0</v>
      </c>
      <c r="BT131" s="118">
        <v>18</v>
      </c>
      <c r="BU131" s="118">
        <v>6</v>
      </c>
      <c r="BV131" s="118">
        <v>2</v>
      </c>
      <c r="BW131" s="118">
        <v>7</v>
      </c>
      <c r="BX131" s="118">
        <v>1</v>
      </c>
      <c r="BY131" s="118">
        <v>0</v>
      </c>
      <c r="BZ131" s="118">
        <v>0</v>
      </c>
      <c r="CA131" s="118">
        <v>0</v>
      </c>
      <c r="CB131" s="118">
        <v>4</v>
      </c>
      <c r="CC131" s="118">
        <v>3</v>
      </c>
      <c r="CD131" s="118">
        <v>0</v>
      </c>
      <c r="CE131" s="119">
        <v>159</v>
      </c>
      <c r="CF131" s="13"/>
      <c r="CG131" s="118" t="s">
        <v>63</v>
      </c>
      <c r="CH131" s="118">
        <v>101</v>
      </c>
      <c r="CI131" s="118">
        <v>1</v>
      </c>
      <c r="CJ131" s="118">
        <v>12</v>
      </c>
      <c r="CK131" s="118">
        <v>7</v>
      </c>
      <c r="CL131" s="118">
        <v>8</v>
      </c>
      <c r="CM131" s="118">
        <v>2</v>
      </c>
      <c r="CN131" s="118">
        <v>2</v>
      </c>
      <c r="CO131" s="118">
        <v>15</v>
      </c>
      <c r="CP131" s="118">
        <v>17</v>
      </c>
      <c r="CQ131" s="118">
        <v>2</v>
      </c>
      <c r="CR131" s="118">
        <v>10</v>
      </c>
      <c r="CS131" s="118">
        <v>0</v>
      </c>
      <c r="CT131" s="118">
        <v>1</v>
      </c>
      <c r="CU131" s="118">
        <v>1</v>
      </c>
      <c r="CV131" s="118">
        <v>0</v>
      </c>
      <c r="CW131" s="118">
        <v>5</v>
      </c>
      <c r="CX131" s="118">
        <v>1</v>
      </c>
      <c r="CY131" s="118">
        <v>0</v>
      </c>
      <c r="CZ131" s="118">
        <v>185</v>
      </c>
      <c r="DA131" s="13"/>
      <c r="DB131" s="118" t="s">
        <v>63</v>
      </c>
      <c r="DC131" s="118">
        <v>124</v>
      </c>
      <c r="DD131" s="118">
        <v>0</v>
      </c>
      <c r="DE131" s="118">
        <v>14</v>
      </c>
      <c r="DF131" s="118">
        <v>5</v>
      </c>
      <c r="DG131" s="118">
        <v>12</v>
      </c>
      <c r="DH131" s="118">
        <v>2</v>
      </c>
      <c r="DI131" s="118">
        <v>0</v>
      </c>
      <c r="DJ131" s="118">
        <v>14</v>
      </c>
      <c r="DK131" s="118">
        <v>15</v>
      </c>
      <c r="DL131" s="118">
        <v>0</v>
      </c>
      <c r="DM131" s="118">
        <v>10</v>
      </c>
      <c r="DN131" s="118">
        <v>1</v>
      </c>
      <c r="DO131" s="118">
        <v>0</v>
      </c>
      <c r="DP131" s="118">
        <v>0</v>
      </c>
      <c r="DQ131" s="118">
        <v>0</v>
      </c>
      <c r="DR131" s="118">
        <v>4</v>
      </c>
      <c r="DS131" s="118">
        <v>0</v>
      </c>
      <c r="DT131" s="118">
        <v>4</v>
      </c>
      <c r="DU131" s="118">
        <v>205</v>
      </c>
      <c r="DV131" s="13"/>
      <c r="DW131" s="118" t="s">
        <v>63</v>
      </c>
      <c r="DX131" s="118">
        <v>106</v>
      </c>
      <c r="DY131" s="118">
        <v>1</v>
      </c>
      <c r="DZ131" s="118">
        <v>22</v>
      </c>
      <c r="EA131" s="118">
        <v>8</v>
      </c>
      <c r="EB131" s="118">
        <v>15</v>
      </c>
      <c r="EC131" s="118">
        <v>1</v>
      </c>
      <c r="ED131" s="118">
        <v>0</v>
      </c>
      <c r="EE131" s="118">
        <v>12</v>
      </c>
      <c r="EF131" s="118">
        <v>13</v>
      </c>
      <c r="EG131" s="118">
        <v>0</v>
      </c>
      <c r="EH131" s="118">
        <v>10</v>
      </c>
      <c r="EI131" s="118">
        <v>0</v>
      </c>
      <c r="EJ131" s="118">
        <v>0</v>
      </c>
      <c r="EK131" s="118">
        <v>0</v>
      </c>
      <c r="EL131" s="118">
        <v>0</v>
      </c>
      <c r="EM131" s="118">
        <v>4</v>
      </c>
      <c r="EN131" s="118">
        <v>0</v>
      </c>
      <c r="EO131" s="118">
        <v>3</v>
      </c>
      <c r="EP131" s="118">
        <v>195</v>
      </c>
      <c r="EQ131" s="13"/>
      <c r="ER131" s="118" t="s">
        <v>63</v>
      </c>
      <c r="ES131" s="118">
        <v>105</v>
      </c>
      <c r="ET131" s="118">
        <v>0</v>
      </c>
      <c r="EU131" s="118">
        <v>19</v>
      </c>
      <c r="EV131" s="118">
        <v>6</v>
      </c>
      <c r="EW131" s="118">
        <v>4</v>
      </c>
      <c r="EX131" s="118">
        <v>2</v>
      </c>
      <c r="EY131" s="118">
        <v>3</v>
      </c>
      <c r="EZ131" s="118">
        <v>15</v>
      </c>
      <c r="FA131" s="118">
        <v>19</v>
      </c>
      <c r="FB131" s="118">
        <v>2</v>
      </c>
      <c r="FC131" s="118">
        <v>16</v>
      </c>
      <c r="FD131" s="118">
        <v>2</v>
      </c>
      <c r="FE131" s="118">
        <v>0</v>
      </c>
      <c r="FF131" s="118">
        <v>0</v>
      </c>
      <c r="FG131" s="118">
        <v>0</v>
      </c>
      <c r="FH131" s="118">
        <v>2</v>
      </c>
      <c r="FI131" s="118">
        <v>0</v>
      </c>
      <c r="FJ131" s="118">
        <v>1</v>
      </c>
      <c r="FK131" s="118">
        <v>196</v>
      </c>
      <c r="FL131" s="13"/>
      <c r="FM131" s="118" t="s">
        <v>63</v>
      </c>
      <c r="FN131" s="118">
        <v>115</v>
      </c>
      <c r="FO131" s="118">
        <v>1</v>
      </c>
      <c r="FP131" s="118">
        <v>8</v>
      </c>
      <c r="FQ131" s="118">
        <v>7</v>
      </c>
      <c r="FR131" s="118">
        <v>4</v>
      </c>
      <c r="FS131" s="118">
        <v>1</v>
      </c>
      <c r="FT131" s="118">
        <v>0</v>
      </c>
      <c r="FU131" s="118">
        <v>0</v>
      </c>
      <c r="FV131" s="118">
        <v>25</v>
      </c>
      <c r="FW131" s="118">
        <v>2</v>
      </c>
      <c r="FX131" s="118">
        <v>17</v>
      </c>
      <c r="FY131" s="118">
        <v>2</v>
      </c>
      <c r="FZ131" s="118">
        <v>1</v>
      </c>
      <c r="GA131" s="118">
        <v>0</v>
      </c>
      <c r="GB131" s="118">
        <v>0</v>
      </c>
      <c r="GC131" s="118">
        <v>2</v>
      </c>
      <c r="GD131" s="118">
        <v>0</v>
      </c>
      <c r="GE131" s="118">
        <v>24</v>
      </c>
      <c r="GF131" s="118">
        <v>209</v>
      </c>
      <c r="GG131" s="13"/>
      <c r="GH131" s="118" t="s">
        <v>63</v>
      </c>
      <c r="GI131" s="118">
        <v>84</v>
      </c>
      <c r="GJ131" s="118">
        <v>0</v>
      </c>
      <c r="GK131" s="118">
        <v>8</v>
      </c>
      <c r="GL131" s="118">
        <v>5</v>
      </c>
      <c r="GM131" s="118">
        <v>9</v>
      </c>
      <c r="GN131" s="118">
        <v>2</v>
      </c>
      <c r="GO131" s="118">
        <v>3</v>
      </c>
      <c r="GP131" s="118">
        <v>6</v>
      </c>
      <c r="GQ131" s="118">
        <v>12</v>
      </c>
      <c r="GR131" s="118">
        <v>2</v>
      </c>
      <c r="GS131" s="118">
        <v>3</v>
      </c>
      <c r="GT131" s="118">
        <v>0</v>
      </c>
      <c r="GU131" s="118">
        <v>0</v>
      </c>
      <c r="GV131" s="118">
        <v>0</v>
      </c>
      <c r="GW131" s="118">
        <v>0</v>
      </c>
      <c r="GX131" s="118">
        <v>1</v>
      </c>
      <c r="GY131" s="118">
        <v>0</v>
      </c>
      <c r="GZ131" s="118">
        <v>1</v>
      </c>
      <c r="HA131" s="118">
        <v>136</v>
      </c>
      <c r="HB131" s="13"/>
      <c r="HC131" s="118" t="s">
        <v>63</v>
      </c>
      <c r="HD131" s="118">
        <v>87</v>
      </c>
      <c r="HE131" s="118">
        <v>2</v>
      </c>
      <c r="HF131" s="118">
        <v>5</v>
      </c>
      <c r="HG131" s="118">
        <v>5</v>
      </c>
      <c r="HH131" s="118">
        <v>9</v>
      </c>
      <c r="HI131" s="118">
        <v>2</v>
      </c>
      <c r="HJ131" s="118">
        <v>2</v>
      </c>
      <c r="HK131" s="118">
        <v>6</v>
      </c>
      <c r="HL131" s="118">
        <v>19</v>
      </c>
      <c r="HM131" s="118">
        <v>2</v>
      </c>
      <c r="HN131" s="118">
        <v>12</v>
      </c>
      <c r="HO131" s="118">
        <v>0</v>
      </c>
      <c r="HP131" s="118">
        <v>1</v>
      </c>
      <c r="HQ131" s="118">
        <v>0</v>
      </c>
      <c r="HR131" s="118">
        <v>1</v>
      </c>
      <c r="HS131" s="118">
        <v>0</v>
      </c>
      <c r="HT131" s="118">
        <v>0</v>
      </c>
      <c r="HU131" s="118">
        <v>2</v>
      </c>
      <c r="HV131" s="118">
        <v>155</v>
      </c>
      <c r="HW131" s="13"/>
      <c r="HX131" s="118" t="s">
        <v>63</v>
      </c>
      <c r="HY131" s="118">
        <v>106</v>
      </c>
      <c r="HZ131" s="118">
        <v>0</v>
      </c>
      <c r="IA131" s="118">
        <v>12</v>
      </c>
      <c r="IB131" s="118">
        <v>0</v>
      </c>
      <c r="IC131" s="118">
        <v>5</v>
      </c>
      <c r="ID131" s="118">
        <v>2</v>
      </c>
      <c r="IE131" s="118">
        <v>0</v>
      </c>
      <c r="IF131" s="118">
        <v>10</v>
      </c>
      <c r="IG131" s="118">
        <v>6</v>
      </c>
      <c r="IH131" s="118">
        <v>0</v>
      </c>
      <c r="II131" s="118">
        <v>7</v>
      </c>
      <c r="IJ131" s="118">
        <v>0</v>
      </c>
      <c r="IK131" s="118">
        <v>0</v>
      </c>
      <c r="IL131" s="118">
        <v>0</v>
      </c>
      <c r="IM131" s="118">
        <v>0</v>
      </c>
      <c r="IN131" s="118">
        <v>0</v>
      </c>
      <c r="IO131" s="118">
        <v>0</v>
      </c>
      <c r="IP131" s="118">
        <v>12</v>
      </c>
      <c r="IQ131" s="118">
        <v>160</v>
      </c>
      <c r="IR131" s="13"/>
      <c r="IS131" s="118" t="s">
        <v>63</v>
      </c>
      <c r="IT131" s="118">
        <v>122</v>
      </c>
      <c r="IU131" s="118">
        <v>0</v>
      </c>
      <c r="IV131" s="118">
        <v>8</v>
      </c>
      <c r="IW131" s="118">
        <v>4</v>
      </c>
      <c r="IX131" s="118">
        <v>22</v>
      </c>
      <c r="IY131" s="118">
        <v>4</v>
      </c>
      <c r="IZ131" s="118">
        <v>1</v>
      </c>
      <c r="JA131" s="118">
        <v>14</v>
      </c>
      <c r="JB131" s="118">
        <v>6</v>
      </c>
      <c r="JC131" s="118">
        <v>2</v>
      </c>
      <c r="JD131" s="118">
        <v>8</v>
      </c>
      <c r="JE131" s="118">
        <v>0</v>
      </c>
      <c r="JF131" s="118">
        <v>0</v>
      </c>
      <c r="JG131" s="118">
        <v>0</v>
      </c>
      <c r="JH131" s="118">
        <v>0</v>
      </c>
      <c r="JI131" s="118">
        <v>3</v>
      </c>
      <c r="JJ131" s="118">
        <v>0</v>
      </c>
      <c r="JK131" s="118">
        <v>0</v>
      </c>
      <c r="JL131" s="118">
        <v>194</v>
      </c>
      <c r="JM131" s="13"/>
      <c r="JN131" s="70" t="s">
        <v>63</v>
      </c>
      <c r="JO131" s="122">
        <v>84</v>
      </c>
      <c r="JP131" s="122">
        <v>0</v>
      </c>
      <c r="JQ131" s="122">
        <v>8</v>
      </c>
      <c r="JR131" s="122">
        <v>3</v>
      </c>
      <c r="JS131" s="122">
        <v>8</v>
      </c>
      <c r="JT131" s="122">
        <v>1</v>
      </c>
      <c r="JU131" s="122">
        <v>1</v>
      </c>
      <c r="JV131" s="122">
        <v>8</v>
      </c>
      <c r="JW131" s="122">
        <v>1</v>
      </c>
      <c r="JX131" s="122">
        <v>3</v>
      </c>
      <c r="JY131" s="122">
        <v>3</v>
      </c>
      <c r="JZ131" s="122">
        <v>0</v>
      </c>
      <c r="KA131" s="122">
        <v>0</v>
      </c>
      <c r="KB131" s="122">
        <v>0</v>
      </c>
      <c r="KC131" s="122">
        <v>0</v>
      </c>
      <c r="KD131" s="122">
        <v>2</v>
      </c>
      <c r="KE131" s="122">
        <v>0</v>
      </c>
      <c r="KF131" s="122">
        <v>0</v>
      </c>
      <c r="KG131" s="123">
        <v>122</v>
      </c>
      <c r="KH131" s="13"/>
      <c r="KI131" s="118" t="s">
        <v>63</v>
      </c>
      <c r="KJ131" s="118">
        <v>93</v>
      </c>
      <c r="KK131" s="118">
        <v>0</v>
      </c>
      <c r="KL131" s="118">
        <v>13</v>
      </c>
      <c r="KM131" s="118">
        <v>78</v>
      </c>
      <c r="KN131" s="118">
        <v>1</v>
      </c>
      <c r="KO131" s="118">
        <v>8</v>
      </c>
      <c r="KP131" s="118">
        <v>8</v>
      </c>
      <c r="KQ131" s="118">
        <v>2</v>
      </c>
      <c r="KR131" s="118">
        <v>0</v>
      </c>
      <c r="KS131" s="118">
        <v>1</v>
      </c>
      <c r="KT131" s="118">
        <v>0</v>
      </c>
      <c r="KU131" s="118">
        <v>2</v>
      </c>
      <c r="KV131" s="118">
        <v>8</v>
      </c>
      <c r="KW131" s="118">
        <v>0</v>
      </c>
      <c r="KX131" s="118">
        <v>1</v>
      </c>
      <c r="KY131" s="118">
        <v>2</v>
      </c>
      <c r="KZ131" s="118">
        <v>0</v>
      </c>
      <c r="LA131" s="118">
        <v>1</v>
      </c>
      <c r="LB131" s="118">
        <v>218</v>
      </c>
      <c r="LC131" s="13"/>
      <c r="LD131" s="58" t="s">
        <v>63</v>
      </c>
      <c r="LE131" s="65">
        <v>81</v>
      </c>
      <c r="LF131" s="65">
        <v>0</v>
      </c>
      <c r="LG131" s="65">
        <v>7</v>
      </c>
      <c r="LH131" s="65">
        <v>68</v>
      </c>
      <c r="LI131" s="65">
        <v>4</v>
      </c>
      <c r="LJ131" s="65">
        <v>7</v>
      </c>
      <c r="LK131" s="65">
        <v>5</v>
      </c>
      <c r="LL131" s="65">
        <v>6</v>
      </c>
      <c r="LM131" s="65">
        <v>0</v>
      </c>
      <c r="LN131" s="65">
        <v>0</v>
      </c>
      <c r="LO131" s="65">
        <v>4</v>
      </c>
      <c r="LP131" s="65">
        <v>5</v>
      </c>
      <c r="LQ131" s="65">
        <v>9</v>
      </c>
      <c r="LR131" s="65">
        <v>3</v>
      </c>
      <c r="LS131" s="65">
        <v>1</v>
      </c>
      <c r="LT131" s="65">
        <v>5</v>
      </c>
      <c r="LU131" s="65">
        <v>0</v>
      </c>
      <c r="LV131" s="65">
        <v>0</v>
      </c>
      <c r="LW131" s="65">
        <v>0</v>
      </c>
      <c r="LX131" s="65">
        <v>0</v>
      </c>
      <c r="LY131" s="65">
        <v>3</v>
      </c>
      <c r="LZ131" s="65">
        <v>0</v>
      </c>
      <c r="MA131" s="65">
        <v>208</v>
      </c>
      <c r="MB131" s="13"/>
      <c r="MC131" s="180" t="s">
        <v>63</v>
      </c>
      <c r="MD131" s="181">
        <v>210</v>
      </c>
      <c r="ME131" s="181">
        <v>0</v>
      </c>
      <c r="MF131" s="181">
        <v>5</v>
      </c>
      <c r="MG131" s="181">
        <v>9</v>
      </c>
      <c r="MH131" s="181">
        <v>6</v>
      </c>
      <c r="MI131" s="181">
        <v>2</v>
      </c>
      <c r="MJ131" s="181">
        <v>1</v>
      </c>
      <c r="MK131" s="181">
        <v>14</v>
      </c>
      <c r="ML131" s="181">
        <v>5</v>
      </c>
      <c r="MM131" s="181">
        <v>1</v>
      </c>
      <c r="MN131" s="181">
        <v>13</v>
      </c>
      <c r="MO131" s="181">
        <v>2</v>
      </c>
      <c r="MP131" s="181">
        <v>0</v>
      </c>
      <c r="MQ131" s="181">
        <v>0</v>
      </c>
      <c r="MR131" s="181">
        <v>0</v>
      </c>
      <c r="MS131" s="181">
        <v>1</v>
      </c>
      <c r="MT131" s="181">
        <v>0</v>
      </c>
      <c r="MU131" s="181">
        <v>0</v>
      </c>
      <c r="MV131" s="181">
        <v>269</v>
      </c>
      <c r="MW131" s="13"/>
      <c r="MX131" s="74" t="s">
        <v>63</v>
      </c>
      <c r="MY131" s="127">
        <v>181</v>
      </c>
      <c r="MZ131" s="127">
        <v>0</v>
      </c>
      <c r="NA131" s="127">
        <v>3</v>
      </c>
      <c r="NB131" s="127">
        <v>4</v>
      </c>
      <c r="NC131" s="127">
        <v>23</v>
      </c>
      <c r="ND131" s="127">
        <v>2</v>
      </c>
      <c r="NE131" s="127">
        <v>3</v>
      </c>
      <c r="NF131" s="127">
        <v>9</v>
      </c>
      <c r="NG131" s="127">
        <v>9</v>
      </c>
      <c r="NH131" s="127">
        <v>5</v>
      </c>
      <c r="NI131" s="127">
        <v>11</v>
      </c>
      <c r="NJ131" s="127">
        <v>0</v>
      </c>
      <c r="NK131" s="127">
        <v>0</v>
      </c>
      <c r="NL131" s="127">
        <v>0</v>
      </c>
      <c r="NM131" s="127">
        <v>0</v>
      </c>
      <c r="NN131" s="127">
        <v>0</v>
      </c>
      <c r="NO131" s="127">
        <v>3</v>
      </c>
      <c r="NP131" s="127">
        <v>0</v>
      </c>
      <c r="NQ131" s="127">
        <v>253</v>
      </c>
      <c r="NR131" s="13"/>
      <c r="NS131" s="74" t="s">
        <v>63</v>
      </c>
      <c r="NT131" s="127">
        <v>146</v>
      </c>
      <c r="NU131" s="127">
        <v>1</v>
      </c>
      <c r="NV131" s="127">
        <v>6</v>
      </c>
      <c r="NW131" s="127">
        <v>10</v>
      </c>
      <c r="NX131" s="127">
        <v>12</v>
      </c>
      <c r="NY131" s="127">
        <v>1</v>
      </c>
      <c r="NZ131" s="127">
        <v>1</v>
      </c>
      <c r="OA131" s="127">
        <v>15</v>
      </c>
      <c r="OB131" s="127">
        <v>13</v>
      </c>
      <c r="OC131" s="127">
        <v>1</v>
      </c>
      <c r="OD131" s="127">
        <v>8</v>
      </c>
      <c r="OE131" s="127">
        <v>6</v>
      </c>
      <c r="OF131" s="127">
        <v>1</v>
      </c>
      <c r="OG131" s="127">
        <v>0</v>
      </c>
      <c r="OH131" s="127">
        <v>0</v>
      </c>
      <c r="OI131" s="127">
        <v>2</v>
      </c>
      <c r="OJ131" s="127">
        <v>0</v>
      </c>
      <c r="OK131" s="127">
        <v>0</v>
      </c>
      <c r="OL131" s="127">
        <v>223</v>
      </c>
    </row>
    <row r="132" spans="1:402" ht="15.5" thickBot="1">
      <c r="A132" s="17" t="s">
        <v>64</v>
      </c>
      <c r="B132" s="89">
        <v>18</v>
      </c>
      <c r="C132" s="89">
        <v>0</v>
      </c>
      <c r="D132" s="89">
        <v>2</v>
      </c>
      <c r="E132" s="89">
        <v>3</v>
      </c>
      <c r="F132" s="89">
        <v>9</v>
      </c>
      <c r="G132" s="89">
        <v>0</v>
      </c>
      <c r="H132" s="89">
        <v>0</v>
      </c>
      <c r="I132" s="89">
        <v>3</v>
      </c>
      <c r="J132" s="89">
        <v>7</v>
      </c>
      <c r="K132" s="89">
        <v>0</v>
      </c>
      <c r="L132" s="89">
        <v>0</v>
      </c>
      <c r="M132" s="89">
        <v>0</v>
      </c>
      <c r="N132" s="89">
        <v>0</v>
      </c>
      <c r="O132" s="89">
        <v>2</v>
      </c>
      <c r="P132" s="89">
        <v>0</v>
      </c>
      <c r="Q132" s="89">
        <v>0</v>
      </c>
      <c r="R132" s="89">
        <v>1</v>
      </c>
      <c r="S132" s="89">
        <v>3</v>
      </c>
      <c r="T132" s="89">
        <v>48</v>
      </c>
      <c r="U132" s="104"/>
      <c r="V132" s="17" t="s">
        <v>64</v>
      </c>
      <c r="W132" s="89">
        <v>15</v>
      </c>
      <c r="X132" s="89">
        <v>0</v>
      </c>
      <c r="Y132" s="89">
        <v>1</v>
      </c>
      <c r="Z132" s="89">
        <v>3</v>
      </c>
      <c r="AA132" s="89">
        <v>7</v>
      </c>
      <c r="AB132" s="89">
        <v>1</v>
      </c>
      <c r="AC132" s="89">
        <v>0</v>
      </c>
      <c r="AD132" s="89">
        <v>4</v>
      </c>
      <c r="AE132" s="89">
        <v>9</v>
      </c>
      <c r="AF132" s="89">
        <v>0</v>
      </c>
      <c r="AG132" s="109">
        <v>0</v>
      </c>
      <c r="AH132" s="89">
        <v>1</v>
      </c>
      <c r="AI132" s="89">
        <v>0</v>
      </c>
      <c r="AJ132" s="89">
        <v>0</v>
      </c>
      <c r="AK132" s="89">
        <v>0</v>
      </c>
      <c r="AL132" s="89">
        <v>0</v>
      </c>
      <c r="AM132" s="89">
        <v>1</v>
      </c>
      <c r="AN132" s="89">
        <v>9</v>
      </c>
      <c r="AO132" s="89">
        <v>51</v>
      </c>
      <c r="AP132" s="104"/>
      <c r="AQ132" s="17" t="s">
        <v>64</v>
      </c>
      <c r="AR132" s="89">
        <v>31</v>
      </c>
      <c r="AS132" s="89">
        <v>0</v>
      </c>
      <c r="AT132" s="89">
        <v>2</v>
      </c>
      <c r="AU132" s="89">
        <v>3</v>
      </c>
      <c r="AV132" s="89">
        <v>17</v>
      </c>
      <c r="AW132" s="89">
        <v>0</v>
      </c>
      <c r="AX132" s="89">
        <v>0</v>
      </c>
      <c r="AY132" s="89">
        <v>10</v>
      </c>
      <c r="AZ132" s="89">
        <v>17</v>
      </c>
      <c r="BA132" s="89">
        <v>1</v>
      </c>
      <c r="BB132" s="89">
        <v>2</v>
      </c>
      <c r="BC132" s="89">
        <v>4</v>
      </c>
      <c r="BD132" s="89">
        <v>0</v>
      </c>
      <c r="BE132" s="89">
        <v>0</v>
      </c>
      <c r="BF132" s="89">
        <v>0</v>
      </c>
      <c r="BG132" s="89">
        <v>0</v>
      </c>
      <c r="BH132" s="89">
        <v>6</v>
      </c>
      <c r="BI132" s="89">
        <v>11</v>
      </c>
      <c r="BJ132" s="89">
        <v>104</v>
      </c>
      <c r="BK132" s="13"/>
      <c r="BL132" s="115" t="s">
        <v>64</v>
      </c>
      <c r="BM132" s="118">
        <v>23</v>
      </c>
      <c r="BN132" s="118">
        <v>0</v>
      </c>
      <c r="BO132" s="118">
        <v>4</v>
      </c>
      <c r="BP132" s="118">
        <v>5</v>
      </c>
      <c r="BQ132" s="118">
        <v>15</v>
      </c>
      <c r="BR132" s="118">
        <v>0</v>
      </c>
      <c r="BS132" s="118">
        <v>0</v>
      </c>
      <c r="BT132" s="118">
        <v>9</v>
      </c>
      <c r="BU132" s="118">
        <v>10</v>
      </c>
      <c r="BV132" s="118">
        <v>0</v>
      </c>
      <c r="BW132" s="118">
        <v>0</v>
      </c>
      <c r="BX132" s="118">
        <v>2</v>
      </c>
      <c r="BY132" s="118">
        <v>0</v>
      </c>
      <c r="BZ132" s="118">
        <v>0</v>
      </c>
      <c r="CA132" s="118">
        <v>0</v>
      </c>
      <c r="CB132" s="118">
        <v>0</v>
      </c>
      <c r="CC132" s="118">
        <v>2</v>
      </c>
      <c r="CD132" s="118">
        <v>7</v>
      </c>
      <c r="CE132" s="119">
        <v>77</v>
      </c>
      <c r="CF132" s="13"/>
      <c r="CG132" s="118" t="s">
        <v>64</v>
      </c>
      <c r="CH132" s="118">
        <v>31</v>
      </c>
      <c r="CI132" s="118">
        <v>0</v>
      </c>
      <c r="CJ132" s="118">
        <v>2</v>
      </c>
      <c r="CK132" s="118">
        <v>5</v>
      </c>
      <c r="CL132" s="118">
        <v>21</v>
      </c>
      <c r="CM132" s="118">
        <v>0</v>
      </c>
      <c r="CN132" s="118">
        <v>0</v>
      </c>
      <c r="CO132" s="118">
        <v>5</v>
      </c>
      <c r="CP132" s="118">
        <v>6</v>
      </c>
      <c r="CQ132" s="118">
        <v>0</v>
      </c>
      <c r="CR132" s="118">
        <v>0</v>
      </c>
      <c r="CS132" s="118">
        <v>0</v>
      </c>
      <c r="CT132" s="118">
        <v>0</v>
      </c>
      <c r="CU132" s="118">
        <v>2</v>
      </c>
      <c r="CV132" s="118">
        <v>0</v>
      </c>
      <c r="CW132" s="118">
        <v>0</v>
      </c>
      <c r="CX132" s="118">
        <v>2</v>
      </c>
      <c r="CY132" s="118">
        <v>6</v>
      </c>
      <c r="CZ132" s="118">
        <v>80</v>
      </c>
      <c r="DA132" s="13"/>
      <c r="DB132" s="118" t="s">
        <v>64</v>
      </c>
      <c r="DC132" s="118">
        <v>26</v>
      </c>
      <c r="DD132" s="118">
        <v>0</v>
      </c>
      <c r="DE132" s="118">
        <v>0</v>
      </c>
      <c r="DF132" s="118">
        <v>2</v>
      </c>
      <c r="DG132" s="118">
        <v>18</v>
      </c>
      <c r="DH132" s="118">
        <v>1</v>
      </c>
      <c r="DI132" s="118">
        <v>0</v>
      </c>
      <c r="DJ132" s="118">
        <v>8</v>
      </c>
      <c r="DK132" s="118">
        <v>6</v>
      </c>
      <c r="DL132" s="118">
        <v>0</v>
      </c>
      <c r="DM132" s="118">
        <v>7</v>
      </c>
      <c r="DN132" s="118">
        <v>1</v>
      </c>
      <c r="DO132" s="118">
        <v>0</v>
      </c>
      <c r="DP132" s="118">
        <v>1</v>
      </c>
      <c r="DQ132" s="118">
        <v>0</v>
      </c>
      <c r="DR132" s="118">
        <v>0</v>
      </c>
      <c r="DS132" s="118">
        <v>1</v>
      </c>
      <c r="DT132" s="118">
        <v>5</v>
      </c>
      <c r="DU132" s="118">
        <v>76</v>
      </c>
      <c r="DV132" s="13"/>
      <c r="DW132" s="118" t="s">
        <v>64</v>
      </c>
      <c r="DX132" s="118">
        <v>26</v>
      </c>
      <c r="DY132" s="118">
        <v>0</v>
      </c>
      <c r="DZ132" s="118">
        <v>2</v>
      </c>
      <c r="EA132" s="118">
        <v>9</v>
      </c>
      <c r="EB132" s="118">
        <v>5</v>
      </c>
      <c r="EC132" s="118">
        <v>1</v>
      </c>
      <c r="ED132" s="118">
        <v>1</v>
      </c>
      <c r="EE132" s="118">
        <v>10</v>
      </c>
      <c r="EF132" s="118">
        <v>4</v>
      </c>
      <c r="EG132" s="118">
        <v>0</v>
      </c>
      <c r="EH132" s="118">
        <v>0</v>
      </c>
      <c r="EI132" s="118">
        <v>2</v>
      </c>
      <c r="EJ132" s="118">
        <v>0</v>
      </c>
      <c r="EK132" s="118">
        <v>0</v>
      </c>
      <c r="EL132" s="118">
        <v>0</v>
      </c>
      <c r="EM132" s="118">
        <v>1</v>
      </c>
      <c r="EN132" s="118">
        <v>1</v>
      </c>
      <c r="EO132" s="118">
        <v>13</v>
      </c>
      <c r="EP132" s="118">
        <v>75</v>
      </c>
      <c r="EQ132" s="13"/>
      <c r="ER132" s="118" t="s">
        <v>64</v>
      </c>
      <c r="ES132" s="118">
        <v>38</v>
      </c>
      <c r="ET132" s="118">
        <v>0</v>
      </c>
      <c r="EU132" s="118">
        <v>5</v>
      </c>
      <c r="EV132" s="118">
        <v>8</v>
      </c>
      <c r="EW132" s="118">
        <v>10</v>
      </c>
      <c r="EX132" s="118">
        <v>0</v>
      </c>
      <c r="EY132" s="118">
        <v>0</v>
      </c>
      <c r="EZ132" s="118">
        <v>4</v>
      </c>
      <c r="FA132" s="118">
        <v>9</v>
      </c>
      <c r="FB132" s="118">
        <v>0</v>
      </c>
      <c r="FC132" s="118">
        <v>5</v>
      </c>
      <c r="FD132" s="118">
        <v>3</v>
      </c>
      <c r="FE132" s="118">
        <v>0</v>
      </c>
      <c r="FF132" s="118">
        <v>1</v>
      </c>
      <c r="FG132" s="118">
        <v>0</v>
      </c>
      <c r="FH132" s="118">
        <v>2</v>
      </c>
      <c r="FI132" s="118">
        <v>1</v>
      </c>
      <c r="FJ132" s="118">
        <v>6</v>
      </c>
      <c r="FK132" s="118">
        <v>92</v>
      </c>
      <c r="FL132" s="13"/>
      <c r="FM132" s="118" t="s">
        <v>64</v>
      </c>
      <c r="FN132" s="118">
        <v>27</v>
      </c>
      <c r="FO132" s="118">
        <v>0</v>
      </c>
      <c r="FP132" s="118">
        <v>2</v>
      </c>
      <c r="FQ132" s="118">
        <v>20</v>
      </c>
      <c r="FR132" s="118">
        <v>2</v>
      </c>
      <c r="FS132" s="118">
        <v>0</v>
      </c>
      <c r="FT132" s="118">
        <v>0</v>
      </c>
      <c r="FU132" s="118">
        <v>2</v>
      </c>
      <c r="FV132" s="118">
        <v>4</v>
      </c>
      <c r="FW132" s="118">
        <v>0</v>
      </c>
      <c r="FX132" s="118">
        <v>0</v>
      </c>
      <c r="FY132" s="118">
        <v>2</v>
      </c>
      <c r="FZ132" s="118">
        <v>0</v>
      </c>
      <c r="GA132" s="118">
        <v>0</v>
      </c>
      <c r="GB132" s="118">
        <v>0</v>
      </c>
      <c r="GC132" s="118">
        <v>0</v>
      </c>
      <c r="GD132" s="118">
        <v>0</v>
      </c>
      <c r="GE132" s="118">
        <v>25</v>
      </c>
      <c r="GF132" s="118">
        <v>84</v>
      </c>
      <c r="GG132" s="13"/>
      <c r="GH132" s="118" t="s">
        <v>64</v>
      </c>
      <c r="GI132" s="118">
        <v>42</v>
      </c>
      <c r="GJ132" s="118">
        <v>0</v>
      </c>
      <c r="GK132" s="118">
        <v>1</v>
      </c>
      <c r="GL132" s="118">
        <v>18</v>
      </c>
      <c r="GM132" s="118">
        <v>11</v>
      </c>
      <c r="GN132" s="118">
        <v>2</v>
      </c>
      <c r="GO132" s="118">
        <v>1</v>
      </c>
      <c r="GP132" s="118">
        <v>13</v>
      </c>
      <c r="GQ132" s="118">
        <v>18</v>
      </c>
      <c r="GR132" s="118">
        <v>0</v>
      </c>
      <c r="GS132" s="118">
        <v>0</v>
      </c>
      <c r="GT132" s="118">
        <v>3</v>
      </c>
      <c r="GU132" s="118">
        <v>0</v>
      </c>
      <c r="GV132" s="118">
        <v>0</v>
      </c>
      <c r="GW132" s="118">
        <v>0</v>
      </c>
      <c r="GX132" s="118">
        <v>0</v>
      </c>
      <c r="GY132" s="118">
        <v>2</v>
      </c>
      <c r="GZ132" s="118">
        <v>9</v>
      </c>
      <c r="HA132" s="118">
        <v>120</v>
      </c>
      <c r="HB132" s="13"/>
      <c r="HC132" s="118" t="s">
        <v>64</v>
      </c>
      <c r="HD132" s="118">
        <v>25</v>
      </c>
      <c r="HE132" s="118">
        <v>0</v>
      </c>
      <c r="HF132" s="118">
        <v>6</v>
      </c>
      <c r="HG132" s="118">
        <v>6</v>
      </c>
      <c r="HH132" s="118">
        <v>11</v>
      </c>
      <c r="HI132" s="118">
        <v>0</v>
      </c>
      <c r="HJ132" s="118">
        <v>0</v>
      </c>
      <c r="HK132" s="118">
        <v>6</v>
      </c>
      <c r="HL132" s="118">
        <v>6</v>
      </c>
      <c r="HM132" s="118">
        <v>0</v>
      </c>
      <c r="HN132" s="118">
        <v>3</v>
      </c>
      <c r="HO132" s="118">
        <v>4</v>
      </c>
      <c r="HP132" s="118">
        <v>0</v>
      </c>
      <c r="HQ132" s="118">
        <v>0</v>
      </c>
      <c r="HR132" s="118">
        <v>0</v>
      </c>
      <c r="HS132" s="118">
        <v>1</v>
      </c>
      <c r="HT132" s="118">
        <v>1</v>
      </c>
      <c r="HU132" s="118">
        <v>2</v>
      </c>
      <c r="HV132" s="118">
        <v>71</v>
      </c>
      <c r="HW132" s="13"/>
      <c r="HX132" s="118" t="s">
        <v>64</v>
      </c>
      <c r="HY132" s="118">
        <v>32</v>
      </c>
      <c r="HZ132" s="118">
        <v>0</v>
      </c>
      <c r="IA132" s="118">
        <v>0</v>
      </c>
      <c r="IB132" s="118">
        <v>0</v>
      </c>
      <c r="IC132" s="118">
        <v>7</v>
      </c>
      <c r="ID132" s="118">
        <v>0</v>
      </c>
      <c r="IE132" s="118">
        <v>0</v>
      </c>
      <c r="IF132" s="118">
        <v>5</v>
      </c>
      <c r="IG132" s="118">
        <v>3</v>
      </c>
      <c r="IH132" s="118">
        <v>0</v>
      </c>
      <c r="II132" s="118">
        <v>0</v>
      </c>
      <c r="IJ132" s="118">
        <v>0</v>
      </c>
      <c r="IK132" s="118">
        <v>0</v>
      </c>
      <c r="IL132" s="118">
        <v>0</v>
      </c>
      <c r="IM132" s="118">
        <v>0</v>
      </c>
      <c r="IN132" s="118">
        <v>0</v>
      </c>
      <c r="IO132" s="118">
        <v>1</v>
      </c>
      <c r="IP132" s="118">
        <v>2</v>
      </c>
      <c r="IQ132" s="118">
        <v>50</v>
      </c>
      <c r="IR132" s="13"/>
      <c r="IS132" s="118" t="s">
        <v>64</v>
      </c>
      <c r="IT132" s="118">
        <v>39</v>
      </c>
      <c r="IU132" s="118">
        <v>0</v>
      </c>
      <c r="IV132" s="118">
        <v>1</v>
      </c>
      <c r="IW132" s="118">
        <v>2</v>
      </c>
      <c r="IX132" s="118">
        <v>21</v>
      </c>
      <c r="IY132" s="118">
        <v>0</v>
      </c>
      <c r="IZ132" s="118">
        <v>0</v>
      </c>
      <c r="JA132" s="118">
        <v>4</v>
      </c>
      <c r="JB132" s="118">
        <v>5</v>
      </c>
      <c r="JC132" s="118">
        <v>0</v>
      </c>
      <c r="JD132" s="118">
        <v>3</v>
      </c>
      <c r="JE132" s="118">
        <v>0</v>
      </c>
      <c r="JF132" s="118">
        <v>0</v>
      </c>
      <c r="JG132" s="118">
        <v>0</v>
      </c>
      <c r="JH132" s="118">
        <v>0</v>
      </c>
      <c r="JI132" s="118">
        <v>2</v>
      </c>
      <c r="JJ132" s="118">
        <v>0</v>
      </c>
      <c r="JK132" s="118">
        <v>1</v>
      </c>
      <c r="JL132" s="118">
        <v>78</v>
      </c>
      <c r="JM132" s="13"/>
      <c r="JN132" s="70" t="s">
        <v>64</v>
      </c>
      <c r="JO132" s="122">
        <v>48</v>
      </c>
      <c r="JP132" s="122">
        <v>0</v>
      </c>
      <c r="JQ132" s="122">
        <v>5</v>
      </c>
      <c r="JR132" s="122">
        <v>7</v>
      </c>
      <c r="JS132" s="122">
        <v>14</v>
      </c>
      <c r="JT132" s="122">
        <v>0</v>
      </c>
      <c r="JU132" s="122">
        <v>0</v>
      </c>
      <c r="JV132" s="122">
        <v>4</v>
      </c>
      <c r="JW132" s="122">
        <v>8</v>
      </c>
      <c r="JX132" s="122">
        <v>0</v>
      </c>
      <c r="JY132" s="122">
        <v>1</v>
      </c>
      <c r="JZ132" s="122">
        <v>4</v>
      </c>
      <c r="KA132" s="122">
        <v>0</v>
      </c>
      <c r="KB132" s="122">
        <v>1</v>
      </c>
      <c r="KC132" s="122">
        <v>0</v>
      </c>
      <c r="KD132" s="122">
        <v>0</v>
      </c>
      <c r="KE132" s="122">
        <v>0</v>
      </c>
      <c r="KF132" s="122">
        <v>6</v>
      </c>
      <c r="KG132" s="123">
        <v>98</v>
      </c>
      <c r="KH132" s="13"/>
      <c r="KI132" s="118" t="s">
        <v>64</v>
      </c>
      <c r="KJ132" s="118">
        <v>21</v>
      </c>
      <c r="KK132" s="118">
        <v>0</v>
      </c>
      <c r="KL132" s="118">
        <v>1</v>
      </c>
      <c r="KM132" s="118">
        <v>22</v>
      </c>
      <c r="KN132" s="118">
        <v>3</v>
      </c>
      <c r="KO132" s="118">
        <v>3</v>
      </c>
      <c r="KP132" s="118">
        <v>11</v>
      </c>
      <c r="KQ132" s="118">
        <v>1</v>
      </c>
      <c r="KR132" s="118">
        <v>0</v>
      </c>
      <c r="KS132" s="118">
        <v>0</v>
      </c>
      <c r="KT132" s="118">
        <v>9</v>
      </c>
      <c r="KU132" s="118">
        <v>0</v>
      </c>
      <c r="KV132" s="118">
        <v>0</v>
      </c>
      <c r="KW132" s="118">
        <v>0</v>
      </c>
      <c r="KX132" s="118">
        <v>0</v>
      </c>
      <c r="KY132" s="118">
        <v>0</v>
      </c>
      <c r="KZ132" s="118">
        <v>0</v>
      </c>
      <c r="LA132" s="118">
        <v>1</v>
      </c>
      <c r="LB132" s="118">
        <v>72</v>
      </c>
      <c r="LC132" s="13"/>
      <c r="LD132" s="58" t="s">
        <v>64</v>
      </c>
      <c r="LE132" s="65">
        <v>17</v>
      </c>
      <c r="LF132" s="65">
        <v>0</v>
      </c>
      <c r="LG132" s="65">
        <v>2</v>
      </c>
      <c r="LH132" s="65">
        <v>9</v>
      </c>
      <c r="LI132" s="65">
        <v>0</v>
      </c>
      <c r="LJ132" s="65">
        <v>7</v>
      </c>
      <c r="LK132" s="65">
        <v>9</v>
      </c>
      <c r="LL132" s="65">
        <v>2</v>
      </c>
      <c r="LM132" s="65">
        <v>0</v>
      </c>
      <c r="LN132" s="65">
        <v>0</v>
      </c>
      <c r="LO132" s="65">
        <v>3</v>
      </c>
      <c r="LP132" s="65">
        <v>0</v>
      </c>
      <c r="LQ132" s="65">
        <v>1</v>
      </c>
      <c r="LR132" s="65">
        <v>2</v>
      </c>
      <c r="LS132" s="65">
        <v>0</v>
      </c>
      <c r="LT132" s="65">
        <v>0</v>
      </c>
      <c r="LU132" s="65">
        <v>0</v>
      </c>
      <c r="LV132" s="65">
        <v>0</v>
      </c>
      <c r="LW132" s="65">
        <v>0</v>
      </c>
      <c r="LX132" s="65">
        <v>0</v>
      </c>
      <c r="LY132" s="65">
        <v>0</v>
      </c>
      <c r="LZ132" s="65">
        <v>4</v>
      </c>
      <c r="MA132" s="65">
        <v>56</v>
      </c>
      <c r="MB132" s="13"/>
      <c r="MC132" s="180" t="s">
        <v>64</v>
      </c>
      <c r="MD132" s="181">
        <v>40</v>
      </c>
      <c r="ME132" s="181">
        <v>0</v>
      </c>
      <c r="MF132" s="181">
        <v>2</v>
      </c>
      <c r="MG132" s="181">
        <v>3</v>
      </c>
      <c r="MH132" s="181">
        <v>20</v>
      </c>
      <c r="MI132" s="181">
        <v>0</v>
      </c>
      <c r="MJ132" s="181">
        <v>0</v>
      </c>
      <c r="MK132" s="181">
        <v>8</v>
      </c>
      <c r="ML132" s="181">
        <v>13</v>
      </c>
      <c r="MM132" s="181">
        <v>0</v>
      </c>
      <c r="MN132" s="181">
        <v>0</v>
      </c>
      <c r="MO132" s="181">
        <v>0</v>
      </c>
      <c r="MP132" s="181">
        <v>0</v>
      </c>
      <c r="MQ132" s="181">
        <v>1</v>
      </c>
      <c r="MR132" s="181">
        <v>0</v>
      </c>
      <c r="MS132" s="181">
        <v>0</v>
      </c>
      <c r="MT132" s="181">
        <v>0</v>
      </c>
      <c r="MU132" s="181">
        <v>8</v>
      </c>
      <c r="MV132" s="181">
        <v>95</v>
      </c>
      <c r="MW132" s="13"/>
      <c r="MX132" s="74" t="s">
        <v>64</v>
      </c>
      <c r="MY132" s="127">
        <v>68</v>
      </c>
      <c r="MZ132" s="127">
        <v>2</v>
      </c>
      <c r="NA132" s="127">
        <v>3</v>
      </c>
      <c r="NB132" s="127">
        <v>5</v>
      </c>
      <c r="NC132" s="127">
        <v>33</v>
      </c>
      <c r="ND132" s="127">
        <v>1</v>
      </c>
      <c r="NE132" s="127">
        <v>0</v>
      </c>
      <c r="NF132" s="127">
        <v>13</v>
      </c>
      <c r="NG132" s="127">
        <v>11</v>
      </c>
      <c r="NH132" s="127">
        <v>0</v>
      </c>
      <c r="NI132" s="127">
        <v>3</v>
      </c>
      <c r="NJ132" s="127">
        <v>2</v>
      </c>
      <c r="NK132" s="127">
        <v>0</v>
      </c>
      <c r="NL132" s="127">
        <v>0</v>
      </c>
      <c r="NM132" s="127">
        <v>0</v>
      </c>
      <c r="NN132" s="127">
        <v>0</v>
      </c>
      <c r="NO132" s="127">
        <v>0</v>
      </c>
      <c r="NP132" s="127">
        <v>8</v>
      </c>
      <c r="NQ132" s="127">
        <v>149</v>
      </c>
      <c r="NR132" s="13"/>
      <c r="NS132" s="74" t="s">
        <v>64</v>
      </c>
      <c r="NT132" s="127">
        <v>43</v>
      </c>
      <c r="NU132" s="127">
        <v>0</v>
      </c>
      <c r="NV132" s="127">
        <v>4</v>
      </c>
      <c r="NW132" s="127">
        <v>8</v>
      </c>
      <c r="NX132" s="127">
        <v>24</v>
      </c>
      <c r="NY132" s="127">
        <v>0</v>
      </c>
      <c r="NZ132" s="127">
        <v>0</v>
      </c>
      <c r="OA132" s="127">
        <v>8</v>
      </c>
      <c r="OB132" s="127">
        <v>10</v>
      </c>
      <c r="OC132" s="127">
        <v>0</v>
      </c>
      <c r="OD132" s="127">
        <v>0</v>
      </c>
      <c r="OE132" s="127">
        <v>6</v>
      </c>
      <c r="OF132" s="127">
        <v>0</v>
      </c>
      <c r="OG132" s="127">
        <v>0</v>
      </c>
      <c r="OH132" s="127">
        <v>0</v>
      </c>
      <c r="OI132" s="127">
        <v>0</v>
      </c>
      <c r="OJ132" s="127">
        <v>1</v>
      </c>
      <c r="OK132" s="127">
        <v>5</v>
      </c>
      <c r="OL132" s="127">
        <v>109</v>
      </c>
    </row>
    <row r="133" spans="1:402" ht="15.5" thickBot="1">
      <c r="A133" s="17" t="s">
        <v>65</v>
      </c>
      <c r="B133" s="89">
        <v>19</v>
      </c>
      <c r="C133" s="89">
        <v>0</v>
      </c>
      <c r="D133" s="89">
        <v>2</v>
      </c>
      <c r="E133" s="89">
        <v>1</v>
      </c>
      <c r="F133" s="89">
        <v>3</v>
      </c>
      <c r="G133" s="89">
        <v>0</v>
      </c>
      <c r="H133" s="89">
        <v>0</v>
      </c>
      <c r="I133" s="89">
        <v>0</v>
      </c>
      <c r="J133" s="89">
        <v>0</v>
      </c>
      <c r="K133" s="89">
        <v>0</v>
      </c>
      <c r="L133" s="89">
        <v>2</v>
      </c>
      <c r="M133" s="89">
        <v>0</v>
      </c>
      <c r="N133" s="89">
        <v>0</v>
      </c>
      <c r="O133" s="89">
        <v>0</v>
      </c>
      <c r="P133" s="89">
        <v>0</v>
      </c>
      <c r="Q133" s="89">
        <v>0</v>
      </c>
      <c r="R133" s="89">
        <v>2</v>
      </c>
      <c r="S133" s="89">
        <v>0</v>
      </c>
      <c r="T133" s="89">
        <v>29</v>
      </c>
      <c r="U133" s="104"/>
      <c r="V133" s="17" t="s">
        <v>65</v>
      </c>
      <c r="W133" s="89">
        <v>12</v>
      </c>
      <c r="X133" s="89">
        <v>0</v>
      </c>
      <c r="Y133" s="89">
        <v>4</v>
      </c>
      <c r="Z133" s="89">
        <v>0</v>
      </c>
      <c r="AA133" s="89">
        <v>0</v>
      </c>
      <c r="AB133" s="89">
        <v>0</v>
      </c>
      <c r="AC133" s="89">
        <v>0</v>
      </c>
      <c r="AD133" s="89">
        <v>2</v>
      </c>
      <c r="AE133" s="89">
        <v>0</v>
      </c>
      <c r="AF133" s="89">
        <v>0</v>
      </c>
      <c r="AG133" s="109">
        <v>1</v>
      </c>
      <c r="AH133" s="89">
        <v>0</v>
      </c>
      <c r="AI133" s="89">
        <v>0</v>
      </c>
      <c r="AJ133" s="89">
        <v>0</v>
      </c>
      <c r="AK133" s="89">
        <v>0</v>
      </c>
      <c r="AL133" s="89">
        <v>0</v>
      </c>
      <c r="AM133" s="89">
        <v>1</v>
      </c>
      <c r="AN133" s="89">
        <v>2</v>
      </c>
      <c r="AO133" s="89">
        <v>22</v>
      </c>
      <c r="AP133" s="104"/>
      <c r="AQ133" s="17" t="s">
        <v>65</v>
      </c>
      <c r="AR133" s="89">
        <v>13</v>
      </c>
      <c r="AS133" s="89">
        <v>0</v>
      </c>
      <c r="AT133" s="89">
        <v>0</v>
      </c>
      <c r="AU133" s="89">
        <v>0</v>
      </c>
      <c r="AV133" s="89">
        <v>2</v>
      </c>
      <c r="AW133" s="89">
        <v>0</v>
      </c>
      <c r="AX133" s="89">
        <v>2</v>
      </c>
      <c r="AY133" s="89">
        <v>3</v>
      </c>
      <c r="AZ133" s="89">
        <v>4</v>
      </c>
      <c r="BA133" s="89">
        <v>0</v>
      </c>
      <c r="BB133" s="89">
        <v>4</v>
      </c>
      <c r="BC133" s="89">
        <v>0</v>
      </c>
      <c r="BD133" s="89">
        <v>0</v>
      </c>
      <c r="BE133" s="89">
        <v>0</v>
      </c>
      <c r="BF133" s="89">
        <v>0</v>
      </c>
      <c r="BG133" s="89">
        <v>0</v>
      </c>
      <c r="BH133" s="89">
        <v>0</v>
      </c>
      <c r="BI133" s="89">
        <v>1</v>
      </c>
      <c r="BJ133" s="89">
        <v>29</v>
      </c>
      <c r="BK133" s="13"/>
      <c r="BL133" s="115" t="s">
        <v>65</v>
      </c>
      <c r="BM133" s="118">
        <v>16</v>
      </c>
      <c r="BN133" s="118">
        <v>0</v>
      </c>
      <c r="BO133" s="118">
        <v>2</v>
      </c>
      <c r="BP133" s="118">
        <v>0</v>
      </c>
      <c r="BQ133" s="118">
        <v>2</v>
      </c>
      <c r="BR133" s="118">
        <v>0</v>
      </c>
      <c r="BS133" s="118">
        <v>0</v>
      </c>
      <c r="BT133" s="118">
        <v>6</v>
      </c>
      <c r="BU133" s="118">
        <v>4</v>
      </c>
      <c r="BV133" s="118">
        <v>0</v>
      </c>
      <c r="BW133" s="118">
        <v>5</v>
      </c>
      <c r="BX133" s="118">
        <v>0</v>
      </c>
      <c r="BY133" s="118">
        <v>0</v>
      </c>
      <c r="BZ133" s="118">
        <v>0</v>
      </c>
      <c r="CA133" s="118">
        <v>0</v>
      </c>
      <c r="CB133" s="118">
        <v>0</v>
      </c>
      <c r="CC133" s="118">
        <v>0</v>
      </c>
      <c r="CD133" s="118">
        <v>1</v>
      </c>
      <c r="CE133" s="119">
        <v>36</v>
      </c>
      <c r="CF133" s="13"/>
      <c r="CG133" s="118" t="s">
        <v>65</v>
      </c>
      <c r="CH133" s="118">
        <v>14</v>
      </c>
      <c r="CI133" s="118">
        <v>0</v>
      </c>
      <c r="CJ133" s="118">
        <v>5</v>
      </c>
      <c r="CK133" s="118">
        <v>0</v>
      </c>
      <c r="CL133" s="118">
        <v>6</v>
      </c>
      <c r="CM133" s="118">
        <v>0</v>
      </c>
      <c r="CN133" s="118">
        <v>2</v>
      </c>
      <c r="CO133" s="118">
        <v>4</v>
      </c>
      <c r="CP133" s="118">
        <v>3</v>
      </c>
      <c r="CQ133" s="118">
        <v>0</v>
      </c>
      <c r="CR133" s="118">
        <v>2</v>
      </c>
      <c r="CS133" s="118">
        <v>1</v>
      </c>
      <c r="CT133" s="118">
        <v>0</v>
      </c>
      <c r="CU133" s="118">
        <v>0</v>
      </c>
      <c r="CV133" s="118">
        <v>0</v>
      </c>
      <c r="CW133" s="118">
        <v>0</v>
      </c>
      <c r="CX133" s="118">
        <v>0</v>
      </c>
      <c r="CY133" s="118">
        <v>0</v>
      </c>
      <c r="CZ133" s="118">
        <v>37</v>
      </c>
      <c r="DA133" s="13"/>
      <c r="DB133" s="118" t="s">
        <v>65</v>
      </c>
      <c r="DC133" s="118">
        <v>20</v>
      </c>
      <c r="DD133" s="118">
        <v>0</v>
      </c>
      <c r="DE133" s="118">
        <v>4</v>
      </c>
      <c r="DF133" s="118">
        <v>1</v>
      </c>
      <c r="DG133" s="118">
        <v>3</v>
      </c>
      <c r="DH133" s="118">
        <v>0</v>
      </c>
      <c r="DI133" s="118">
        <v>0</v>
      </c>
      <c r="DJ133" s="118">
        <v>2</v>
      </c>
      <c r="DK133" s="118">
        <v>3</v>
      </c>
      <c r="DL133" s="118">
        <v>0</v>
      </c>
      <c r="DM133" s="118">
        <v>4</v>
      </c>
      <c r="DN133" s="118">
        <v>0</v>
      </c>
      <c r="DO133" s="118">
        <v>0</v>
      </c>
      <c r="DP133" s="118">
        <v>0</v>
      </c>
      <c r="DQ133" s="118">
        <v>0</v>
      </c>
      <c r="DR133" s="118">
        <v>0</v>
      </c>
      <c r="DS133" s="118">
        <v>0</v>
      </c>
      <c r="DT133" s="118">
        <v>1</v>
      </c>
      <c r="DU133" s="118">
        <v>38</v>
      </c>
      <c r="DV133" s="13"/>
      <c r="DW133" s="118" t="s">
        <v>65</v>
      </c>
      <c r="DX133" s="118">
        <v>7</v>
      </c>
      <c r="DY133" s="118">
        <v>0</v>
      </c>
      <c r="DZ133" s="118">
        <v>3</v>
      </c>
      <c r="EA133" s="118">
        <v>1</v>
      </c>
      <c r="EB133" s="118">
        <v>2</v>
      </c>
      <c r="EC133" s="118">
        <v>0</v>
      </c>
      <c r="ED133" s="118">
        <v>0</v>
      </c>
      <c r="EE133" s="118">
        <v>2</v>
      </c>
      <c r="EF133" s="118">
        <v>5</v>
      </c>
      <c r="EG133" s="118">
        <v>1</v>
      </c>
      <c r="EH133" s="118">
        <v>1</v>
      </c>
      <c r="EI133" s="118">
        <v>0</v>
      </c>
      <c r="EJ133" s="118">
        <v>0</v>
      </c>
      <c r="EK133" s="118">
        <v>0</v>
      </c>
      <c r="EL133" s="118">
        <v>0</v>
      </c>
      <c r="EM133" s="118">
        <v>0</v>
      </c>
      <c r="EN133" s="118">
        <v>0</v>
      </c>
      <c r="EO133" s="118">
        <v>1</v>
      </c>
      <c r="EP133" s="118">
        <v>23</v>
      </c>
      <c r="EQ133" s="13"/>
      <c r="ER133" s="118" t="s">
        <v>65</v>
      </c>
      <c r="ES133" s="118">
        <v>8</v>
      </c>
      <c r="ET133" s="118">
        <v>0</v>
      </c>
      <c r="EU133" s="118">
        <v>1</v>
      </c>
      <c r="EV133" s="118">
        <v>0</v>
      </c>
      <c r="EW133" s="118">
        <v>8</v>
      </c>
      <c r="EX133" s="118">
        <v>0</v>
      </c>
      <c r="EY133" s="118">
        <v>0</v>
      </c>
      <c r="EZ133" s="118">
        <v>3</v>
      </c>
      <c r="FA133" s="118">
        <v>3</v>
      </c>
      <c r="FB133" s="118">
        <v>0</v>
      </c>
      <c r="FC133" s="118">
        <v>2</v>
      </c>
      <c r="FD133" s="118">
        <v>0</v>
      </c>
      <c r="FE133" s="118">
        <v>0</v>
      </c>
      <c r="FF133" s="118">
        <v>0</v>
      </c>
      <c r="FG133" s="118">
        <v>0</v>
      </c>
      <c r="FH133" s="118">
        <v>0</v>
      </c>
      <c r="FI133" s="118">
        <v>0</v>
      </c>
      <c r="FJ133" s="118">
        <v>0</v>
      </c>
      <c r="FK133" s="118">
        <v>25</v>
      </c>
      <c r="FL133" s="13"/>
      <c r="FM133" s="118" t="s">
        <v>65</v>
      </c>
      <c r="FN133" s="118">
        <v>6</v>
      </c>
      <c r="FO133" s="118">
        <v>0</v>
      </c>
      <c r="FP133" s="118">
        <v>2</v>
      </c>
      <c r="FQ133" s="118">
        <v>1</v>
      </c>
      <c r="FR133" s="118">
        <v>4</v>
      </c>
      <c r="FS133" s="118">
        <v>0</v>
      </c>
      <c r="FT133" s="118">
        <v>0</v>
      </c>
      <c r="FU133" s="118">
        <v>1</v>
      </c>
      <c r="FV133" s="118">
        <v>4</v>
      </c>
      <c r="FW133" s="118">
        <v>1</v>
      </c>
      <c r="FX133" s="118">
        <v>3</v>
      </c>
      <c r="FY133" s="118">
        <v>0</v>
      </c>
      <c r="FZ133" s="118">
        <v>0</v>
      </c>
      <c r="GA133" s="118">
        <v>0</v>
      </c>
      <c r="GB133" s="118">
        <v>0</v>
      </c>
      <c r="GC133" s="118">
        <v>0</v>
      </c>
      <c r="GD133" s="118">
        <v>0</v>
      </c>
      <c r="GE133" s="118">
        <v>7</v>
      </c>
      <c r="GF133" s="118">
        <v>29</v>
      </c>
      <c r="GG133" s="13"/>
      <c r="GH133" s="118" t="s">
        <v>65</v>
      </c>
      <c r="GI133" s="118">
        <v>16</v>
      </c>
      <c r="GJ133" s="118">
        <v>0</v>
      </c>
      <c r="GK133" s="118">
        <v>0</v>
      </c>
      <c r="GL133" s="118">
        <v>0</v>
      </c>
      <c r="GM133" s="118">
        <v>1</v>
      </c>
      <c r="GN133" s="118">
        <v>0</v>
      </c>
      <c r="GO133" s="118">
        <v>0</v>
      </c>
      <c r="GP133" s="118">
        <v>0</v>
      </c>
      <c r="GQ133" s="118">
        <v>1</v>
      </c>
      <c r="GR133" s="118">
        <v>0</v>
      </c>
      <c r="GS133" s="118">
        <v>2</v>
      </c>
      <c r="GT133" s="118">
        <v>0</v>
      </c>
      <c r="GU133" s="118">
        <v>0</v>
      </c>
      <c r="GV133" s="118">
        <v>1</v>
      </c>
      <c r="GW133" s="118">
        <v>0</v>
      </c>
      <c r="GX133" s="118">
        <v>0</v>
      </c>
      <c r="GY133" s="118">
        <v>0</v>
      </c>
      <c r="GZ133" s="118">
        <v>0</v>
      </c>
      <c r="HA133" s="118">
        <v>21</v>
      </c>
      <c r="HB133" s="13"/>
      <c r="HC133" s="118" t="s">
        <v>65</v>
      </c>
      <c r="HD133" s="118">
        <v>18</v>
      </c>
      <c r="HE133" s="118">
        <v>0</v>
      </c>
      <c r="HF133" s="118">
        <v>2</v>
      </c>
      <c r="HG133" s="118">
        <v>2</v>
      </c>
      <c r="HH133" s="118">
        <v>1</v>
      </c>
      <c r="HI133" s="118">
        <v>0</v>
      </c>
      <c r="HJ133" s="118">
        <v>0</v>
      </c>
      <c r="HK133" s="118">
        <v>2</v>
      </c>
      <c r="HL133" s="118">
        <v>1</v>
      </c>
      <c r="HM133" s="118">
        <v>0</v>
      </c>
      <c r="HN133" s="118">
        <v>5</v>
      </c>
      <c r="HO133" s="118">
        <v>0</v>
      </c>
      <c r="HP133" s="118">
        <v>0</v>
      </c>
      <c r="HQ133" s="118">
        <v>0</v>
      </c>
      <c r="HR133" s="118">
        <v>0</v>
      </c>
      <c r="HS133" s="118">
        <v>0</v>
      </c>
      <c r="HT133" s="118">
        <v>0</v>
      </c>
      <c r="HU133" s="118">
        <v>0</v>
      </c>
      <c r="HV133" s="118">
        <v>31</v>
      </c>
      <c r="HW133" s="13"/>
      <c r="HX133" s="118" t="s">
        <v>65</v>
      </c>
      <c r="HY133" s="118">
        <v>11</v>
      </c>
      <c r="HZ133" s="118">
        <v>0</v>
      </c>
      <c r="IA133" s="118">
        <v>4</v>
      </c>
      <c r="IB133" s="118">
        <v>0</v>
      </c>
      <c r="IC133" s="118">
        <v>3</v>
      </c>
      <c r="ID133" s="118">
        <v>0</v>
      </c>
      <c r="IE133" s="118">
        <v>0</v>
      </c>
      <c r="IF133" s="118">
        <v>0</v>
      </c>
      <c r="IG133" s="118">
        <v>2</v>
      </c>
      <c r="IH133" s="118">
        <v>0</v>
      </c>
      <c r="II133" s="118">
        <v>1</v>
      </c>
      <c r="IJ133" s="118">
        <v>0</v>
      </c>
      <c r="IK133" s="118">
        <v>0</v>
      </c>
      <c r="IL133" s="118">
        <v>0</v>
      </c>
      <c r="IM133" s="118">
        <v>0</v>
      </c>
      <c r="IN133" s="118">
        <v>0</v>
      </c>
      <c r="IO133" s="118">
        <v>0</v>
      </c>
      <c r="IP133" s="118">
        <v>0</v>
      </c>
      <c r="IQ133" s="118">
        <v>21</v>
      </c>
      <c r="IR133" s="13"/>
      <c r="IS133" s="118" t="s">
        <v>65</v>
      </c>
      <c r="IT133" s="118">
        <v>10</v>
      </c>
      <c r="IU133" s="118">
        <v>0</v>
      </c>
      <c r="IV133" s="118">
        <v>0</v>
      </c>
      <c r="IW133" s="118">
        <v>0</v>
      </c>
      <c r="IX133" s="118">
        <v>3</v>
      </c>
      <c r="IY133" s="118">
        <v>0</v>
      </c>
      <c r="IZ133" s="118">
        <v>0</v>
      </c>
      <c r="JA133" s="118">
        <v>1</v>
      </c>
      <c r="JB133" s="118">
        <v>1</v>
      </c>
      <c r="JC133" s="118">
        <v>0</v>
      </c>
      <c r="JD133" s="118">
        <v>2</v>
      </c>
      <c r="JE133" s="118">
        <v>0</v>
      </c>
      <c r="JF133" s="118">
        <v>0</v>
      </c>
      <c r="JG133" s="118">
        <v>0</v>
      </c>
      <c r="JH133" s="118">
        <v>0</v>
      </c>
      <c r="JI133" s="118">
        <v>0</v>
      </c>
      <c r="JJ133" s="118">
        <v>0</v>
      </c>
      <c r="JK133" s="118">
        <v>0</v>
      </c>
      <c r="JL133" s="118">
        <v>17</v>
      </c>
      <c r="JM133" s="13"/>
      <c r="JN133" s="70" t="s">
        <v>65</v>
      </c>
      <c r="JO133" s="122">
        <v>17</v>
      </c>
      <c r="JP133" s="122">
        <v>0</v>
      </c>
      <c r="JQ133" s="122">
        <v>1</v>
      </c>
      <c r="JR133" s="122">
        <v>0</v>
      </c>
      <c r="JS133" s="122">
        <v>2</v>
      </c>
      <c r="JT133" s="122">
        <v>0</v>
      </c>
      <c r="JU133" s="122">
        <v>0</v>
      </c>
      <c r="JV133" s="122">
        <v>0</v>
      </c>
      <c r="JW133" s="122">
        <v>0</v>
      </c>
      <c r="JX133" s="122">
        <v>0</v>
      </c>
      <c r="JY133" s="122">
        <v>1</v>
      </c>
      <c r="JZ133" s="122">
        <v>0</v>
      </c>
      <c r="KA133" s="122">
        <v>0</v>
      </c>
      <c r="KB133" s="122">
        <v>0</v>
      </c>
      <c r="KC133" s="122">
        <v>0</v>
      </c>
      <c r="KD133" s="122">
        <v>0</v>
      </c>
      <c r="KE133" s="122">
        <v>0</v>
      </c>
      <c r="KF133" s="122">
        <v>0</v>
      </c>
      <c r="KG133" s="123">
        <v>21</v>
      </c>
      <c r="KH133" s="13"/>
      <c r="KI133" s="118" t="s">
        <v>65</v>
      </c>
      <c r="KJ133" s="118">
        <v>8</v>
      </c>
      <c r="KK133" s="118">
        <v>0</v>
      </c>
      <c r="KL133" s="118">
        <v>0</v>
      </c>
      <c r="KM133" s="118">
        <v>3</v>
      </c>
      <c r="KN133" s="118">
        <v>0</v>
      </c>
      <c r="KO133" s="118">
        <v>0</v>
      </c>
      <c r="KP133" s="118">
        <v>1</v>
      </c>
      <c r="KQ133" s="118">
        <v>0</v>
      </c>
      <c r="KR133" s="118">
        <v>0</v>
      </c>
      <c r="KS133" s="118">
        <v>0</v>
      </c>
      <c r="KT133" s="118">
        <v>0</v>
      </c>
      <c r="KU133" s="118">
        <v>0</v>
      </c>
      <c r="KV133" s="118">
        <v>2</v>
      </c>
      <c r="KW133" s="118">
        <v>0</v>
      </c>
      <c r="KX133" s="118">
        <v>0</v>
      </c>
      <c r="KY133" s="118">
        <v>0</v>
      </c>
      <c r="KZ133" s="118">
        <v>0</v>
      </c>
      <c r="LA133" s="118">
        <v>0</v>
      </c>
      <c r="LB133" s="118">
        <v>14</v>
      </c>
      <c r="LC133" s="13"/>
      <c r="LD133" s="58" t="s">
        <v>65</v>
      </c>
      <c r="LE133" s="65">
        <v>7</v>
      </c>
      <c r="LF133" s="65">
        <v>0</v>
      </c>
      <c r="LG133" s="65">
        <v>0</v>
      </c>
      <c r="LH133" s="65">
        <v>2</v>
      </c>
      <c r="LI133" s="65">
        <v>0</v>
      </c>
      <c r="LJ133" s="65">
        <v>0</v>
      </c>
      <c r="LK133" s="65">
        <v>1</v>
      </c>
      <c r="LL133" s="65">
        <v>0</v>
      </c>
      <c r="LM133" s="65">
        <v>0</v>
      </c>
      <c r="LN133" s="65">
        <v>0</v>
      </c>
      <c r="LO133" s="65">
        <v>0</v>
      </c>
      <c r="LP133" s="65">
        <v>0</v>
      </c>
      <c r="LQ133" s="65">
        <v>1</v>
      </c>
      <c r="LR133" s="65">
        <v>0</v>
      </c>
      <c r="LS133" s="65">
        <v>0</v>
      </c>
      <c r="LT133" s="65">
        <v>0</v>
      </c>
      <c r="LU133" s="65">
        <v>1</v>
      </c>
      <c r="LV133" s="65">
        <v>0</v>
      </c>
      <c r="LW133" s="65">
        <v>0</v>
      </c>
      <c r="LX133" s="65">
        <v>0</v>
      </c>
      <c r="LY133" s="65">
        <v>0</v>
      </c>
      <c r="LZ133" s="65">
        <v>1</v>
      </c>
      <c r="MA133" s="65">
        <v>13</v>
      </c>
      <c r="MB133" s="13"/>
      <c r="MC133" s="180" t="s">
        <v>65</v>
      </c>
      <c r="MD133" s="181">
        <v>1</v>
      </c>
      <c r="ME133" s="181">
        <v>0</v>
      </c>
      <c r="MF133" s="181">
        <v>2</v>
      </c>
      <c r="MG133" s="181">
        <v>0</v>
      </c>
      <c r="MH133" s="181">
        <v>1</v>
      </c>
      <c r="MI133" s="181">
        <v>0</v>
      </c>
      <c r="MJ133" s="181">
        <v>0</v>
      </c>
      <c r="MK133" s="181">
        <v>0</v>
      </c>
      <c r="ML133" s="181">
        <v>0</v>
      </c>
      <c r="MM133" s="181">
        <v>0</v>
      </c>
      <c r="MN133" s="181">
        <v>0</v>
      </c>
      <c r="MO133" s="181">
        <v>0</v>
      </c>
      <c r="MP133" s="181">
        <v>0</v>
      </c>
      <c r="MQ133" s="181">
        <v>0</v>
      </c>
      <c r="MR133" s="181">
        <v>0</v>
      </c>
      <c r="MS133" s="181">
        <v>0</v>
      </c>
      <c r="MT133" s="181">
        <v>0</v>
      </c>
      <c r="MU133" s="181">
        <v>2</v>
      </c>
      <c r="MV133" s="181">
        <v>6</v>
      </c>
      <c r="MW133" s="13"/>
      <c r="MX133" s="74" t="s">
        <v>65</v>
      </c>
      <c r="MY133" s="127">
        <v>6</v>
      </c>
      <c r="MZ133" s="127">
        <v>0</v>
      </c>
      <c r="NA133" s="127">
        <v>0</v>
      </c>
      <c r="NB133" s="127">
        <v>0</v>
      </c>
      <c r="NC133" s="127">
        <v>0</v>
      </c>
      <c r="ND133" s="127">
        <v>0</v>
      </c>
      <c r="NE133" s="127">
        <v>0</v>
      </c>
      <c r="NF133" s="127">
        <v>0</v>
      </c>
      <c r="NG133" s="127">
        <v>0</v>
      </c>
      <c r="NH133" s="127">
        <v>0</v>
      </c>
      <c r="NI133" s="127">
        <v>0</v>
      </c>
      <c r="NJ133" s="127">
        <v>1</v>
      </c>
      <c r="NK133" s="127">
        <v>0</v>
      </c>
      <c r="NL133" s="127">
        <v>0</v>
      </c>
      <c r="NM133" s="127">
        <v>0</v>
      </c>
      <c r="NN133" s="127">
        <v>0</v>
      </c>
      <c r="NO133" s="127">
        <v>0</v>
      </c>
      <c r="NP133" s="127">
        <v>0</v>
      </c>
      <c r="NQ133" s="127">
        <v>7</v>
      </c>
      <c r="NR133" s="13"/>
      <c r="NS133" s="74" t="s">
        <v>65</v>
      </c>
      <c r="NT133" s="127">
        <v>16</v>
      </c>
      <c r="NU133" s="127">
        <v>1</v>
      </c>
      <c r="NV133" s="127">
        <v>2</v>
      </c>
      <c r="NW133" s="127">
        <v>1</v>
      </c>
      <c r="NX133" s="127">
        <v>1</v>
      </c>
      <c r="NY133" s="127">
        <v>0</v>
      </c>
      <c r="NZ133" s="127">
        <v>0</v>
      </c>
      <c r="OA133" s="127">
        <v>0</v>
      </c>
      <c r="OB133" s="127">
        <v>0</v>
      </c>
      <c r="OC133" s="127">
        <v>0</v>
      </c>
      <c r="OD133" s="127">
        <v>0</v>
      </c>
      <c r="OE133" s="127">
        <v>0</v>
      </c>
      <c r="OF133" s="127">
        <v>0</v>
      </c>
      <c r="OG133" s="127">
        <v>0</v>
      </c>
      <c r="OH133" s="127">
        <v>0</v>
      </c>
      <c r="OI133" s="127">
        <v>0</v>
      </c>
      <c r="OJ133" s="127">
        <v>0</v>
      </c>
      <c r="OK133" s="127">
        <v>0</v>
      </c>
      <c r="OL133" s="127">
        <v>21</v>
      </c>
    </row>
    <row r="134" spans="1:402" ht="15.5" thickBot="1">
      <c r="A134" s="17" t="s">
        <v>66</v>
      </c>
      <c r="B134" s="89">
        <v>49</v>
      </c>
      <c r="C134" s="89">
        <v>0</v>
      </c>
      <c r="D134" s="89">
        <v>0</v>
      </c>
      <c r="E134" s="89">
        <v>0</v>
      </c>
      <c r="F134" s="89">
        <v>0</v>
      </c>
      <c r="G134" s="89">
        <v>2</v>
      </c>
      <c r="H134" s="89">
        <v>0</v>
      </c>
      <c r="I134" s="89">
        <v>2</v>
      </c>
      <c r="J134" s="89">
        <v>2</v>
      </c>
      <c r="K134" s="89">
        <v>0</v>
      </c>
      <c r="L134" s="89">
        <v>1</v>
      </c>
      <c r="M134" s="89">
        <v>4</v>
      </c>
      <c r="N134" s="89">
        <v>0</v>
      </c>
      <c r="O134" s="89">
        <v>0</v>
      </c>
      <c r="P134" s="89">
        <v>0</v>
      </c>
      <c r="Q134" s="89">
        <v>0</v>
      </c>
      <c r="R134" s="89">
        <v>0</v>
      </c>
      <c r="S134" s="89">
        <v>0</v>
      </c>
      <c r="T134" s="89">
        <v>60</v>
      </c>
      <c r="U134" s="104"/>
      <c r="V134" s="17" t="s">
        <v>66</v>
      </c>
      <c r="W134" s="89">
        <v>46</v>
      </c>
      <c r="X134" s="89">
        <v>0</v>
      </c>
      <c r="Y134" s="89">
        <v>1</v>
      </c>
      <c r="Z134" s="89">
        <v>0</v>
      </c>
      <c r="AA134" s="89">
        <v>1</v>
      </c>
      <c r="AB134" s="89">
        <v>0</v>
      </c>
      <c r="AC134" s="89">
        <v>1</v>
      </c>
      <c r="AD134" s="89">
        <v>1</v>
      </c>
      <c r="AE134" s="89">
        <v>5</v>
      </c>
      <c r="AF134" s="89">
        <v>0</v>
      </c>
      <c r="AG134" s="109">
        <v>1</v>
      </c>
      <c r="AH134" s="89">
        <v>1</v>
      </c>
      <c r="AI134" s="89">
        <v>0</v>
      </c>
      <c r="AJ134" s="89">
        <v>0</v>
      </c>
      <c r="AK134" s="89">
        <v>0</v>
      </c>
      <c r="AL134" s="89">
        <v>0</v>
      </c>
      <c r="AM134" s="89">
        <v>0</v>
      </c>
      <c r="AN134" s="89">
        <v>0</v>
      </c>
      <c r="AO134" s="89">
        <v>57</v>
      </c>
      <c r="AP134" s="104"/>
      <c r="AQ134" s="17" t="s">
        <v>66</v>
      </c>
      <c r="AR134" s="89">
        <v>35</v>
      </c>
      <c r="AS134" s="89">
        <v>0</v>
      </c>
      <c r="AT134" s="89">
        <v>0</v>
      </c>
      <c r="AU134" s="89">
        <v>0</v>
      </c>
      <c r="AV134" s="89">
        <v>0</v>
      </c>
      <c r="AW134" s="89">
        <v>1</v>
      </c>
      <c r="AX134" s="89">
        <v>0</v>
      </c>
      <c r="AY134" s="89">
        <v>0</v>
      </c>
      <c r="AZ134" s="89">
        <v>3</v>
      </c>
      <c r="BA134" s="89">
        <v>0</v>
      </c>
      <c r="BB134" s="89">
        <v>0</v>
      </c>
      <c r="BC134" s="89">
        <v>0</v>
      </c>
      <c r="BD134" s="89">
        <v>0</v>
      </c>
      <c r="BE134" s="89">
        <v>0</v>
      </c>
      <c r="BF134" s="89">
        <v>0</v>
      </c>
      <c r="BG134" s="89">
        <v>0</v>
      </c>
      <c r="BH134" s="89">
        <v>0</v>
      </c>
      <c r="BI134" s="89">
        <v>0</v>
      </c>
      <c r="BJ134" s="89">
        <v>39</v>
      </c>
      <c r="BK134" s="13"/>
      <c r="BL134" s="115" t="s">
        <v>66</v>
      </c>
      <c r="BM134" s="118">
        <v>26</v>
      </c>
      <c r="BN134" s="118">
        <v>0</v>
      </c>
      <c r="BO134" s="118">
        <v>2</v>
      </c>
      <c r="BP134" s="118">
        <v>0</v>
      </c>
      <c r="BQ134" s="118">
        <v>0</v>
      </c>
      <c r="BR134" s="118">
        <v>0</v>
      </c>
      <c r="BS134" s="118">
        <v>0</v>
      </c>
      <c r="BT134" s="118">
        <v>0</v>
      </c>
      <c r="BU134" s="118">
        <v>3</v>
      </c>
      <c r="BV134" s="118">
        <v>0</v>
      </c>
      <c r="BW134" s="118">
        <v>1</v>
      </c>
      <c r="BX134" s="118">
        <v>1</v>
      </c>
      <c r="BY134" s="118">
        <v>0</v>
      </c>
      <c r="BZ134" s="118">
        <v>0</v>
      </c>
      <c r="CA134" s="118">
        <v>0</v>
      </c>
      <c r="CB134" s="118">
        <v>0</v>
      </c>
      <c r="CC134" s="118">
        <v>0</v>
      </c>
      <c r="CD134" s="118">
        <v>1</v>
      </c>
      <c r="CE134" s="119">
        <v>34</v>
      </c>
      <c r="CF134" s="13"/>
      <c r="CG134" s="118" t="s">
        <v>66</v>
      </c>
      <c r="CH134" s="118">
        <v>61</v>
      </c>
      <c r="CI134" s="118">
        <v>0</v>
      </c>
      <c r="CJ134" s="118">
        <v>2</v>
      </c>
      <c r="CK134" s="118">
        <v>0</v>
      </c>
      <c r="CL134" s="118">
        <v>0</v>
      </c>
      <c r="CM134" s="118">
        <v>0</v>
      </c>
      <c r="CN134" s="118">
        <v>0</v>
      </c>
      <c r="CO134" s="118">
        <v>0</v>
      </c>
      <c r="CP134" s="118">
        <v>1</v>
      </c>
      <c r="CQ134" s="118">
        <v>0</v>
      </c>
      <c r="CR134" s="118">
        <v>1</v>
      </c>
      <c r="CS134" s="118">
        <v>0</v>
      </c>
      <c r="CT134" s="118">
        <v>0</v>
      </c>
      <c r="CU134" s="118">
        <v>0</v>
      </c>
      <c r="CV134" s="118">
        <v>0</v>
      </c>
      <c r="CW134" s="118">
        <v>0</v>
      </c>
      <c r="CX134" s="118">
        <v>0</v>
      </c>
      <c r="CY134" s="118">
        <v>0</v>
      </c>
      <c r="CZ134" s="118">
        <v>65</v>
      </c>
      <c r="DA134" s="13"/>
      <c r="DB134" s="118" t="s">
        <v>66</v>
      </c>
      <c r="DC134" s="118">
        <v>19</v>
      </c>
      <c r="DD134" s="118">
        <v>0</v>
      </c>
      <c r="DE134" s="118">
        <v>3</v>
      </c>
      <c r="DF134" s="118">
        <v>0</v>
      </c>
      <c r="DG134" s="118">
        <v>1</v>
      </c>
      <c r="DH134" s="118">
        <v>0</v>
      </c>
      <c r="DI134" s="118">
        <v>1</v>
      </c>
      <c r="DJ134" s="118">
        <v>2</v>
      </c>
      <c r="DK134" s="118">
        <v>1</v>
      </c>
      <c r="DL134" s="118">
        <v>0</v>
      </c>
      <c r="DM134" s="118">
        <v>1</v>
      </c>
      <c r="DN134" s="118">
        <v>0</v>
      </c>
      <c r="DO134" s="118">
        <v>0</v>
      </c>
      <c r="DP134" s="118">
        <v>0</v>
      </c>
      <c r="DQ134" s="118">
        <v>0</v>
      </c>
      <c r="DR134" s="118">
        <v>0</v>
      </c>
      <c r="DS134" s="118">
        <v>0</v>
      </c>
      <c r="DT134" s="118">
        <v>5</v>
      </c>
      <c r="DU134" s="118">
        <v>33</v>
      </c>
      <c r="DV134" s="13"/>
      <c r="DW134" s="118" t="s">
        <v>66</v>
      </c>
      <c r="DX134" s="118">
        <v>20</v>
      </c>
      <c r="DY134" s="118">
        <v>0</v>
      </c>
      <c r="DZ134" s="118">
        <v>4</v>
      </c>
      <c r="EA134" s="118">
        <v>0</v>
      </c>
      <c r="EB134" s="118">
        <v>1</v>
      </c>
      <c r="EC134" s="118">
        <v>0</v>
      </c>
      <c r="ED134" s="118">
        <v>0</v>
      </c>
      <c r="EE134" s="118">
        <v>2</v>
      </c>
      <c r="EF134" s="118">
        <v>1</v>
      </c>
      <c r="EG134" s="118">
        <v>0</v>
      </c>
      <c r="EH134" s="118">
        <v>4</v>
      </c>
      <c r="EI134" s="118">
        <v>0</v>
      </c>
      <c r="EJ134" s="118">
        <v>0</v>
      </c>
      <c r="EK134" s="118">
        <v>0</v>
      </c>
      <c r="EL134" s="118">
        <v>0</v>
      </c>
      <c r="EM134" s="118">
        <v>0</v>
      </c>
      <c r="EN134" s="118">
        <v>0</v>
      </c>
      <c r="EO134" s="118">
        <v>8</v>
      </c>
      <c r="EP134" s="118">
        <v>40</v>
      </c>
      <c r="EQ134" s="13"/>
      <c r="ER134" s="118" t="s">
        <v>66</v>
      </c>
      <c r="ES134" s="118">
        <v>31</v>
      </c>
      <c r="ET134" s="118">
        <v>0</v>
      </c>
      <c r="EU134" s="118">
        <v>3</v>
      </c>
      <c r="EV134" s="118">
        <v>1</v>
      </c>
      <c r="EW134" s="118">
        <v>1</v>
      </c>
      <c r="EX134" s="118">
        <v>0</v>
      </c>
      <c r="EY134" s="118">
        <v>0</v>
      </c>
      <c r="EZ134" s="118">
        <v>6</v>
      </c>
      <c r="FA134" s="118">
        <v>15</v>
      </c>
      <c r="FB134" s="118">
        <v>0</v>
      </c>
      <c r="FC134" s="118">
        <v>1</v>
      </c>
      <c r="FD134" s="118">
        <v>0</v>
      </c>
      <c r="FE134" s="118">
        <v>1</v>
      </c>
      <c r="FF134" s="118">
        <v>0</v>
      </c>
      <c r="FG134" s="118">
        <v>0</v>
      </c>
      <c r="FH134" s="118">
        <v>2</v>
      </c>
      <c r="FI134" s="118">
        <v>0</v>
      </c>
      <c r="FJ134" s="118">
        <v>4</v>
      </c>
      <c r="FK134" s="118">
        <v>65</v>
      </c>
      <c r="FL134" s="13"/>
      <c r="FM134" s="118" t="s">
        <v>66</v>
      </c>
      <c r="FN134" s="118">
        <v>19</v>
      </c>
      <c r="FO134" s="118">
        <v>0</v>
      </c>
      <c r="FP134" s="118">
        <v>0</v>
      </c>
      <c r="FQ134" s="118">
        <v>0</v>
      </c>
      <c r="FR134" s="118">
        <v>2</v>
      </c>
      <c r="FS134" s="118">
        <v>1</v>
      </c>
      <c r="FT134" s="118">
        <v>0</v>
      </c>
      <c r="FU134" s="118">
        <v>1</v>
      </c>
      <c r="FV134" s="118">
        <v>6</v>
      </c>
      <c r="FW134" s="118">
        <v>0</v>
      </c>
      <c r="FX134" s="118">
        <v>3</v>
      </c>
      <c r="FY134" s="118">
        <v>0</v>
      </c>
      <c r="FZ134" s="118">
        <v>0</v>
      </c>
      <c r="GA134" s="118">
        <v>2</v>
      </c>
      <c r="GB134" s="118">
        <v>0</v>
      </c>
      <c r="GC134" s="118">
        <v>0</v>
      </c>
      <c r="GD134" s="118">
        <v>0</v>
      </c>
      <c r="GE134" s="118">
        <v>16</v>
      </c>
      <c r="GF134" s="118">
        <v>50</v>
      </c>
      <c r="GG134" s="13"/>
      <c r="GH134" s="118" t="s">
        <v>66</v>
      </c>
      <c r="GI134" s="118">
        <v>14</v>
      </c>
      <c r="GJ134" s="118">
        <v>0</v>
      </c>
      <c r="GK134" s="118">
        <v>1</v>
      </c>
      <c r="GL134" s="118">
        <v>0</v>
      </c>
      <c r="GM134" s="118">
        <v>0</v>
      </c>
      <c r="GN134" s="118">
        <v>0</v>
      </c>
      <c r="GO134" s="118">
        <v>0</v>
      </c>
      <c r="GP134" s="118">
        <v>0</v>
      </c>
      <c r="GQ134" s="118">
        <v>3</v>
      </c>
      <c r="GR134" s="118">
        <v>0</v>
      </c>
      <c r="GS134" s="118">
        <v>0</v>
      </c>
      <c r="GT134" s="118">
        <v>0</v>
      </c>
      <c r="GU134" s="118">
        <v>0</v>
      </c>
      <c r="GV134" s="118">
        <v>0</v>
      </c>
      <c r="GW134" s="118">
        <v>0</v>
      </c>
      <c r="GX134" s="118">
        <v>0</v>
      </c>
      <c r="GY134" s="118">
        <v>2</v>
      </c>
      <c r="GZ134" s="118">
        <v>3</v>
      </c>
      <c r="HA134" s="118">
        <v>23</v>
      </c>
      <c r="HB134" s="13"/>
      <c r="HC134" s="118" t="s">
        <v>66</v>
      </c>
      <c r="HD134" s="118">
        <v>13</v>
      </c>
      <c r="HE134" s="118">
        <v>0</v>
      </c>
      <c r="HF134" s="118">
        <v>2</v>
      </c>
      <c r="HG134" s="118">
        <v>1</v>
      </c>
      <c r="HH134" s="118">
        <v>0</v>
      </c>
      <c r="HI134" s="118">
        <v>1</v>
      </c>
      <c r="HJ134" s="118">
        <v>0</v>
      </c>
      <c r="HK134" s="118">
        <v>2</v>
      </c>
      <c r="HL134" s="118">
        <v>10</v>
      </c>
      <c r="HM134" s="118">
        <v>0</v>
      </c>
      <c r="HN134" s="118">
        <v>0</v>
      </c>
      <c r="HO134" s="118">
        <v>0</v>
      </c>
      <c r="HP134" s="118">
        <v>0</v>
      </c>
      <c r="HQ134" s="118">
        <v>0</v>
      </c>
      <c r="HR134" s="118">
        <v>0</v>
      </c>
      <c r="HS134" s="118">
        <v>0</v>
      </c>
      <c r="HT134" s="118">
        <v>0</v>
      </c>
      <c r="HU134" s="118">
        <v>1</v>
      </c>
      <c r="HV134" s="118">
        <v>30</v>
      </c>
      <c r="HW134" s="13"/>
      <c r="HX134" s="118" t="s">
        <v>66</v>
      </c>
      <c r="HY134" s="118">
        <v>14</v>
      </c>
      <c r="HZ134" s="118">
        <v>0</v>
      </c>
      <c r="IA134" s="118">
        <v>0</v>
      </c>
      <c r="IB134" s="118">
        <v>0</v>
      </c>
      <c r="IC134" s="118">
        <v>0</v>
      </c>
      <c r="ID134" s="118">
        <v>2</v>
      </c>
      <c r="IE134" s="118">
        <v>0</v>
      </c>
      <c r="IF134" s="118">
        <v>2</v>
      </c>
      <c r="IG134" s="118">
        <v>4</v>
      </c>
      <c r="IH134" s="118">
        <v>0</v>
      </c>
      <c r="II134" s="118">
        <v>2</v>
      </c>
      <c r="IJ134" s="118">
        <v>0</v>
      </c>
      <c r="IK134" s="118">
        <v>0</v>
      </c>
      <c r="IL134" s="118">
        <v>0</v>
      </c>
      <c r="IM134" s="118">
        <v>0</v>
      </c>
      <c r="IN134" s="118">
        <v>0</v>
      </c>
      <c r="IO134" s="118">
        <v>0</v>
      </c>
      <c r="IP134" s="118">
        <v>0</v>
      </c>
      <c r="IQ134" s="118">
        <v>24</v>
      </c>
      <c r="IR134" s="13"/>
      <c r="IS134" s="118" t="s">
        <v>66</v>
      </c>
      <c r="IT134" s="118">
        <v>12</v>
      </c>
      <c r="IU134" s="118">
        <v>0</v>
      </c>
      <c r="IV134" s="118">
        <v>1</v>
      </c>
      <c r="IW134" s="118">
        <v>0</v>
      </c>
      <c r="IX134" s="118">
        <v>2</v>
      </c>
      <c r="IY134" s="118">
        <v>1</v>
      </c>
      <c r="IZ134" s="118">
        <v>0</v>
      </c>
      <c r="JA134" s="118">
        <v>6</v>
      </c>
      <c r="JB134" s="118">
        <v>2</v>
      </c>
      <c r="JC134" s="118">
        <v>0</v>
      </c>
      <c r="JD134" s="118">
        <v>2</v>
      </c>
      <c r="JE134" s="118">
        <v>0</v>
      </c>
      <c r="JF134" s="118">
        <v>0</v>
      </c>
      <c r="JG134" s="118">
        <v>0</v>
      </c>
      <c r="JH134" s="118">
        <v>0</v>
      </c>
      <c r="JI134" s="118">
        <v>0</v>
      </c>
      <c r="JJ134" s="118">
        <v>0</v>
      </c>
      <c r="JK134" s="118">
        <v>0</v>
      </c>
      <c r="JL134" s="118">
        <v>26</v>
      </c>
      <c r="JM134" s="13"/>
      <c r="JN134" s="70" t="s">
        <v>66</v>
      </c>
      <c r="JO134" s="122">
        <v>41</v>
      </c>
      <c r="JP134" s="122">
        <v>0</v>
      </c>
      <c r="JQ134" s="122">
        <v>0</v>
      </c>
      <c r="JR134" s="122">
        <v>1</v>
      </c>
      <c r="JS134" s="122">
        <v>0</v>
      </c>
      <c r="JT134" s="122">
        <v>0</v>
      </c>
      <c r="JU134" s="122">
        <v>1</v>
      </c>
      <c r="JV134" s="122">
        <v>2</v>
      </c>
      <c r="JW134" s="122">
        <v>6</v>
      </c>
      <c r="JX134" s="122">
        <v>0</v>
      </c>
      <c r="JY134" s="122">
        <v>0</v>
      </c>
      <c r="JZ134" s="122">
        <v>1</v>
      </c>
      <c r="KA134" s="122">
        <v>0</v>
      </c>
      <c r="KB134" s="122">
        <v>0</v>
      </c>
      <c r="KC134" s="122">
        <v>0</v>
      </c>
      <c r="KD134" s="122">
        <v>0</v>
      </c>
      <c r="KE134" s="122">
        <v>0</v>
      </c>
      <c r="KF134" s="122">
        <v>0</v>
      </c>
      <c r="KG134" s="123">
        <v>52</v>
      </c>
      <c r="KH134" s="13"/>
      <c r="KI134" s="118" t="s">
        <v>66</v>
      </c>
      <c r="KJ134" s="118">
        <v>13</v>
      </c>
      <c r="KK134" s="118">
        <v>0</v>
      </c>
      <c r="KL134" s="118">
        <v>1</v>
      </c>
      <c r="KM134" s="118">
        <v>18</v>
      </c>
      <c r="KN134" s="118">
        <v>3</v>
      </c>
      <c r="KO134" s="118">
        <v>3</v>
      </c>
      <c r="KP134" s="118">
        <v>0</v>
      </c>
      <c r="KQ134" s="118">
        <v>1</v>
      </c>
      <c r="KR134" s="118">
        <v>0</v>
      </c>
      <c r="KS134" s="118">
        <v>0</v>
      </c>
      <c r="KT134" s="118">
        <v>4</v>
      </c>
      <c r="KU134" s="118">
        <v>0</v>
      </c>
      <c r="KV134" s="118">
        <v>1</v>
      </c>
      <c r="KW134" s="118">
        <v>0</v>
      </c>
      <c r="KX134" s="118">
        <v>0</v>
      </c>
      <c r="KY134" s="118">
        <v>0</v>
      </c>
      <c r="KZ134" s="118">
        <v>0</v>
      </c>
      <c r="LA134" s="118">
        <v>0</v>
      </c>
      <c r="LB134" s="118">
        <v>44</v>
      </c>
      <c r="LC134" s="13"/>
      <c r="LD134" s="58" t="s">
        <v>66</v>
      </c>
      <c r="LE134" s="65">
        <v>12</v>
      </c>
      <c r="LF134" s="65">
        <v>1</v>
      </c>
      <c r="LG134" s="65">
        <v>0</v>
      </c>
      <c r="LH134" s="65">
        <v>14</v>
      </c>
      <c r="LI134" s="65">
        <v>0</v>
      </c>
      <c r="LJ134" s="65">
        <v>3</v>
      </c>
      <c r="LK134" s="65">
        <v>0</v>
      </c>
      <c r="LL134" s="65">
        <v>0</v>
      </c>
      <c r="LM134" s="65">
        <v>0</v>
      </c>
      <c r="LN134" s="65">
        <v>0</v>
      </c>
      <c r="LO134" s="65">
        <v>1</v>
      </c>
      <c r="LP134" s="65">
        <v>0</v>
      </c>
      <c r="LQ134" s="65">
        <v>3</v>
      </c>
      <c r="LR134" s="65">
        <v>0</v>
      </c>
      <c r="LS134" s="65">
        <v>0</v>
      </c>
      <c r="LT134" s="65">
        <v>0</v>
      </c>
      <c r="LU134" s="65">
        <v>0</v>
      </c>
      <c r="LV134" s="65">
        <v>0</v>
      </c>
      <c r="LW134" s="65">
        <v>0</v>
      </c>
      <c r="LX134" s="65">
        <v>0</v>
      </c>
      <c r="LY134" s="65">
        <v>0</v>
      </c>
      <c r="LZ134" s="65">
        <v>0</v>
      </c>
      <c r="MA134" s="65">
        <v>34</v>
      </c>
      <c r="MB134" s="13"/>
      <c r="MC134" s="180" t="s">
        <v>66</v>
      </c>
      <c r="MD134" s="181">
        <v>6</v>
      </c>
      <c r="ME134" s="181">
        <v>0</v>
      </c>
      <c r="MF134" s="181">
        <v>0</v>
      </c>
      <c r="MG134" s="181">
        <v>1</v>
      </c>
      <c r="MH134" s="181">
        <v>0</v>
      </c>
      <c r="MI134" s="181">
        <v>3</v>
      </c>
      <c r="MJ134" s="181">
        <v>0</v>
      </c>
      <c r="MK134" s="181">
        <v>1</v>
      </c>
      <c r="ML134" s="181">
        <v>0</v>
      </c>
      <c r="MM134" s="181">
        <v>0</v>
      </c>
      <c r="MN134" s="181">
        <v>0</v>
      </c>
      <c r="MO134" s="181">
        <v>2</v>
      </c>
      <c r="MP134" s="181">
        <v>0</v>
      </c>
      <c r="MQ134" s="181">
        <v>0</v>
      </c>
      <c r="MR134" s="181">
        <v>0</v>
      </c>
      <c r="MS134" s="181">
        <v>0</v>
      </c>
      <c r="MT134" s="181">
        <v>0</v>
      </c>
      <c r="MU134" s="181">
        <v>0</v>
      </c>
      <c r="MV134" s="181">
        <v>13</v>
      </c>
      <c r="MW134" s="13"/>
      <c r="MX134" s="74" t="s">
        <v>66</v>
      </c>
      <c r="MY134" s="127">
        <v>19</v>
      </c>
      <c r="MZ134" s="127">
        <v>0</v>
      </c>
      <c r="NA134" s="127">
        <v>0</v>
      </c>
      <c r="NB134" s="127">
        <v>2</v>
      </c>
      <c r="NC134" s="127">
        <v>0</v>
      </c>
      <c r="ND134" s="127">
        <v>0</v>
      </c>
      <c r="NE134" s="127">
        <v>0</v>
      </c>
      <c r="NF134" s="127">
        <v>2</v>
      </c>
      <c r="NG134" s="127">
        <v>0</v>
      </c>
      <c r="NH134" s="127">
        <v>0</v>
      </c>
      <c r="NI134" s="127">
        <v>3</v>
      </c>
      <c r="NJ134" s="127">
        <v>0</v>
      </c>
      <c r="NK134" s="127">
        <v>0</v>
      </c>
      <c r="NL134" s="127">
        <v>0</v>
      </c>
      <c r="NM134" s="127">
        <v>0</v>
      </c>
      <c r="NN134" s="127">
        <v>0</v>
      </c>
      <c r="NO134" s="127">
        <v>0</v>
      </c>
      <c r="NP134" s="127">
        <v>0</v>
      </c>
      <c r="NQ134" s="127">
        <v>26</v>
      </c>
      <c r="NR134" s="13"/>
      <c r="NS134" s="74" t="s">
        <v>66</v>
      </c>
      <c r="NT134" s="127">
        <v>25</v>
      </c>
      <c r="NU134" s="127">
        <v>3</v>
      </c>
      <c r="NV134" s="127">
        <v>0</v>
      </c>
      <c r="NW134" s="127">
        <v>0</v>
      </c>
      <c r="NX134" s="127">
        <v>2</v>
      </c>
      <c r="NY134" s="127">
        <v>0</v>
      </c>
      <c r="NZ134" s="127">
        <v>0</v>
      </c>
      <c r="OA134" s="127">
        <v>1</v>
      </c>
      <c r="OB134" s="127">
        <v>0</v>
      </c>
      <c r="OC134" s="127">
        <v>0</v>
      </c>
      <c r="OD134" s="127">
        <v>1</v>
      </c>
      <c r="OE134" s="127">
        <v>0</v>
      </c>
      <c r="OF134" s="127">
        <v>0</v>
      </c>
      <c r="OG134" s="127">
        <v>0</v>
      </c>
      <c r="OH134" s="127">
        <v>0</v>
      </c>
      <c r="OI134" s="127">
        <v>0</v>
      </c>
      <c r="OJ134" s="127">
        <v>0</v>
      </c>
      <c r="OK134" s="127">
        <v>2</v>
      </c>
      <c r="OL134" s="127">
        <v>34</v>
      </c>
    </row>
    <row r="135" spans="1:402" ht="15.5" thickBot="1">
      <c r="A135" s="17" t="s">
        <v>67</v>
      </c>
      <c r="B135" s="89">
        <v>57</v>
      </c>
      <c r="C135" s="89">
        <v>0</v>
      </c>
      <c r="D135" s="89">
        <v>2</v>
      </c>
      <c r="E135" s="89">
        <v>1</v>
      </c>
      <c r="F135" s="89">
        <v>0</v>
      </c>
      <c r="G135" s="89">
        <v>1</v>
      </c>
      <c r="H135" s="89">
        <v>0</v>
      </c>
      <c r="I135" s="89">
        <v>4</v>
      </c>
      <c r="J135" s="89">
        <v>7</v>
      </c>
      <c r="K135" s="89">
        <v>0</v>
      </c>
      <c r="L135" s="89">
        <v>3</v>
      </c>
      <c r="M135" s="89">
        <v>0</v>
      </c>
      <c r="N135" s="89">
        <v>5</v>
      </c>
      <c r="O135" s="89">
        <v>0</v>
      </c>
      <c r="P135" s="89">
        <v>0</v>
      </c>
      <c r="Q135" s="89">
        <v>0</v>
      </c>
      <c r="R135" s="89">
        <v>12</v>
      </c>
      <c r="S135" s="89">
        <v>0</v>
      </c>
      <c r="T135" s="89">
        <v>92</v>
      </c>
      <c r="U135" s="104"/>
      <c r="V135" s="17" t="s">
        <v>67</v>
      </c>
      <c r="W135" s="89">
        <v>31</v>
      </c>
      <c r="X135" s="89">
        <v>0</v>
      </c>
      <c r="Y135" s="89">
        <v>3</v>
      </c>
      <c r="Z135" s="89">
        <v>1</v>
      </c>
      <c r="AA135" s="89">
        <v>0</v>
      </c>
      <c r="AB135" s="89">
        <v>0</v>
      </c>
      <c r="AC135" s="89">
        <v>0</v>
      </c>
      <c r="AD135" s="89">
        <v>3</v>
      </c>
      <c r="AE135" s="89">
        <v>21</v>
      </c>
      <c r="AF135" s="89">
        <v>0</v>
      </c>
      <c r="AG135" s="109">
        <v>1</v>
      </c>
      <c r="AH135" s="89">
        <v>3</v>
      </c>
      <c r="AI135" s="89">
        <v>22</v>
      </c>
      <c r="AJ135" s="89">
        <v>0</v>
      </c>
      <c r="AK135" s="89">
        <v>0</v>
      </c>
      <c r="AL135" s="89">
        <v>0</v>
      </c>
      <c r="AM135" s="89">
        <v>19</v>
      </c>
      <c r="AN135" s="89">
        <v>0</v>
      </c>
      <c r="AO135" s="89">
        <v>104</v>
      </c>
      <c r="AP135" s="104"/>
      <c r="AQ135" s="17" t="s">
        <v>67</v>
      </c>
      <c r="AR135" s="89">
        <v>28</v>
      </c>
      <c r="AS135" s="89">
        <v>0</v>
      </c>
      <c r="AT135" s="89">
        <v>1</v>
      </c>
      <c r="AU135" s="89">
        <v>0</v>
      </c>
      <c r="AV135" s="89">
        <v>0</v>
      </c>
      <c r="AW135" s="89">
        <v>3</v>
      </c>
      <c r="AX135" s="89">
        <v>0</v>
      </c>
      <c r="AY135" s="89">
        <v>2</v>
      </c>
      <c r="AZ135" s="89">
        <v>21</v>
      </c>
      <c r="BA135" s="89">
        <v>0</v>
      </c>
      <c r="BB135" s="89">
        <v>1</v>
      </c>
      <c r="BC135" s="89">
        <v>0</v>
      </c>
      <c r="BD135" s="89">
        <v>0</v>
      </c>
      <c r="BE135" s="89">
        <v>0</v>
      </c>
      <c r="BF135" s="89">
        <v>0</v>
      </c>
      <c r="BG135" s="89">
        <v>0</v>
      </c>
      <c r="BH135" s="89">
        <v>21</v>
      </c>
      <c r="BI135" s="89">
        <v>0</v>
      </c>
      <c r="BJ135" s="89">
        <v>77</v>
      </c>
      <c r="BK135" s="13"/>
      <c r="BL135" s="115" t="s">
        <v>67</v>
      </c>
      <c r="BM135" s="118">
        <v>18</v>
      </c>
      <c r="BN135" s="118">
        <v>0</v>
      </c>
      <c r="BO135" s="118">
        <v>0</v>
      </c>
      <c r="BP135" s="118">
        <v>0</v>
      </c>
      <c r="BQ135" s="118">
        <v>0</v>
      </c>
      <c r="BR135" s="118">
        <v>1</v>
      </c>
      <c r="BS135" s="118">
        <v>0</v>
      </c>
      <c r="BT135" s="118">
        <v>6</v>
      </c>
      <c r="BU135" s="118">
        <v>15</v>
      </c>
      <c r="BV135" s="118">
        <v>0</v>
      </c>
      <c r="BW135" s="118">
        <v>2</v>
      </c>
      <c r="BX135" s="118">
        <v>0</v>
      </c>
      <c r="BY135" s="118">
        <v>4</v>
      </c>
      <c r="BZ135" s="118">
        <v>0</v>
      </c>
      <c r="CA135" s="118">
        <v>0</v>
      </c>
      <c r="CB135" s="118">
        <v>0</v>
      </c>
      <c r="CC135" s="118">
        <v>20</v>
      </c>
      <c r="CD135" s="118">
        <v>0</v>
      </c>
      <c r="CE135" s="119">
        <v>66</v>
      </c>
      <c r="CF135" s="13"/>
      <c r="CG135" s="118" t="s">
        <v>67</v>
      </c>
      <c r="CH135" s="118">
        <v>25</v>
      </c>
      <c r="CI135" s="118">
        <v>0</v>
      </c>
      <c r="CJ135" s="118">
        <v>2</v>
      </c>
      <c r="CK135" s="118">
        <v>0</v>
      </c>
      <c r="CL135" s="118">
        <v>0</v>
      </c>
      <c r="CM135" s="118">
        <v>6</v>
      </c>
      <c r="CN135" s="118">
        <v>0</v>
      </c>
      <c r="CO135" s="118">
        <v>3</v>
      </c>
      <c r="CP135" s="118">
        <v>11</v>
      </c>
      <c r="CQ135" s="118">
        <v>0</v>
      </c>
      <c r="CR135" s="118">
        <v>0</v>
      </c>
      <c r="CS135" s="118">
        <v>0</v>
      </c>
      <c r="CT135" s="118">
        <v>0</v>
      </c>
      <c r="CU135" s="118">
        <v>0</v>
      </c>
      <c r="CV135" s="118">
        <v>0</v>
      </c>
      <c r="CW135" s="118">
        <v>0</v>
      </c>
      <c r="CX135" s="118">
        <v>31</v>
      </c>
      <c r="CY135" s="118">
        <v>0</v>
      </c>
      <c r="CZ135" s="118">
        <v>78</v>
      </c>
      <c r="DA135" s="13"/>
      <c r="DB135" s="118" t="s">
        <v>67</v>
      </c>
      <c r="DC135" s="118">
        <v>21</v>
      </c>
      <c r="DD135" s="118">
        <v>0</v>
      </c>
      <c r="DE135" s="118">
        <v>5</v>
      </c>
      <c r="DF135" s="118">
        <v>0</v>
      </c>
      <c r="DG135" s="118">
        <v>0</v>
      </c>
      <c r="DH135" s="118">
        <v>3</v>
      </c>
      <c r="DI135" s="118">
        <v>0</v>
      </c>
      <c r="DJ135" s="118">
        <v>12</v>
      </c>
      <c r="DK135" s="118">
        <v>16</v>
      </c>
      <c r="DL135" s="118">
        <v>0</v>
      </c>
      <c r="DM135" s="118">
        <v>1</v>
      </c>
      <c r="DN135" s="118">
        <v>0</v>
      </c>
      <c r="DO135" s="118">
        <v>0</v>
      </c>
      <c r="DP135" s="118">
        <v>0</v>
      </c>
      <c r="DQ135" s="118">
        <v>0</v>
      </c>
      <c r="DR135" s="118">
        <v>3</v>
      </c>
      <c r="DS135" s="118">
        <v>13</v>
      </c>
      <c r="DT135" s="118">
        <v>0</v>
      </c>
      <c r="DU135" s="118">
        <v>74</v>
      </c>
      <c r="DV135" s="13"/>
      <c r="DW135" s="118" t="s">
        <v>67</v>
      </c>
      <c r="DX135" s="118">
        <v>25</v>
      </c>
      <c r="DY135" s="118">
        <v>0</v>
      </c>
      <c r="DZ135" s="118">
        <v>3</v>
      </c>
      <c r="EA135" s="118">
        <v>0</v>
      </c>
      <c r="EB135" s="118">
        <v>0</v>
      </c>
      <c r="EC135" s="118">
        <v>0</v>
      </c>
      <c r="ED135" s="118">
        <v>0</v>
      </c>
      <c r="EE135" s="118">
        <v>1</v>
      </c>
      <c r="EF135" s="118">
        <v>24</v>
      </c>
      <c r="EG135" s="118">
        <v>0</v>
      </c>
      <c r="EH135" s="118">
        <v>13</v>
      </c>
      <c r="EI135" s="118">
        <v>1</v>
      </c>
      <c r="EJ135" s="118">
        <v>0</v>
      </c>
      <c r="EK135" s="118">
        <v>0</v>
      </c>
      <c r="EL135" s="118">
        <v>0</v>
      </c>
      <c r="EM135" s="118">
        <v>2</v>
      </c>
      <c r="EN135" s="118">
        <v>17</v>
      </c>
      <c r="EO135" s="118">
        <v>0</v>
      </c>
      <c r="EP135" s="118">
        <v>86</v>
      </c>
      <c r="EQ135" s="13"/>
      <c r="ER135" s="118" t="s">
        <v>67</v>
      </c>
      <c r="ES135" s="118">
        <v>18</v>
      </c>
      <c r="ET135" s="118">
        <v>0</v>
      </c>
      <c r="EU135" s="118">
        <v>1</v>
      </c>
      <c r="EV135" s="118">
        <v>0</v>
      </c>
      <c r="EW135" s="118">
        <v>0</v>
      </c>
      <c r="EX135" s="118">
        <v>4</v>
      </c>
      <c r="EY135" s="118">
        <v>1</v>
      </c>
      <c r="EZ135" s="118">
        <v>4</v>
      </c>
      <c r="FA135" s="118">
        <v>27</v>
      </c>
      <c r="FB135" s="118">
        <v>3</v>
      </c>
      <c r="FC135" s="118">
        <v>7</v>
      </c>
      <c r="FD135" s="118">
        <v>0</v>
      </c>
      <c r="FE135" s="118">
        <v>0</v>
      </c>
      <c r="FF135" s="118">
        <v>0</v>
      </c>
      <c r="FG135" s="118">
        <v>0</v>
      </c>
      <c r="FH135" s="118">
        <v>0</v>
      </c>
      <c r="FI135" s="118">
        <v>21</v>
      </c>
      <c r="FJ135" s="118">
        <v>6</v>
      </c>
      <c r="FK135" s="118">
        <v>92</v>
      </c>
      <c r="FL135" s="13"/>
      <c r="FM135" s="118" t="s">
        <v>67</v>
      </c>
      <c r="FN135" s="118">
        <v>4</v>
      </c>
      <c r="FO135" s="118">
        <v>0</v>
      </c>
      <c r="FP135" s="118">
        <v>2</v>
      </c>
      <c r="FQ135" s="118">
        <v>1</v>
      </c>
      <c r="FR135" s="118">
        <v>1</v>
      </c>
      <c r="FS135" s="118">
        <v>1</v>
      </c>
      <c r="FT135" s="118">
        <v>0</v>
      </c>
      <c r="FU135" s="118">
        <v>0</v>
      </c>
      <c r="FV135" s="118">
        <v>25</v>
      </c>
      <c r="FW135" s="118">
        <v>0</v>
      </c>
      <c r="FX135" s="118">
        <v>4</v>
      </c>
      <c r="FY135" s="118">
        <v>0</v>
      </c>
      <c r="FZ135" s="118">
        <v>0</v>
      </c>
      <c r="GA135" s="118">
        <v>0</v>
      </c>
      <c r="GB135" s="118">
        <v>0</v>
      </c>
      <c r="GC135" s="118">
        <v>0</v>
      </c>
      <c r="GD135" s="118">
        <v>34</v>
      </c>
      <c r="GE135" s="118">
        <v>11</v>
      </c>
      <c r="GF135" s="118">
        <v>83</v>
      </c>
      <c r="GG135" s="13"/>
      <c r="GH135" s="118" t="s">
        <v>67</v>
      </c>
      <c r="GI135" s="118">
        <v>9</v>
      </c>
      <c r="GJ135" s="118">
        <v>0</v>
      </c>
      <c r="GK135" s="118">
        <v>3</v>
      </c>
      <c r="GL135" s="118">
        <v>0</v>
      </c>
      <c r="GM135" s="118">
        <v>0</v>
      </c>
      <c r="GN135" s="118">
        <v>0</v>
      </c>
      <c r="GO135" s="118">
        <v>0</v>
      </c>
      <c r="GP135" s="118">
        <v>3</v>
      </c>
      <c r="GQ135" s="118">
        <v>14</v>
      </c>
      <c r="GR135" s="118">
        <v>0</v>
      </c>
      <c r="GS135" s="118">
        <v>3</v>
      </c>
      <c r="GT135" s="118">
        <v>1</v>
      </c>
      <c r="GU135" s="118">
        <v>0</v>
      </c>
      <c r="GV135" s="118">
        <v>0</v>
      </c>
      <c r="GW135" s="118">
        <v>0</v>
      </c>
      <c r="GX135" s="118">
        <v>0</v>
      </c>
      <c r="GY135" s="118">
        <v>21</v>
      </c>
      <c r="GZ135" s="118">
        <v>2</v>
      </c>
      <c r="HA135" s="118">
        <v>56</v>
      </c>
      <c r="HB135" s="13"/>
      <c r="HC135" s="118" t="s">
        <v>67</v>
      </c>
      <c r="HD135" s="118">
        <v>22</v>
      </c>
      <c r="HE135" s="118">
        <v>0</v>
      </c>
      <c r="HF135" s="118">
        <v>2</v>
      </c>
      <c r="HG135" s="118">
        <v>1</v>
      </c>
      <c r="HH135" s="118">
        <v>0</v>
      </c>
      <c r="HI135" s="118">
        <v>0</v>
      </c>
      <c r="HJ135" s="118">
        <v>0</v>
      </c>
      <c r="HK135" s="118">
        <v>6</v>
      </c>
      <c r="HL135" s="118">
        <v>12</v>
      </c>
      <c r="HM135" s="118">
        <v>0</v>
      </c>
      <c r="HN135" s="118">
        <v>2</v>
      </c>
      <c r="HO135" s="118">
        <v>0</v>
      </c>
      <c r="HP135" s="118">
        <v>0</v>
      </c>
      <c r="HQ135" s="118">
        <v>0</v>
      </c>
      <c r="HR135" s="118">
        <v>0</v>
      </c>
      <c r="HS135" s="118">
        <v>0</v>
      </c>
      <c r="HT135" s="118">
        <v>17</v>
      </c>
      <c r="HU135" s="118">
        <v>1</v>
      </c>
      <c r="HV135" s="118">
        <v>63</v>
      </c>
      <c r="HW135" s="13"/>
      <c r="HX135" s="118" t="s">
        <v>67</v>
      </c>
      <c r="HY135" s="118">
        <v>8</v>
      </c>
      <c r="HZ135" s="118">
        <v>0</v>
      </c>
      <c r="IA135" s="118">
        <v>1</v>
      </c>
      <c r="IB135" s="118">
        <v>0</v>
      </c>
      <c r="IC135" s="118">
        <v>0</v>
      </c>
      <c r="ID135" s="118">
        <v>0</v>
      </c>
      <c r="IE135" s="118">
        <v>0</v>
      </c>
      <c r="IF135" s="118">
        <v>1</v>
      </c>
      <c r="IG135" s="118">
        <v>9</v>
      </c>
      <c r="IH135" s="118">
        <v>0</v>
      </c>
      <c r="II135" s="118">
        <v>3</v>
      </c>
      <c r="IJ135" s="118">
        <v>0</v>
      </c>
      <c r="IK135" s="118">
        <v>0</v>
      </c>
      <c r="IL135" s="118">
        <v>0</v>
      </c>
      <c r="IM135" s="118">
        <v>0</v>
      </c>
      <c r="IN135" s="118">
        <v>0</v>
      </c>
      <c r="IO135" s="118">
        <v>6</v>
      </c>
      <c r="IP135" s="118">
        <v>0</v>
      </c>
      <c r="IQ135" s="118">
        <v>28</v>
      </c>
      <c r="IR135" s="13"/>
      <c r="IS135" s="118" t="s">
        <v>67</v>
      </c>
      <c r="IT135" s="118">
        <v>13</v>
      </c>
      <c r="IU135" s="118">
        <v>0</v>
      </c>
      <c r="IV135" s="118">
        <v>1</v>
      </c>
      <c r="IW135" s="118">
        <v>3</v>
      </c>
      <c r="IX135" s="118">
        <v>1</v>
      </c>
      <c r="IY135" s="118">
        <v>0</v>
      </c>
      <c r="IZ135" s="118">
        <v>0</v>
      </c>
      <c r="JA135" s="118">
        <v>2</v>
      </c>
      <c r="JB135" s="118">
        <v>11</v>
      </c>
      <c r="JC135" s="118">
        <v>4</v>
      </c>
      <c r="JD135" s="118">
        <v>1</v>
      </c>
      <c r="JE135" s="118">
        <v>1</v>
      </c>
      <c r="JF135" s="118">
        <v>0</v>
      </c>
      <c r="JG135" s="118">
        <v>0</v>
      </c>
      <c r="JH135" s="118">
        <v>0</v>
      </c>
      <c r="JI135" s="118">
        <v>0</v>
      </c>
      <c r="JJ135" s="118">
        <v>4</v>
      </c>
      <c r="JK135" s="118">
        <v>0</v>
      </c>
      <c r="JL135" s="118">
        <v>41</v>
      </c>
      <c r="JM135" s="13"/>
      <c r="JN135" s="70" t="s">
        <v>67</v>
      </c>
      <c r="JO135" s="122">
        <v>17</v>
      </c>
      <c r="JP135" s="122">
        <v>0</v>
      </c>
      <c r="JQ135" s="122">
        <v>3</v>
      </c>
      <c r="JR135" s="122">
        <v>0</v>
      </c>
      <c r="JS135" s="122">
        <v>2</v>
      </c>
      <c r="JT135" s="122">
        <v>3</v>
      </c>
      <c r="JU135" s="122">
        <v>0</v>
      </c>
      <c r="JV135" s="122">
        <v>0</v>
      </c>
      <c r="JW135" s="122">
        <v>9</v>
      </c>
      <c r="JX135" s="122">
        <v>0</v>
      </c>
      <c r="JY135" s="122">
        <v>3</v>
      </c>
      <c r="JZ135" s="122">
        <v>1</v>
      </c>
      <c r="KA135" s="122">
        <v>0</v>
      </c>
      <c r="KB135" s="122">
        <v>0</v>
      </c>
      <c r="KC135" s="122">
        <v>0</v>
      </c>
      <c r="KD135" s="122">
        <v>0</v>
      </c>
      <c r="KE135" s="122">
        <v>0</v>
      </c>
      <c r="KF135" s="122">
        <v>0</v>
      </c>
      <c r="KG135" s="123">
        <v>38</v>
      </c>
      <c r="KH135" s="13"/>
      <c r="KI135" s="118" t="s">
        <v>67</v>
      </c>
      <c r="KJ135" s="118">
        <v>12</v>
      </c>
      <c r="KK135" s="118">
        <v>0</v>
      </c>
      <c r="KL135" s="118">
        <v>5</v>
      </c>
      <c r="KM135" s="118">
        <v>4</v>
      </c>
      <c r="KN135" s="118">
        <v>0</v>
      </c>
      <c r="KO135" s="118">
        <v>2</v>
      </c>
      <c r="KP135" s="118">
        <v>1</v>
      </c>
      <c r="KQ135" s="118">
        <v>0</v>
      </c>
      <c r="KR135" s="118">
        <v>0</v>
      </c>
      <c r="KS135" s="118">
        <v>0</v>
      </c>
      <c r="KT135" s="118">
        <v>11</v>
      </c>
      <c r="KU135" s="118">
        <v>0</v>
      </c>
      <c r="KV135" s="118">
        <v>1</v>
      </c>
      <c r="KW135" s="118">
        <v>0</v>
      </c>
      <c r="KX135" s="118">
        <v>0</v>
      </c>
      <c r="KY135" s="118">
        <v>0</v>
      </c>
      <c r="KZ135" s="118">
        <v>0</v>
      </c>
      <c r="LA135" s="118">
        <v>0</v>
      </c>
      <c r="LB135" s="118">
        <v>36</v>
      </c>
      <c r="LC135" s="13"/>
      <c r="LD135" s="58" t="s">
        <v>67</v>
      </c>
      <c r="LE135" s="65">
        <v>5</v>
      </c>
      <c r="LF135" s="65">
        <v>0</v>
      </c>
      <c r="LG135" s="65">
        <v>3</v>
      </c>
      <c r="LH135" s="65">
        <v>9</v>
      </c>
      <c r="LI135" s="65">
        <v>1</v>
      </c>
      <c r="LJ135" s="65">
        <v>2</v>
      </c>
      <c r="LK135" s="65">
        <v>1</v>
      </c>
      <c r="LL135" s="65">
        <v>0</v>
      </c>
      <c r="LM135" s="65">
        <v>0</v>
      </c>
      <c r="LN135" s="65">
        <v>1</v>
      </c>
      <c r="LO135" s="65">
        <v>4</v>
      </c>
      <c r="LP135" s="65">
        <v>2</v>
      </c>
      <c r="LQ135" s="65">
        <v>2</v>
      </c>
      <c r="LR135" s="65">
        <v>0</v>
      </c>
      <c r="LS135" s="65">
        <v>0</v>
      </c>
      <c r="LT135" s="65">
        <v>0</v>
      </c>
      <c r="LU135" s="65">
        <v>0</v>
      </c>
      <c r="LV135" s="65">
        <v>0</v>
      </c>
      <c r="LW135" s="65">
        <v>0</v>
      </c>
      <c r="LX135" s="65">
        <v>0</v>
      </c>
      <c r="LY135" s="65">
        <v>0</v>
      </c>
      <c r="LZ135" s="65">
        <v>1</v>
      </c>
      <c r="MA135" s="65">
        <v>31</v>
      </c>
      <c r="MB135" s="13"/>
      <c r="MC135" s="180" t="s">
        <v>67</v>
      </c>
      <c r="MD135" s="181">
        <v>16</v>
      </c>
      <c r="ME135" s="181">
        <v>0</v>
      </c>
      <c r="MF135" s="181">
        <v>3</v>
      </c>
      <c r="MG135" s="181">
        <v>1</v>
      </c>
      <c r="MH135" s="181">
        <v>2</v>
      </c>
      <c r="MI135" s="181">
        <v>1</v>
      </c>
      <c r="MJ135" s="181">
        <v>0</v>
      </c>
      <c r="MK135" s="181">
        <v>0</v>
      </c>
      <c r="ML135" s="181">
        <v>6</v>
      </c>
      <c r="MM135" s="181">
        <v>0</v>
      </c>
      <c r="MN135" s="181">
        <v>0</v>
      </c>
      <c r="MO135" s="181">
        <v>0</v>
      </c>
      <c r="MP135" s="181">
        <v>0</v>
      </c>
      <c r="MQ135" s="181">
        <v>0</v>
      </c>
      <c r="MR135" s="181">
        <v>0</v>
      </c>
      <c r="MS135" s="181">
        <v>0</v>
      </c>
      <c r="MT135" s="181">
        <v>0</v>
      </c>
      <c r="MU135" s="181">
        <v>0</v>
      </c>
      <c r="MV135" s="181">
        <v>29</v>
      </c>
      <c r="MW135" s="13"/>
      <c r="MX135" s="74" t="s">
        <v>67</v>
      </c>
      <c r="MY135" s="127">
        <v>12</v>
      </c>
      <c r="MZ135" s="127">
        <v>0</v>
      </c>
      <c r="NA135" s="127">
        <v>2</v>
      </c>
      <c r="NB135" s="127">
        <v>0</v>
      </c>
      <c r="NC135" s="127">
        <v>1</v>
      </c>
      <c r="ND135" s="127">
        <v>0</v>
      </c>
      <c r="NE135" s="127">
        <v>1</v>
      </c>
      <c r="NF135" s="127">
        <v>0</v>
      </c>
      <c r="NG135" s="127">
        <v>0</v>
      </c>
      <c r="NH135" s="127">
        <v>0</v>
      </c>
      <c r="NI135" s="127">
        <v>1</v>
      </c>
      <c r="NJ135" s="127">
        <v>0</v>
      </c>
      <c r="NK135" s="127">
        <v>0</v>
      </c>
      <c r="NL135" s="127">
        <v>0</v>
      </c>
      <c r="NM135" s="127">
        <v>0</v>
      </c>
      <c r="NN135" s="127">
        <v>0</v>
      </c>
      <c r="NO135" s="127">
        <v>0</v>
      </c>
      <c r="NP135" s="127">
        <v>0</v>
      </c>
      <c r="NQ135" s="127">
        <v>17</v>
      </c>
      <c r="NR135" s="13"/>
      <c r="NS135" s="74" t="s">
        <v>67</v>
      </c>
      <c r="NT135" s="127">
        <v>19</v>
      </c>
      <c r="NU135" s="127">
        <v>0</v>
      </c>
      <c r="NV135" s="127">
        <v>4</v>
      </c>
      <c r="NW135" s="127">
        <v>0</v>
      </c>
      <c r="NX135" s="127">
        <v>0</v>
      </c>
      <c r="NY135" s="127">
        <v>0</v>
      </c>
      <c r="NZ135" s="127">
        <v>0</v>
      </c>
      <c r="OA135" s="127">
        <v>1</v>
      </c>
      <c r="OB135" s="127">
        <v>2</v>
      </c>
      <c r="OC135" s="127">
        <v>0</v>
      </c>
      <c r="OD135" s="127">
        <v>2</v>
      </c>
      <c r="OE135" s="127">
        <v>1</v>
      </c>
      <c r="OF135" s="127">
        <v>0</v>
      </c>
      <c r="OG135" s="127">
        <v>0</v>
      </c>
      <c r="OH135" s="127">
        <v>0</v>
      </c>
      <c r="OI135" s="127">
        <v>0</v>
      </c>
      <c r="OJ135" s="127">
        <v>0</v>
      </c>
      <c r="OK135" s="127">
        <v>3</v>
      </c>
      <c r="OL135" s="127">
        <v>32</v>
      </c>
    </row>
    <row r="136" spans="1:402" ht="15.5" thickBot="1">
      <c r="A136" s="17" t="s">
        <v>68</v>
      </c>
      <c r="B136" s="89">
        <v>28</v>
      </c>
      <c r="C136" s="89">
        <v>0</v>
      </c>
      <c r="D136" s="89">
        <v>9</v>
      </c>
      <c r="E136" s="89">
        <v>1</v>
      </c>
      <c r="F136" s="89">
        <v>0</v>
      </c>
      <c r="G136" s="89">
        <v>2</v>
      </c>
      <c r="H136" s="89">
        <v>0</v>
      </c>
      <c r="I136" s="89">
        <v>7</v>
      </c>
      <c r="J136" s="89">
        <v>5</v>
      </c>
      <c r="K136" s="89">
        <v>0</v>
      </c>
      <c r="L136" s="89">
        <v>1</v>
      </c>
      <c r="M136" s="89">
        <v>0</v>
      </c>
      <c r="N136" s="89">
        <v>0</v>
      </c>
      <c r="O136" s="89">
        <v>0</v>
      </c>
      <c r="P136" s="89">
        <v>0</v>
      </c>
      <c r="Q136" s="89">
        <v>0</v>
      </c>
      <c r="R136" s="89">
        <v>0</v>
      </c>
      <c r="S136" s="89">
        <v>0</v>
      </c>
      <c r="T136" s="89">
        <v>53</v>
      </c>
      <c r="U136" s="104"/>
      <c r="V136" s="17" t="s">
        <v>68</v>
      </c>
      <c r="W136" s="89">
        <v>28</v>
      </c>
      <c r="X136" s="89">
        <v>0</v>
      </c>
      <c r="Y136" s="89">
        <v>5</v>
      </c>
      <c r="Z136" s="89">
        <v>1</v>
      </c>
      <c r="AA136" s="89">
        <v>0</v>
      </c>
      <c r="AB136" s="89">
        <v>1</v>
      </c>
      <c r="AC136" s="89">
        <v>0</v>
      </c>
      <c r="AD136" s="89">
        <v>6</v>
      </c>
      <c r="AE136" s="89">
        <v>7</v>
      </c>
      <c r="AF136" s="89">
        <v>1</v>
      </c>
      <c r="AG136" s="109">
        <v>1</v>
      </c>
      <c r="AH136" s="89">
        <v>1</v>
      </c>
      <c r="AI136" s="89">
        <v>0</v>
      </c>
      <c r="AJ136" s="89">
        <v>0</v>
      </c>
      <c r="AK136" s="89">
        <v>0</v>
      </c>
      <c r="AL136" s="89">
        <v>0</v>
      </c>
      <c r="AM136" s="89">
        <v>0</v>
      </c>
      <c r="AN136" s="89">
        <v>0</v>
      </c>
      <c r="AO136" s="89">
        <v>51</v>
      </c>
      <c r="AP136" s="104"/>
      <c r="AQ136" s="17" t="s">
        <v>68</v>
      </c>
      <c r="AR136" s="89">
        <v>24</v>
      </c>
      <c r="AS136" s="89">
        <v>0</v>
      </c>
      <c r="AT136" s="89">
        <v>11</v>
      </c>
      <c r="AU136" s="89">
        <v>0</v>
      </c>
      <c r="AV136" s="89">
        <v>0</v>
      </c>
      <c r="AW136" s="89">
        <v>0</v>
      </c>
      <c r="AX136" s="89">
        <v>0</v>
      </c>
      <c r="AY136" s="89">
        <v>6</v>
      </c>
      <c r="AZ136" s="89">
        <v>6</v>
      </c>
      <c r="BA136" s="89">
        <v>0</v>
      </c>
      <c r="BB136" s="89">
        <v>0</v>
      </c>
      <c r="BC136" s="89">
        <v>0</v>
      </c>
      <c r="BD136" s="89">
        <v>0</v>
      </c>
      <c r="BE136" s="89">
        <v>0</v>
      </c>
      <c r="BF136" s="89">
        <v>0</v>
      </c>
      <c r="BG136" s="89">
        <v>0</v>
      </c>
      <c r="BH136" s="89">
        <v>0</v>
      </c>
      <c r="BI136" s="89">
        <v>0</v>
      </c>
      <c r="BJ136" s="89">
        <v>47</v>
      </c>
      <c r="BK136" s="13"/>
      <c r="BL136" s="115" t="s">
        <v>68</v>
      </c>
      <c r="BM136" s="118">
        <v>33</v>
      </c>
      <c r="BN136" s="118">
        <v>0</v>
      </c>
      <c r="BO136" s="118">
        <v>14</v>
      </c>
      <c r="BP136" s="118">
        <v>0</v>
      </c>
      <c r="BQ136" s="118">
        <v>0</v>
      </c>
      <c r="BR136" s="118">
        <v>2</v>
      </c>
      <c r="BS136" s="118">
        <v>0</v>
      </c>
      <c r="BT136" s="118">
        <v>8</v>
      </c>
      <c r="BU136" s="118">
        <v>7</v>
      </c>
      <c r="BV136" s="118">
        <v>0</v>
      </c>
      <c r="BW136" s="118">
        <v>1</v>
      </c>
      <c r="BX136" s="118">
        <v>0</v>
      </c>
      <c r="BY136" s="118">
        <v>0</v>
      </c>
      <c r="BZ136" s="118">
        <v>0</v>
      </c>
      <c r="CA136" s="118">
        <v>0</v>
      </c>
      <c r="CB136" s="118">
        <v>0</v>
      </c>
      <c r="CC136" s="118">
        <v>1</v>
      </c>
      <c r="CD136" s="118">
        <v>0</v>
      </c>
      <c r="CE136" s="119">
        <v>66</v>
      </c>
      <c r="CF136" s="13"/>
      <c r="CG136" s="118" t="s">
        <v>68</v>
      </c>
      <c r="CH136" s="118">
        <v>29</v>
      </c>
      <c r="CI136" s="118">
        <v>0</v>
      </c>
      <c r="CJ136" s="118">
        <v>10</v>
      </c>
      <c r="CK136" s="118">
        <v>2</v>
      </c>
      <c r="CL136" s="118">
        <v>0</v>
      </c>
      <c r="CM136" s="118">
        <v>1</v>
      </c>
      <c r="CN136" s="118">
        <v>1</v>
      </c>
      <c r="CO136" s="118">
        <v>2</v>
      </c>
      <c r="CP136" s="118">
        <v>10</v>
      </c>
      <c r="CQ136" s="118">
        <v>1</v>
      </c>
      <c r="CR136" s="118">
        <v>0</v>
      </c>
      <c r="CS136" s="118">
        <v>2</v>
      </c>
      <c r="CT136" s="118">
        <v>0</v>
      </c>
      <c r="CU136" s="118">
        <v>0</v>
      </c>
      <c r="CV136" s="118">
        <v>0</v>
      </c>
      <c r="CW136" s="118">
        <v>0</v>
      </c>
      <c r="CX136" s="118">
        <v>1</v>
      </c>
      <c r="CY136" s="118">
        <v>0</v>
      </c>
      <c r="CZ136" s="118">
        <v>59</v>
      </c>
      <c r="DA136" s="13"/>
      <c r="DB136" s="118" t="s">
        <v>68</v>
      </c>
      <c r="DC136" s="118">
        <v>21</v>
      </c>
      <c r="DD136" s="118">
        <v>0</v>
      </c>
      <c r="DE136" s="118">
        <v>5</v>
      </c>
      <c r="DF136" s="118">
        <v>0</v>
      </c>
      <c r="DG136" s="118">
        <v>0</v>
      </c>
      <c r="DH136" s="118">
        <v>1</v>
      </c>
      <c r="DI136" s="118">
        <v>0</v>
      </c>
      <c r="DJ136" s="118">
        <v>3</v>
      </c>
      <c r="DK136" s="118">
        <v>3</v>
      </c>
      <c r="DL136" s="118">
        <v>0</v>
      </c>
      <c r="DM136" s="118">
        <v>4</v>
      </c>
      <c r="DN136" s="118">
        <v>0</v>
      </c>
      <c r="DO136" s="118">
        <v>0</v>
      </c>
      <c r="DP136" s="118">
        <v>0</v>
      </c>
      <c r="DQ136" s="118">
        <v>0</v>
      </c>
      <c r="DR136" s="118">
        <v>0</v>
      </c>
      <c r="DS136" s="118">
        <v>0</v>
      </c>
      <c r="DT136" s="118">
        <v>1</v>
      </c>
      <c r="DU136" s="118">
        <v>38</v>
      </c>
      <c r="DV136" s="13"/>
      <c r="DW136" s="118" t="s">
        <v>68</v>
      </c>
      <c r="DX136" s="118">
        <v>27</v>
      </c>
      <c r="DY136" s="118">
        <v>0</v>
      </c>
      <c r="DZ136" s="118">
        <v>6</v>
      </c>
      <c r="EA136" s="118">
        <v>2</v>
      </c>
      <c r="EB136" s="118">
        <v>0</v>
      </c>
      <c r="EC136" s="118">
        <v>1</v>
      </c>
      <c r="ED136" s="118">
        <v>0</v>
      </c>
      <c r="EE136" s="118">
        <v>1</v>
      </c>
      <c r="EF136" s="118">
        <v>0</v>
      </c>
      <c r="EG136" s="118">
        <v>0</v>
      </c>
      <c r="EH136" s="118">
        <v>0</v>
      </c>
      <c r="EI136" s="118">
        <v>0</v>
      </c>
      <c r="EJ136" s="118">
        <v>0</v>
      </c>
      <c r="EK136" s="118">
        <v>0</v>
      </c>
      <c r="EL136" s="118">
        <v>0</v>
      </c>
      <c r="EM136" s="118">
        <v>0</v>
      </c>
      <c r="EN136" s="118">
        <v>6</v>
      </c>
      <c r="EO136" s="118">
        <v>1</v>
      </c>
      <c r="EP136" s="118">
        <v>44</v>
      </c>
      <c r="EQ136" s="13"/>
      <c r="ER136" s="118" t="s">
        <v>68</v>
      </c>
      <c r="ES136" s="118">
        <v>26</v>
      </c>
      <c r="ET136" s="118">
        <v>0</v>
      </c>
      <c r="EU136" s="118">
        <v>1</v>
      </c>
      <c r="EV136" s="118">
        <v>0</v>
      </c>
      <c r="EW136" s="118">
        <v>1</v>
      </c>
      <c r="EX136" s="118">
        <v>0</v>
      </c>
      <c r="EY136" s="118">
        <v>0</v>
      </c>
      <c r="EZ136" s="118">
        <v>2</v>
      </c>
      <c r="FA136" s="118">
        <v>2</v>
      </c>
      <c r="FB136" s="118">
        <v>0</v>
      </c>
      <c r="FC136" s="118">
        <v>2</v>
      </c>
      <c r="FD136" s="118">
        <v>0</v>
      </c>
      <c r="FE136" s="118">
        <v>0</v>
      </c>
      <c r="FF136" s="118">
        <v>0</v>
      </c>
      <c r="FG136" s="118">
        <v>0</v>
      </c>
      <c r="FH136" s="118">
        <v>0</v>
      </c>
      <c r="FI136" s="118">
        <v>1</v>
      </c>
      <c r="FJ136" s="118">
        <v>21</v>
      </c>
      <c r="FK136" s="118">
        <v>56</v>
      </c>
      <c r="FL136" s="13"/>
      <c r="FM136" s="118" t="s">
        <v>68</v>
      </c>
      <c r="FN136" s="118">
        <v>25</v>
      </c>
      <c r="FO136" s="118">
        <v>3</v>
      </c>
      <c r="FP136" s="118">
        <v>6</v>
      </c>
      <c r="FQ136" s="118">
        <v>6</v>
      </c>
      <c r="FR136" s="118">
        <v>1</v>
      </c>
      <c r="FS136" s="118">
        <v>2</v>
      </c>
      <c r="FT136" s="118">
        <v>0</v>
      </c>
      <c r="FU136" s="118">
        <v>0</v>
      </c>
      <c r="FV136" s="118">
        <v>1</v>
      </c>
      <c r="FW136" s="118">
        <v>2</v>
      </c>
      <c r="FX136" s="118">
        <v>1</v>
      </c>
      <c r="FY136" s="118">
        <v>0</v>
      </c>
      <c r="FZ136" s="118">
        <v>1</v>
      </c>
      <c r="GA136" s="118">
        <v>0</v>
      </c>
      <c r="GB136" s="118">
        <v>0</v>
      </c>
      <c r="GC136" s="118">
        <v>0</v>
      </c>
      <c r="GD136" s="118">
        <v>2</v>
      </c>
      <c r="GE136" s="118">
        <v>18</v>
      </c>
      <c r="GF136" s="118">
        <v>68</v>
      </c>
      <c r="GG136" s="13"/>
      <c r="GH136" s="118" t="s">
        <v>68</v>
      </c>
      <c r="GI136" s="118">
        <v>36</v>
      </c>
      <c r="GJ136" s="118">
        <v>0</v>
      </c>
      <c r="GK136" s="118">
        <v>6</v>
      </c>
      <c r="GL136" s="118">
        <v>5</v>
      </c>
      <c r="GM136" s="118">
        <v>0</v>
      </c>
      <c r="GN136" s="118">
        <v>1</v>
      </c>
      <c r="GO136" s="118">
        <v>0</v>
      </c>
      <c r="GP136" s="118">
        <v>3</v>
      </c>
      <c r="GQ136" s="118">
        <v>1</v>
      </c>
      <c r="GR136" s="118">
        <v>0</v>
      </c>
      <c r="GS136" s="118">
        <v>2</v>
      </c>
      <c r="GT136" s="118">
        <v>0</v>
      </c>
      <c r="GU136" s="118">
        <v>1</v>
      </c>
      <c r="GV136" s="118">
        <v>0</v>
      </c>
      <c r="GW136" s="118">
        <v>0</v>
      </c>
      <c r="GX136" s="118">
        <v>0</v>
      </c>
      <c r="GY136" s="118">
        <v>0</v>
      </c>
      <c r="GZ136" s="118">
        <v>2</v>
      </c>
      <c r="HA136" s="118">
        <v>57</v>
      </c>
      <c r="HB136" s="13"/>
      <c r="HC136" s="118" t="s">
        <v>68</v>
      </c>
      <c r="HD136" s="118">
        <v>36</v>
      </c>
      <c r="HE136" s="118">
        <v>0</v>
      </c>
      <c r="HF136" s="118">
        <v>7</v>
      </c>
      <c r="HG136" s="118">
        <v>0</v>
      </c>
      <c r="HH136" s="118">
        <v>0</v>
      </c>
      <c r="HI136" s="118">
        <v>3</v>
      </c>
      <c r="HJ136" s="118">
        <v>0</v>
      </c>
      <c r="HK136" s="118">
        <v>8</v>
      </c>
      <c r="HL136" s="118">
        <v>2</v>
      </c>
      <c r="HM136" s="118">
        <v>0</v>
      </c>
      <c r="HN136" s="118">
        <v>4</v>
      </c>
      <c r="HO136" s="118">
        <v>0</v>
      </c>
      <c r="HP136" s="118">
        <v>0</v>
      </c>
      <c r="HQ136" s="118">
        <v>0</v>
      </c>
      <c r="HR136" s="118">
        <v>0</v>
      </c>
      <c r="HS136" s="118">
        <v>0</v>
      </c>
      <c r="HT136" s="118">
        <v>2</v>
      </c>
      <c r="HU136" s="118">
        <v>2</v>
      </c>
      <c r="HV136" s="118">
        <v>64</v>
      </c>
      <c r="HW136" s="13"/>
      <c r="HX136" s="118" t="s">
        <v>68</v>
      </c>
      <c r="HY136" s="118">
        <v>11</v>
      </c>
      <c r="HZ136" s="118">
        <v>0</v>
      </c>
      <c r="IA136" s="118">
        <v>9</v>
      </c>
      <c r="IB136" s="118">
        <v>2</v>
      </c>
      <c r="IC136" s="118">
        <v>0</v>
      </c>
      <c r="ID136" s="118">
        <v>0</v>
      </c>
      <c r="IE136" s="118">
        <v>0</v>
      </c>
      <c r="IF136" s="118">
        <v>2</v>
      </c>
      <c r="IG136" s="118">
        <v>2</v>
      </c>
      <c r="IH136" s="118">
        <v>0</v>
      </c>
      <c r="II136" s="118">
        <v>2</v>
      </c>
      <c r="IJ136" s="118">
        <v>0</v>
      </c>
      <c r="IK136" s="118">
        <v>0</v>
      </c>
      <c r="IL136" s="118">
        <v>0</v>
      </c>
      <c r="IM136" s="118">
        <v>0</v>
      </c>
      <c r="IN136" s="118">
        <v>0</v>
      </c>
      <c r="IO136" s="118">
        <v>4</v>
      </c>
      <c r="IP136" s="118">
        <v>1</v>
      </c>
      <c r="IQ136" s="118">
        <v>33</v>
      </c>
      <c r="IR136" s="13"/>
      <c r="IS136" s="118" t="s">
        <v>68</v>
      </c>
      <c r="IT136" s="118">
        <v>26</v>
      </c>
      <c r="IU136" s="118">
        <v>0</v>
      </c>
      <c r="IV136" s="118">
        <v>9</v>
      </c>
      <c r="IW136" s="118">
        <v>0</v>
      </c>
      <c r="IX136" s="118">
        <v>0</v>
      </c>
      <c r="IY136" s="118">
        <v>2</v>
      </c>
      <c r="IZ136" s="118">
        <v>0</v>
      </c>
      <c r="JA136" s="118">
        <v>6</v>
      </c>
      <c r="JB136" s="118">
        <v>10</v>
      </c>
      <c r="JC136" s="118">
        <v>0</v>
      </c>
      <c r="JD136" s="118">
        <v>3</v>
      </c>
      <c r="JE136" s="118">
        <v>0</v>
      </c>
      <c r="JF136" s="118">
        <v>0</v>
      </c>
      <c r="JG136" s="118">
        <v>0</v>
      </c>
      <c r="JH136" s="118">
        <v>0</v>
      </c>
      <c r="JI136" s="118">
        <v>0</v>
      </c>
      <c r="JJ136" s="118">
        <v>0</v>
      </c>
      <c r="JK136" s="118">
        <v>16</v>
      </c>
      <c r="JL136" s="118">
        <v>72</v>
      </c>
      <c r="JM136" s="13"/>
      <c r="JN136" s="70" t="s">
        <v>68</v>
      </c>
      <c r="JO136" s="122">
        <v>38</v>
      </c>
      <c r="JP136" s="122">
        <v>0</v>
      </c>
      <c r="JQ136" s="122">
        <v>4</v>
      </c>
      <c r="JR136" s="122">
        <v>1</v>
      </c>
      <c r="JS136" s="122">
        <v>0</v>
      </c>
      <c r="JT136" s="122">
        <v>6</v>
      </c>
      <c r="JU136" s="122">
        <v>0</v>
      </c>
      <c r="JV136" s="122">
        <v>0</v>
      </c>
      <c r="JW136" s="122">
        <v>5</v>
      </c>
      <c r="JX136" s="122">
        <v>0</v>
      </c>
      <c r="JY136" s="122">
        <v>1</v>
      </c>
      <c r="JZ136" s="122">
        <v>0</v>
      </c>
      <c r="KA136" s="122">
        <v>0</v>
      </c>
      <c r="KB136" s="122">
        <v>0</v>
      </c>
      <c r="KC136" s="122">
        <v>0</v>
      </c>
      <c r="KD136" s="122">
        <v>0</v>
      </c>
      <c r="KE136" s="122">
        <v>0</v>
      </c>
      <c r="KF136" s="122">
        <v>0</v>
      </c>
      <c r="KG136" s="123">
        <v>55</v>
      </c>
      <c r="KH136" s="13"/>
      <c r="KI136" s="118" t="s">
        <v>68</v>
      </c>
      <c r="KJ136" s="118">
        <v>20</v>
      </c>
      <c r="KK136" s="118">
        <v>0</v>
      </c>
      <c r="KL136" s="118">
        <v>5</v>
      </c>
      <c r="KM136" s="118">
        <v>9</v>
      </c>
      <c r="KN136" s="118">
        <v>0</v>
      </c>
      <c r="KO136" s="118">
        <v>1</v>
      </c>
      <c r="KP136" s="118">
        <v>0</v>
      </c>
      <c r="KQ136" s="118">
        <v>2</v>
      </c>
      <c r="KR136" s="118">
        <v>0</v>
      </c>
      <c r="KS136" s="118">
        <v>0</v>
      </c>
      <c r="KT136" s="118">
        <v>7</v>
      </c>
      <c r="KU136" s="118">
        <v>0</v>
      </c>
      <c r="KV136" s="118">
        <v>0</v>
      </c>
      <c r="KW136" s="118">
        <v>0</v>
      </c>
      <c r="KX136" s="118">
        <v>0</v>
      </c>
      <c r="KY136" s="118">
        <v>0</v>
      </c>
      <c r="KZ136" s="118">
        <v>0</v>
      </c>
      <c r="LA136" s="118">
        <v>0</v>
      </c>
      <c r="LB136" s="118">
        <v>44</v>
      </c>
      <c r="LC136" s="13"/>
      <c r="LD136" s="58" t="s">
        <v>68</v>
      </c>
      <c r="LE136" s="65">
        <v>16</v>
      </c>
      <c r="LF136" s="65">
        <v>0</v>
      </c>
      <c r="LG136" s="65">
        <v>9</v>
      </c>
      <c r="LH136" s="65">
        <v>13</v>
      </c>
      <c r="LI136" s="65">
        <v>0</v>
      </c>
      <c r="LJ136" s="65">
        <v>1</v>
      </c>
      <c r="LK136" s="65">
        <v>0</v>
      </c>
      <c r="LL136" s="65">
        <v>4</v>
      </c>
      <c r="LM136" s="65">
        <v>0</v>
      </c>
      <c r="LN136" s="65">
        <v>0</v>
      </c>
      <c r="LO136" s="65">
        <v>6</v>
      </c>
      <c r="LP136" s="65">
        <v>0</v>
      </c>
      <c r="LQ136" s="65">
        <v>0</v>
      </c>
      <c r="LR136" s="65">
        <v>1</v>
      </c>
      <c r="LS136" s="65">
        <v>0</v>
      </c>
      <c r="LT136" s="65">
        <v>0</v>
      </c>
      <c r="LU136" s="65">
        <v>0</v>
      </c>
      <c r="LV136" s="65">
        <v>0</v>
      </c>
      <c r="LW136" s="65">
        <v>0</v>
      </c>
      <c r="LX136" s="65">
        <v>0</v>
      </c>
      <c r="LY136" s="65">
        <v>0</v>
      </c>
      <c r="LZ136" s="65">
        <v>1</v>
      </c>
      <c r="MA136" s="65">
        <v>51</v>
      </c>
      <c r="MB136" s="13"/>
      <c r="MC136" s="180" t="s">
        <v>68</v>
      </c>
      <c r="MD136" s="181">
        <v>42</v>
      </c>
      <c r="ME136" s="181">
        <v>0</v>
      </c>
      <c r="MF136" s="181">
        <v>9</v>
      </c>
      <c r="MG136" s="181">
        <v>0</v>
      </c>
      <c r="MH136" s="181">
        <v>0</v>
      </c>
      <c r="MI136" s="181">
        <v>3</v>
      </c>
      <c r="MJ136" s="181">
        <v>0</v>
      </c>
      <c r="MK136" s="181">
        <v>0</v>
      </c>
      <c r="ML136" s="181">
        <v>6</v>
      </c>
      <c r="MM136" s="181">
        <v>0</v>
      </c>
      <c r="MN136" s="181">
        <v>0</v>
      </c>
      <c r="MO136" s="181">
        <v>0</v>
      </c>
      <c r="MP136" s="181">
        <v>0</v>
      </c>
      <c r="MQ136" s="181">
        <v>0</v>
      </c>
      <c r="MR136" s="181">
        <v>0</v>
      </c>
      <c r="MS136" s="181">
        <v>0</v>
      </c>
      <c r="MT136" s="181">
        <v>0</v>
      </c>
      <c r="MU136" s="181">
        <v>3</v>
      </c>
      <c r="MV136" s="181">
        <v>63</v>
      </c>
      <c r="MW136" s="13"/>
      <c r="MX136" s="74" t="s">
        <v>68</v>
      </c>
      <c r="MY136" s="127">
        <v>56</v>
      </c>
      <c r="MZ136" s="127">
        <v>0</v>
      </c>
      <c r="NA136" s="127">
        <v>9</v>
      </c>
      <c r="NB136" s="127">
        <v>1</v>
      </c>
      <c r="NC136" s="127">
        <v>0</v>
      </c>
      <c r="ND136" s="127">
        <v>1</v>
      </c>
      <c r="NE136" s="127">
        <v>0</v>
      </c>
      <c r="NF136" s="127">
        <v>4</v>
      </c>
      <c r="NG136" s="127">
        <v>2</v>
      </c>
      <c r="NH136" s="127">
        <v>0</v>
      </c>
      <c r="NI136" s="127">
        <v>1</v>
      </c>
      <c r="NJ136" s="127">
        <v>0</v>
      </c>
      <c r="NK136" s="127">
        <v>0</v>
      </c>
      <c r="NL136" s="127">
        <v>0</v>
      </c>
      <c r="NM136" s="127">
        <v>0</v>
      </c>
      <c r="NN136" s="127">
        <v>0</v>
      </c>
      <c r="NO136" s="127">
        <v>0</v>
      </c>
      <c r="NP136" s="127">
        <v>0</v>
      </c>
      <c r="NQ136" s="127">
        <v>74</v>
      </c>
      <c r="NR136" s="13"/>
      <c r="NS136" s="74" t="s">
        <v>68</v>
      </c>
      <c r="NT136" s="127">
        <v>50</v>
      </c>
      <c r="NU136" s="127">
        <v>0</v>
      </c>
      <c r="NV136" s="127">
        <v>9</v>
      </c>
      <c r="NW136" s="127">
        <v>3</v>
      </c>
      <c r="NX136" s="127">
        <v>0</v>
      </c>
      <c r="NY136" s="127">
        <v>4</v>
      </c>
      <c r="NZ136" s="127">
        <v>0</v>
      </c>
      <c r="OA136" s="127">
        <v>6</v>
      </c>
      <c r="OB136" s="127">
        <v>0</v>
      </c>
      <c r="OC136" s="127">
        <v>0</v>
      </c>
      <c r="OD136" s="127">
        <v>1</v>
      </c>
      <c r="OE136" s="127">
        <v>0</v>
      </c>
      <c r="OF136" s="127">
        <v>0</v>
      </c>
      <c r="OG136" s="127">
        <v>0</v>
      </c>
      <c r="OH136" s="127">
        <v>0</v>
      </c>
      <c r="OI136" s="127">
        <v>0</v>
      </c>
      <c r="OJ136" s="127">
        <v>1</v>
      </c>
      <c r="OK136" s="127">
        <v>0</v>
      </c>
      <c r="OL136" s="127">
        <v>74</v>
      </c>
    </row>
    <row r="137" spans="1:402" ht="15.5" thickBot="1">
      <c r="A137" s="17" t="s">
        <v>69</v>
      </c>
      <c r="B137" s="89">
        <v>40</v>
      </c>
      <c r="C137" s="89">
        <v>0</v>
      </c>
      <c r="D137" s="89">
        <v>2</v>
      </c>
      <c r="E137" s="89">
        <v>1</v>
      </c>
      <c r="F137" s="89">
        <v>0</v>
      </c>
      <c r="G137" s="89">
        <v>5</v>
      </c>
      <c r="H137" s="89">
        <v>2</v>
      </c>
      <c r="I137" s="89">
        <v>6</v>
      </c>
      <c r="J137" s="89">
        <v>0</v>
      </c>
      <c r="K137" s="89">
        <v>1</v>
      </c>
      <c r="L137" s="89">
        <v>2</v>
      </c>
      <c r="M137" s="89">
        <v>0</v>
      </c>
      <c r="N137" s="89">
        <v>0</v>
      </c>
      <c r="O137" s="89">
        <v>0</v>
      </c>
      <c r="P137" s="89">
        <v>0</v>
      </c>
      <c r="Q137" s="89">
        <v>0</v>
      </c>
      <c r="R137" s="89">
        <v>1</v>
      </c>
      <c r="S137" s="89">
        <v>12</v>
      </c>
      <c r="T137" s="89">
        <v>72</v>
      </c>
      <c r="U137" s="104"/>
      <c r="V137" s="17" t="s">
        <v>69</v>
      </c>
      <c r="W137" s="89">
        <v>29</v>
      </c>
      <c r="X137" s="89">
        <v>0</v>
      </c>
      <c r="Y137" s="89">
        <v>2</v>
      </c>
      <c r="Z137" s="89">
        <v>0</v>
      </c>
      <c r="AA137" s="89">
        <v>0</v>
      </c>
      <c r="AB137" s="89">
        <v>0</v>
      </c>
      <c r="AC137" s="89">
        <v>1</v>
      </c>
      <c r="AD137" s="89">
        <v>6</v>
      </c>
      <c r="AE137" s="89">
        <v>2</v>
      </c>
      <c r="AF137" s="89">
        <v>0</v>
      </c>
      <c r="AG137" s="109">
        <v>5</v>
      </c>
      <c r="AH137" s="89">
        <v>0</v>
      </c>
      <c r="AI137" s="89">
        <v>1</v>
      </c>
      <c r="AJ137" s="89">
        <v>0</v>
      </c>
      <c r="AK137" s="89">
        <v>0</v>
      </c>
      <c r="AL137" s="89">
        <v>0</v>
      </c>
      <c r="AM137" s="89">
        <v>1</v>
      </c>
      <c r="AN137" s="89">
        <v>0</v>
      </c>
      <c r="AO137" s="89">
        <v>47</v>
      </c>
      <c r="AP137" s="104"/>
      <c r="AQ137" s="17" t="s">
        <v>69</v>
      </c>
      <c r="AR137" s="89">
        <v>35</v>
      </c>
      <c r="AS137" s="89">
        <v>1</v>
      </c>
      <c r="AT137" s="89">
        <v>5</v>
      </c>
      <c r="AU137" s="89">
        <v>0</v>
      </c>
      <c r="AV137" s="89">
        <v>0</v>
      </c>
      <c r="AW137" s="89">
        <v>2</v>
      </c>
      <c r="AX137" s="89">
        <v>0</v>
      </c>
      <c r="AY137" s="89">
        <v>5</v>
      </c>
      <c r="AZ137" s="89">
        <v>0</v>
      </c>
      <c r="BA137" s="89">
        <v>0</v>
      </c>
      <c r="BB137" s="89">
        <v>4</v>
      </c>
      <c r="BC137" s="89">
        <v>1</v>
      </c>
      <c r="BD137" s="89">
        <v>0</v>
      </c>
      <c r="BE137" s="89">
        <v>0</v>
      </c>
      <c r="BF137" s="89">
        <v>0</v>
      </c>
      <c r="BG137" s="89">
        <v>0</v>
      </c>
      <c r="BH137" s="89">
        <v>3</v>
      </c>
      <c r="BI137" s="89">
        <v>1</v>
      </c>
      <c r="BJ137" s="89">
        <v>57</v>
      </c>
      <c r="BK137" s="13"/>
      <c r="BL137" s="115" t="s">
        <v>69</v>
      </c>
      <c r="BM137" s="118">
        <v>9</v>
      </c>
      <c r="BN137" s="118">
        <v>0</v>
      </c>
      <c r="BO137" s="118">
        <v>2</v>
      </c>
      <c r="BP137" s="118">
        <v>0</v>
      </c>
      <c r="BQ137" s="118">
        <v>0</v>
      </c>
      <c r="BR137" s="118">
        <v>0</v>
      </c>
      <c r="BS137" s="118">
        <v>0</v>
      </c>
      <c r="BT137" s="118">
        <v>4</v>
      </c>
      <c r="BU137" s="118">
        <v>0</v>
      </c>
      <c r="BV137" s="118">
        <v>0</v>
      </c>
      <c r="BW137" s="118">
        <v>4</v>
      </c>
      <c r="BX137" s="118">
        <v>0</v>
      </c>
      <c r="BY137" s="118">
        <v>0</v>
      </c>
      <c r="BZ137" s="118">
        <v>0</v>
      </c>
      <c r="CA137" s="118">
        <v>0</v>
      </c>
      <c r="CB137" s="118">
        <v>0</v>
      </c>
      <c r="CC137" s="118">
        <v>2</v>
      </c>
      <c r="CD137" s="118">
        <v>0</v>
      </c>
      <c r="CE137" s="119">
        <v>21</v>
      </c>
      <c r="CF137" s="13"/>
      <c r="CG137" s="118" t="s">
        <v>69</v>
      </c>
      <c r="CH137" s="118">
        <v>22</v>
      </c>
      <c r="CI137" s="118">
        <v>0</v>
      </c>
      <c r="CJ137" s="118">
        <v>2</v>
      </c>
      <c r="CK137" s="118">
        <v>0</v>
      </c>
      <c r="CL137" s="118">
        <v>0</v>
      </c>
      <c r="CM137" s="118">
        <v>0</v>
      </c>
      <c r="CN137" s="118">
        <v>0</v>
      </c>
      <c r="CO137" s="118">
        <v>5</v>
      </c>
      <c r="CP137" s="118">
        <v>1</v>
      </c>
      <c r="CQ137" s="118">
        <v>1</v>
      </c>
      <c r="CR137" s="118">
        <v>0</v>
      </c>
      <c r="CS137" s="118">
        <v>0</v>
      </c>
      <c r="CT137" s="118">
        <v>0</v>
      </c>
      <c r="CU137" s="118">
        <v>0</v>
      </c>
      <c r="CV137" s="118">
        <v>0</v>
      </c>
      <c r="CW137" s="118">
        <v>0</v>
      </c>
      <c r="CX137" s="118">
        <v>1</v>
      </c>
      <c r="CY137" s="118">
        <v>0</v>
      </c>
      <c r="CZ137" s="118">
        <v>32</v>
      </c>
      <c r="DA137" s="13"/>
      <c r="DB137" s="118" t="s">
        <v>69</v>
      </c>
      <c r="DC137" s="118">
        <v>20</v>
      </c>
      <c r="DD137" s="118">
        <v>0</v>
      </c>
      <c r="DE137" s="118">
        <v>0</v>
      </c>
      <c r="DF137" s="118">
        <v>0</v>
      </c>
      <c r="DG137" s="118">
        <v>0</v>
      </c>
      <c r="DH137" s="118">
        <v>1</v>
      </c>
      <c r="DI137" s="118">
        <v>0</v>
      </c>
      <c r="DJ137" s="118">
        <v>8</v>
      </c>
      <c r="DK137" s="118">
        <v>0</v>
      </c>
      <c r="DL137" s="118">
        <v>0</v>
      </c>
      <c r="DM137" s="118">
        <v>0</v>
      </c>
      <c r="DN137" s="118">
        <v>0</v>
      </c>
      <c r="DO137" s="118">
        <v>0</v>
      </c>
      <c r="DP137" s="118">
        <v>0</v>
      </c>
      <c r="DQ137" s="118">
        <v>0</v>
      </c>
      <c r="DR137" s="118">
        <v>0</v>
      </c>
      <c r="DS137" s="118">
        <v>2</v>
      </c>
      <c r="DT137" s="118">
        <v>0</v>
      </c>
      <c r="DU137" s="118">
        <v>31</v>
      </c>
      <c r="DV137" s="13"/>
      <c r="DW137" s="118" t="s">
        <v>69</v>
      </c>
      <c r="DX137" s="118">
        <v>19</v>
      </c>
      <c r="DY137" s="118">
        <v>0</v>
      </c>
      <c r="DZ137" s="118">
        <v>1</v>
      </c>
      <c r="EA137" s="118">
        <v>0</v>
      </c>
      <c r="EB137" s="118">
        <v>0</v>
      </c>
      <c r="EC137" s="118">
        <v>0</v>
      </c>
      <c r="ED137" s="118">
        <v>0</v>
      </c>
      <c r="EE137" s="118">
        <v>4</v>
      </c>
      <c r="EF137" s="118">
        <v>3</v>
      </c>
      <c r="EG137" s="118">
        <v>0</v>
      </c>
      <c r="EH137" s="118">
        <v>1</v>
      </c>
      <c r="EI137" s="118">
        <v>0</v>
      </c>
      <c r="EJ137" s="118">
        <v>0</v>
      </c>
      <c r="EK137" s="118">
        <v>0</v>
      </c>
      <c r="EL137" s="118">
        <v>0</v>
      </c>
      <c r="EM137" s="118">
        <v>0</v>
      </c>
      <c r="EN137" s="118">
        <v>5</v>
      </c>
      <c r="EO137" s="118">
        <v>0</v>
      </c>
      <c r="EP137" s="118">
        <v>33</v>
      </c>
      <c r="EQ137" s="13"/>
      <c r="ER137" s="118" t="s">
        <v>69</v>
      </c>
      <c r="ES137" s="118">
        <v>22</v>
      </c>
      <c r="ET137" s="118">
        <v>0</v>
      </c>
      <c r="EU137" s="118">
        <v>1</v>
      </c>
      <c r="EV137" s="118">
        <v>1</v>
      </c>
      <c r="EW137" s="118">
        <v>1</v>
      </c>
      <c r="EX137" s="118">
        <v>0</v>
      </c>
      <c r="EY137" s="118">
        <v>0</v>
      </c>
      <c r="EZ137" s="118">
        <v>6</v>
      </c>
      <c r="FA137" s="118">
        <v>2</v>
      </c>
      <c r="FB137" s="118">
        <v>0</v>
      </c>
      <c r="FC137" s="118">
        <v>0</v>
      </c>
      <c r="FD137" s="118">
        <v>0</v>
      </c>
      <c r="FE137" s="118">
        <v>0</v>
      </c>
      <c r="FF137" s="118">
        <v>0</v>
      </c>
      <c r="FG137" s="118">
        <v>0</v>
      </c>
      <c r="FH137" s="118">
        <v>0</v>
      </c>
      <c r="FI137" s="118">
        <v>0</v>
      </c>
      <c r="FJ137" s="118">
        <v>1</v>
      </c>
      <c r="FK137" s="118">
        <v>34</v>
      </c>
      <c r="FL137" s="13"/>
      <c r="FM137" s="118" t="s">
        <v>69</v>
      </c>
      <c r="FN137" s="118">
        <v>13</v>
      </c>
      <c r="FO137" s="118">
        <v>1</v>
      </c>
      <c r="FP137" s="118">
        <v>2</v>
      </c>
      <c r="FQ137" s="118">
        <v>0</v>
      </c>
      <c r="FR137" s="118">
        <v>0</v>
      </c>
      <c r="FS137" s="118">
        <v>1</v>
      </c>
      <c r="FT137" s="118">
        <v>1</v>
      </c>
      <c r="FU137" s="118">
        <v>2</v>
      </c>
      <c r="FV137" s="118">
        <v>0</v>
      </c>
      <c r="FW137" s="118">
        <v>0</v>
      </c>
      <c r="FX137" s="118">
        <v>3</v>
      </c>
      <c r="FY137" s="118">
        <v>0</v>
      </c>
      <c r="FZ137" s="118">
        <v>0</v>
      </c>
      <c r="GA137" s="118">
        <v>0</v>
      </c>
      <c r="GB137" s="118">
        <v>0</v>
      </c>
      <c r="GC137" s="118">
        <v>0</v>
      </c>
      <c r="GD137" s="118">
        <v>1</v>
      </c>
      <c r="GE137" s="118">
        <v>11</v>
      </c>
      <c r="GF137" s="118">
        <v>35</v>
      </c>
      <c r="GG137" s="13"/>
      <c r="GH137" s="118" t="s">
        <v>69</v>
      </c>
      <c r="GI137" s="118">
        <v>14</v>
      </c>
      <c r="GJ137" s="118">
        <v>0</v>
      </c>
      <c r="GK137" s="118">
        <v>0</v>
      </c>
      <c r="GL137" s="118">
        <v>0</v>
      </c>
      <c r="GM137" s="118">
        <v>0</v>
      </c>
      <c r="GN137" s="118">
        <v>3</v>
      </c>
      <c r="GO137" s="118">
        <v>0</v>
      </c>
      <c r="GP137" s="118">
        <v>4</v>
      </c>
      <c r="GQ137" s="118">
        <v>0</v>
      </c>
      <c r="GR137" s="118">
        <v>0</v>
      </c>
      <c r="GS137" s="118">
        <v>1</v>
      </c>
      <c r="GT137" s="118">
        <v>0</v>
      </c>
      <c r="GU137" s="118">
        <v>0</v>
      </c>
      <c r="GV137" s="118">
        <v>0</v>
      </c>
      <c r="GW137" s="118">
        <v>0</v>
      </c>
      <c r="GX137" s="118">
        <v>0</v>
      </c>
      <c r="GY137" s="118">
        <v>2</v>
      </c>
      <c r="GZ137" s="118">
        <v>0</v>
      </c>
      <c r="HA137" s="118">
        <v>24</v>
      </c>
      <c r="HB137" s="13"/>
      <c r="HC137" s="118" t="s">
        <v>69</v>
      </c>
      <c r="HD137" s="118">
        <v>14</v>
      </c>
      <c r="HE137" s="118">
        <v>1</v>
      </c>
      <c r="HF137" s="118">
        <v>1</v>
      </c>
      <c r="HG137" s="118">
        <v>1</v>
      </c>
      <c r="HH137" s="118">
        <v>0</v>
      </c>
      <c r="HI137" s="118">
        <v>0</v>
      </c>
      <c r="HJ137" s="118">
        <v>1</v>
      </c>
      <c r="HK137" s="118">
        <v>2</v>
      </c>
      <c r="HL137" s="118">
        <v>0</v>
      </c>
      <c r="HM137" s="118">
        <v>0</v>
      </c>
      <c r="HN137" s="118">
        <v>3</v>
      </c>
      <c r="HO137" s="118">
        <v>0</v>
      </c>
      <c r="HP137" s="118">
        <v>0</v>
      </c>
      <c r="HQ137" s="118">
        <v>0</v>
      </c>
      <c r="HR137" s="118">
        <v>0</v>
      </c>
      <c r="HS137" s="118">
        <v>0</v>
      </c>
      <c r="HT137" s="118">
        <v>0</v>
      </c>
      <c r="HU137" s="118">
        <v>0</v>
      </c>
      <c r="HV137" s="118">
        <v>23</v>
      </c>
      <c r="HW137" s="13"/>
      <c r="HX137" s="118" t="s">
        <v>69</v>
      </c>
      <c r="HY137" s="118">
        <v>8</v>
      </c>
      <c r="HZ137" s="118">
        <v>0</v>
      </c>
      <c r="IA137" s="118">
        <v>0</v>
      </c>
      <c r="IB137" s="118">
        <v>0</v>
      </c>
      <c r="IC137" s="118">
        <v>0</v>
      </c>
      <c r="ID137" s="118">
        <v>0</v>
      </c>
      <c r="IE137" s="118">
        <v>0</v>
      </c>
      <c r="IF137" s="118">
        <v>2</v>
      </c>
      <c r="IG137" s="118">
        <v>1</v>
      </c>
      <c r="IH137" s="118">
        <v>0</v>
      </c>
      <c r="II137" s="118">
        <v>0</v>
      </c>
      <c r="IJ137" s="118">
        <v>0</v>
      </c>
      <c r="IK137" s="118">
        <v>0</v>
      </c>
      <c r="IL137" s="118">
        <v>0</v>
      </c>
      <c r="IM137" s="118">
        <v>0</v>
      </c>
      <c r="IN137" s="118">
        <v>0</v>
      </c>
      <c r="IO137" s="118">
        <v>2</v>
      </c>
      <c r="IP137" s="118">
        <v>0</v>
      </c>
      <c r="IQ137" s="118">
        <v>13</v>
      </c>
      <c r="IR137" s="13"/>
      <c r="IS137" s="118" t="s">
        <v>69</v>
      </c>
      <c r="IT137" s="118">
        <v>17</v>
      </c>
      <c r="IU137" s="118">
        <v>0</v>
      </c>
      <c r="IV137" s="118">
        <v>0</v>
      </c>
      <c r="IW137" s="118">
        <v>0</v>
      </c>
      <c r="IX137" s="118">
        <v>0</v>
      </c>
      <c r="IY137" s="118">
        <v>0</v>
      </c>
      <c r="IZ137" s="118">
        <v>0</v>
      </c>
      <c r="JA137" s="118">
        <v>0</v>
      </c>
      <c r="JB137" s="118">
        <v>0</v>
      </c>
      <c r="JC137" s="118">
        <v>0</v>
      </c>
      <c r="JD137" s="118">
        <v>0</v>
      </c>
      <c r="JE137" s="118">
        <v>0</v>
      </c>
      <c r="JF137" s="118">
        <v>0</v>
      </c>
      <c r="JG137" s="118">
        <v>0</v>
      </c>
      <c r="JH137" s="118">
        <v>0</v>
      </c>
      <c r="JI137" s="118">
        <v>0</v>
      </c>
      <c r="JJ137" s="118">
        <v>4</v>
      </c>
      <c r="JK137" s="118">
        <v>0</v>
      </c>
      <c r="JL137" s="118">
        <v>21</v>
      </c>
      <c r="JM137" s="13"/>
      <c r="JN137" s="70" t="s">
        <v>69</v>
      </c>
      <c r="JO137" s="122">
        <v>14</v>
      </c>
      <c r="JP137" s="122">
        <v>0</v>
      </c>
      <c r="JQ137" s="122">
        <v>0</v>
      </c>
      <c r="JR137" s="122">
        <v>0</v>
      </c>
      <c r="JS137" s="122">
        <v>0</v>
      </c>
      <c r="JT137" s="122">
        <v>0</v>
      </c>
      <c r="JU137" s="122">
        <v>0</v>
      </c>
      <c r="JV137" s="122">
        <v>2</v>
      </c>
      <c r="JW137" s="122">
        <v>0</v>
      </c>
      <c r="JX137" s="122">
        <v>0</v>
      </c>
      <c r="JY137" s="122">
        <v>0</v>
      </c>
      <c r="JZ137" s="122">
        <v>0</v>
      </c>
      <c r="KA137" s="122">
        <v>0</v>
      </c>
      <c r="KB137" s="122">
        <v>0</v>
      </c>
      <c r="KC137" s="122">
        <v>0</v>
      </c>
      <c r="KD137" s="122">
        <v>0</v>
      </c>
      <c r="KE137" s="122">
        <v>0</v>
      </c>
      <c r="KF137" s="122">
        <v>0</v>
      </c>
      <c r="KG137" s="123">
        <v>16</v>
      </c>
      <c r="KH137" s="13"/>
      <c r="KI137" s="118" t="s">
        <v>69</v>
      </c>
      <c r="KJ137" s="118">
        <v>8</v>
      </c>
      <c r="KK137" s="118">
        <v>0</v>
      </c>
      <c r="KL137" s="118">
        <v>0</v>
      </c>
      <c r="KM137" s="118">
        <v>5</v>
      </c>
      <c r="KN137" s="118">
        <v>0</v>
      </c>
      <c r="KO137" s="118">
        <v>0</v>
      </c>
      <c r="KP137" s="118">
        <v>1</v>
      </c>
      <c r="KQ137" s="118">
        <v>0</v>
      </c>
      <c r="KR137" s="118">
        <v>0</v>
      </c>
      <c r="KS137" s="118">
        <v>4</v>
      </c>
      <c r="KT137" s="118">
        <v>0</v>
      </c>
      <c r="KU137" s="118">
        <v>0</v>
      </c>
      <c r="KV137" s="118">
        <v>3</v>
      </c>
      <c r="KW137" s="118">
        <v>0</v>
      </c>
      <c r="KX137" s="118">
        <v>0</v>
      </c>
      <c r="KY137" s="118">
        <v>0</v>
      </c>
      <c r="KZ137" s="118">
        <v>0</v>
      </c>
      <c r="LA137" s="118">
        <v>0</v>
      </c>
      <c r="LB137" s="118">
        <v>21</v>
      </c>
      <c r="LC137" s="13"/>
      <c r="LD137" s="58" t="s">
        <v>69</v>
      </c>
      <c r="LE137" s="65">
        <v>7</v>
      </c>
      <c r="LF137" s="65">
        <v>0</v>
      </c>
      <c r="LG137" s="65">
        <v>0</v>
      </c>
      <c r="LH137" s="65">
        <v>4</v>
      </c>
      <c r="LI137" s="65">
        <v>0</v>
      </c>
      <c r="LJ137" s="65">
        <v>2</v>
      </c>
      <c r="LK137" s="65">
        <v>0</v>
      </c>
      <c r="LL137" s="65">
        <v>1</v>
      </c>
      <c r="LM137" s="65">
        <v>0</v>
      </c>
      <c r="LN137" s="65">
        <v>1</v>
      </c>
      <c r="LO137" s="65">
        <v>0</v>
      </c>
      <c r="LP137" s="65">
        <v>0</v>
      </c>
      <c r="LQ137" s="65">
        <v>0</v>
      </c>
      <c r="LR137" s="65">
        <v>0</v>
      </c>
      <c r="LS137" s="65">
        <v>0</v>
      </c>
      <c r="LT137" s="65">
        <v>0</v>
      </c>
      <c r="LU137" s="65">
        <v>0</v>
      </c>
      <c r="LV137" s="65">
        <v>0</v>
      </c>
      <c r="LW137" s="65">
        <v>0</v>
      </c>
      <c r="LX137" s="65">
        <v>0</v>
      </c>
      <c r="LY137" s="65">
        <v>1</v>
      </c>
      <c r="LZ137" s="65">
        <v>0</v>
      </c>
      <c r="MA137" s="65">
        <v>16</v>
      </c>
      <c r="MB137" s="13"/>
      <c r="MC137" s="180" t="s">
        <v>69</v>
      </c>
      <c r="MD137" s="181">
        <v>36</v>
      </c>
      <c r="ME137" s="181">
        <v>0</v>
      </c>
      <c r="MF137" s="181">
        <v>0</v>
      </c>
      <c r="MG137" s="181">
        <v>0</v>
      </c>
      <c r="MH137" s="181">
        <v>0</v>
      </c>
      <c r="MI137" s="181">
        <v>0</v>
      </c>
      <c r="MJ137" s="181">
        <v>0</v>
      </c>
      <c r="MK137" s="181">
        <v>4</v>
      </c>
      <c r="ML137" s="181">
        <v>0</v>
      </c>
      <c r="MM137" s="181">
        <v>0</v>
      </c>
      <c r="MN137" s="181">
        <v>2</v>
      </c>
      <c r="MO137" s="181">
        <v>0</v>
      </c>
      <c r="MP137" s="181">
        <v>0</v>
      </c>
      <c r="MQ137" s="181">
        <v>0</v>
      </c>
      <c r="MR137" s="181">
        <v>0</v>
      </c>
      <c r="MS137" s="181">
        <v>0</v>
      </c>
      <c r="MT137" s="181">
        <v>0</v>
      </c>
      <c r="MU137" s="181">
        <v>0</v>
      </c>
      <c r="MV137" s="181">
        <v>42</v>
      </c>
      <c r="MW137" s="13"/>
      <c r="MX137" s="74" t="s">
        <v>69</v>
      </c>
      <c r="MY137" s="127">
        <v>45</v>
      </c>
      <c r="MZ137" s="127">
        <v>0</v>
      </c>
      <c r="NA137" s="127">
        <v>0</v>
      </c>
      <c r="NB137" s="127">
        <v>0</v>
      </c>
      <c r="NC137" s="127">
        <v>0</v>
      </c>
      <c r="ND137" s="127">
        <v>0</v>
      </c>
      <c r="NE137" s="127">
        <v>0</v>
      </c>
      <c r="NF137" s="127">
        <v>8</v>
      </c>
      <c r="NG137" s="127">
        <v>0</v>
      </c>
      <c r="NH137" s="127">
        <v>0</v>
      </c>
      <c r="NI137" s="127">
        <v>1</v>
      </c>
      <c r="NJ137" s="127">
        <v>0</v>
      </c>
      <c r="NK137" s="127">
        <v>0</v>
      </c>
      <c r="NL137" s="127">
        <v>0</v>
      </c>
      <c r="NM137" s="127">
        <v>0</v>
      </c>
      <c r="NN137" s="127">
        <v>0</v>
      </c>
      <c r="NO137" s="127">
        <v>0</v>
      </c>
      <c r="NP137" s="127">
        <v>2</v>
      </c>
      <c r="NQ137" s="127">
        <v>56</v>
      </c>
      <c r="NR137" s="13"/>
      <c r="NS137" s="74" t="s">
        <v>69</v>
      </c>
      <c r="NT137" s="127">
        <v>21</v>
      </c>
      <c r="NU137" s="127">
        <v>0</v>
      </c>
      <c r="NV137" s="127">
        <v>1</v>
      </c>
      <c r="NW137" s="127">
        <v>0</v>
      </c>
      <c r="NX137" s="127">
        <v>0</v>
      </c>
      <c r="NY137" s="127">
        <v>0</v>
      </c>
      <c r="NZ137" s="127">
        <v>0</v>
      </c>
      <c r="OA137" s="127">
        <v>1</v>
      </c>
      <c r="OB137" s="127">
        <v>1</v>
      </c>
      <c r="OC137" s="127">
        <v>0</v>
      </c>
      <c r="OD137" s="127">
        <v>2</v>
      </c>
      <c r="OE137" s="127">
        <v>2</v>
      </c>
      <c r="OF137" s="127">
        <v>0</v>
      </c>
      <c r="OG137" s="127">
        <v>0</v>
      </c>
      <c r="OH137" s="127">
        <v>0</v>
      </c>
      <c r="OI137" s="127">
        <v>0</v>
      </c>
      <c r="OJ137" s="127">
        <v>0</v>
      </c>
      <c r="OK137" s="127">
        <v>1</v>
      </c>
      <c r="OL137" s="127">
        <v>29</v>
      </c>
    </row>
    <row r="138" spans="1:402" ht="16" thickBot="1">
      <c r="A138" s="17" t="s">
        <v>113</v>
      </c>
      <c r="B138" s="128">
        <v>2645</v>
      </c>
      <c r="C138" s="128">
        <v>6</v>
      </c>
      <c r="D138" s="128">
        <v>204</v>
      </c>
      <c r="E138" s="128">
        <v>77</v>
      </c>
      <c r="F138" s="128">
        <v>155</v>
      </c>
      <c r="G138" s="128">
        <v>43</v>
      </c>
      <c r="H138" s="128">
        <v>15</v>
      </c>
      <c r="I138" s="128">
        <v>261</v>
      </c>
      <c r="J138" s="128">
        <v>252</v>
      </c>
      <c r="K138" s="128">
        <v>36</v>
      </c>
      <c r="L138" s="128">
        <v>150</v>
      </c>
      <c r="M138" s="128">
        <v>56</v>
      </c>
      <c r="N138" s="128">
        <v>13</v>
      </c>
      <c r="O138" s="128">
        <v>7</v>
      </c>
      <c r="P138" s="128">
        <v>0</v>
      </c>
      <c r="Q138" s="128">
        <v>14</v>
      </c>
      <c r="R138" s="128">
        <v>299</v>
      </c>
      <c r="S138" s="128">
        <v>139</v>
      </c>
      <c r="T138" s="128">
        <v>4372</v>
      </c>
      <c r="U138" s="132"/>
      <c r="V138" s="17" t="s">
        <v>113</v>
      </c>
      <c r="W138" s="128">
        <v>2429</v>
      </c>
      <c r="X138" s="128">
        <v>4</v>
      </c>
      <c r="Y138" s="128">
        <v>223</v>
      </c>
      <c r="Z138" s="128">
        <v>117</v>
      </c>
      <c r="AA138" s="128">
        <v>169</v>
      </c>
      <c r="AB138" s="128">
        <v>36</v>
      </c>
      <c r="AC138" s="128">
        <v>14</v>
      </c>
      <c r="AD138" s="128">
        <v>288</v>
      </c>
      <c r="AE138" s="128">
        <v>273</v>
      </c>
      <c r="AF138" s="128">
        <v>30</v>
      </c>
      <c r="AG138" s="133">
        <v>172</v>
      </c>
      <c r="AH138" s="128">
        <v>56</v>
      </c>
      <c r="AI138" s="128">
        <v>36</v>
      </c>
      <c r="AJ138" s="128">
        <v>4</v>
      </c>
      <c r="AK138" s="128">
        <v>3</v>
      </c>
      <c r="AL138" s="128">
        <v>22</v>
      </c>
      <c r="AM138" s="128">
        <v>435</v>
      </c>
      <c r="AN138" s="128">
        <v>93</v>
      </c>
      <c r="AO138" s="128">
        <v>4404</v>
      </c>
      <c r="AP138" s="132"/>
      <c r="AQ138" s="17" t="s">
        <v>113</v>
      </c>
      <c r="AR138" s="128">
        <v>2162</v>
      </c>
      <c r="AS138" s="128">
        <v>7</v>
      </c>
      <c r="AT138" s="128">
        <v>189</v>
      </c>
      <c r="AU138" s="128">
        <v>75</v>
      </c>
      <c r="AV138" s="128">
        <v>144</v>
      </c>
      <c r="AW138" s="128">
        <v>39</v>
      </c>
      <c r="AX138" s="128">
        <v>12</v>
      </c>
      <c r="AY138" s="128">
        <v>303</v>
      </c>
      <c r="AZ138" s="128">
        <v>251</v>
      </c>
      <c r="BA138" s="128">
        <v>30</v>
      </c>
      <c r="BB138" s="128">
        <v>122</v>
      </c>
      <c r="BC138" s="128">
        <v>76</v>
      </c>
      <c r="BD138" s="128">
        <v>5</v>
      </c>
      <c r="BE138" s="128">
        <v>10</v>
      </c>
      <c r="BF138" s="128">
        <v>0</v>
      </c>
      <c r="BG138" s="128">
        <v>36</v>
      </c>
      <c r="BH138" s="128">
        <v>440</v>
      </c>
      <c r="BI138" s="128">
        <v>82</v>
      </c>
      <c r="BJ138" s="128">
        <v>3983</v>
      </c>
      <c r="BK138" s="14"/>
      <c r="BL138" s="115" t="s">
        <v>113</v>
      </c>
      <c r="BM138" s="119">
        <v>2153</v>
      </c>
      <c r="BN138" s="119">
        <v>7</v>
      </c>
      <c r="BO138" s="119">
        <v>161</v>
      </c>
      <c r="BP138" s="119">
        <v>85</v>
      </c>
      <c r="BQ138" s="119">
        <v>157</v>
      </c>
      <c r="BR138" s="119">
        <v>22</v>
      </c>
      <c r="BS138" s="119">
        <v>6</v>
      </c>
      <c r="BT138" s="119">
        <v>306</v>
      </c>
      <c r="BU138" s="119">
        <v>209</v>
      </c>
      <c r="BV138" s="119">
        <v>18</v>
      </c>
      <c r="BW138" s="119">
        <v>168</v>
      </c>
      <c r="BX138" s="119">
        <v>87</v>
      </c>
      <c r="BY138" s="119">
        <v>13</v>
      </c>
      <c r="BZ138" s="119">
        <v>10</v>
      </c>
      <c r="CA138" s="119">
        <v>4</v>
      </c>
      <c r="CB138" s="119">
        <v>38</v>
      </c>
      <c r="CC138" s="119">
        <v>308</v>
      </c>
      <c r="CD138" s="119">
        <v>92</v>
      </c>
      <c r="CE138" s="119">
        <v>3844</v>
      </c>
      <c r="CF138" s="14"/>
      <c r="CG138" s="119" t="s">
        <v>113</v>
      </c>
      <c r="CH138" s="119">
        <v>2265</v>
      </c>
      <c r="CI138" s="119">
        <v>15</v>
      </c>
      <c r="CJ138" s="119">
        <v>164</v>
      </c>
      <c r="CK138" s="119">
        <v>115</v>
      </c>
      <c r="CL138" s="119">
        <v>153</v>
      </c>
      <c r="CM138" s="119">
        <v>46</v>
      </c>
      <c r="CN138" s="119">
        <v>26</v>
      </c>
      <c r="CO138" s="119">
        <v>287</v>
      </c>
      <c r="CP138" s="119">
        <v>275</v>
      </c>
      <c r="CQ138" s="119">
        <v>50</v>
      </c>
      <c r="CR138" s="119">
        <v>161</v>
      </c>
      <c r="CS138" s="119">
        <v>61</v>
      </c>
      <c r="CT138" s="119">
        <v>12</v>
      </c>
      <c r="CU138" s="119">
        <v>11</v>
      </c>
      <c r="CV138" s="119">
        <v>0</v>
      </c>
      <c r="CW138" s="119">
        <v>22</v>
      </c>
      <c r="CX138" s="119">
        <v>312</v>
      </c>
      <c r="CY138" s="119">
        <v>131</v>
      </c>
      <c r="CZ138" s="119">
        <v>4106</v>
      </c>
      <c r="DA138" s="14"/>
      <c r="DB138" s="119" t="s">
        <v>113</v>
      </c>
      <c r="DC138" s="119">
        <v>2561</v>
      </c>
      <c r="DD138" s="119">
        <v>6</v>
      </c>
      <c r="DE138" s="119">
        <v>223</v>
      </c>
      <c r="DF138" s="119">
        <v>72</v>
      </c>
      <c r="DG138" s="119">
        <v>188</v>
      </c>
      <c r="DH138" s="119">
        <v>42</v>
      </c>
      <c r="DI138" s="119">
        <v>5</v>
      </c>
      <c r="DJ138" s="119">
        <v>290</v>
      </c>
      <c r="DK138" s="119">
        <v>229</v>
      </c>
      <c r="DL138" s="119">
        <v>14</v>
      </c>
      <c r="DM138" s="119">
        <v>183</v>
      </c>
      <c r="DN138" s="119">
        <v>33</v>
      </c>
      <c r="DO138" s="119">
        <v>14</v>
      </c>
      <c r="DP138" s="119">
        <v>9</v>
      </c>
      <c r="DQ138" s="119">
        <v>0</v>
      </c>
      <c r="DR138" s="119">
        <v>42</v>
      </c>
      <c r="DS138" s="119">
        <v>243</v>
      </c>
      <c r="DT138" s="119">
        <v>129</v>
      </c>
      <c r="DU138" s="119">
        <v>4283</v>
      </c>
      <c r="DV138" s="14"/>
      <c r="DW138" s="119" t="s">
        <v>113</v>
      </c>
      <c r="DX138" s="119">
        <v>2418</v>
      </c>
      <c r="DY138" s="119">
        <v>9</v>
      </c>
      <c r="DZ138" s="119">
        <v>217</v>
      </c>
      <c r="EA138" s="119">
        <v>110</v>
      </c>
      <c r="EB138" s="119">
        <v>144</v>
      </c>
      <c r="EC138" s="119">
        <v>26</v>
      </c>
      <c r="ED138" s="119">
        <v>8</v>
      </c>
      <c r="EE138" s="119">
        <v>286</v>
      </c>
      <c r="EF138" s="119">
        <v>294</v>
      </c>
      <c r="EG138" s="119">
        <v>19</v>
      </c>
      <c r="EH138" s="119">
        <v>252</v>
      </c>
      <c r="EI138" s="119">
        <v>37</v>
      </c>
      <c r="EJ138" s="119">
        <v>11</v>
      </c>
      <c r="EK138" s="119">
        <v>14</v>
      </c>
      <c r="EL138" s="119">
        <v>3</v>
      </c>
      <c r="EM138" s="119">
        <v>22</v>
      </c>
      <c r="EN138" s="119">
        <v>382</v>
      </c>
      <c r="EO138" s="119">
        <v>128</v>
      </c>
      <c r="EP138" s="119">
        <v>4380</v>
      </c>
      <c r="EQ138" s="14"/>
      <c r="ER138" s="119" t="s">
        <v>97</v>
      </c>
      <c r="ES138" s="119">
        <v>2586</v>
      </c>
      <c r="ET138" s="119">
        <v>8</v>
      </c>
      <c r="EU138" s="119">
        <v>197</v>
      </c>
      <c r="EV138" s="119">
        <v>79</v>
      </c>
      <c r="EW138" s="119">
        <v>162</v>
      </c>
      <c r="EX138" s="119">
        <v>50</v>
      </c>
      <c r="EY138" s="119">
        <v>21</v>
      </c>
      <c r="EZ138" s="119">
        <v>243</v>
      </c>
      <c r="FA138" s="119">
        <v>276</v>
      </c>
      <c r="FB138" s="119">
        <v>21</v>
      </c>
      <c r="FC138" s="119">
        <v>217</v>
      </c>
      <c r="FD138" s="119">
        <v>34</v>
      </c>
      <c r="FE138" s="119">
        <v>9</v>
      </c>
      <c r="FF138" s="119">
        <v>10</v>
      </c>
      <c r="FG138" s="119">
        <v>0</v>
      </c>
      <c r="FH138" s="119">
        <v>31</v>
      </c>
      <c r="FI138" s="119">
        <v>356</v>
      </c>
      <c r="FJ138" s="119">
        <v>221</v>
      </c>
      <c r="FK138" s="119">
        <v>4521</v>
      </c>
      <c r="FL138" s="14"/>
      <c r="FM138" s="119" t="s">
        <v>97</v>
      </c>
      <c r="FN138" s="119">
        <v>1803</v>
      </c>
      <c r="FO138" s="119">
        <v>16</v>
      </c>
      <c r="FP138" s="119">
        <v>198</v>
      </c>
      <c r="FQ138" s="119">
        <v>151</v>
      </c>
      <c r="FR138" s="119">
        <v>195</v>
      </c>
      <c r="FS138" s="119">
        <v>47</v>
      </c>
      <c r="FT138" s="119">
        <v>12</v>
      </c>
      <c r="FU138" s="119">
        <v>42</v>
      </c>
      <c r="FV138" s="119">
        <v>270</v>
      </c>
      <c r="FW138" s="119">
        <v>26</v>
      </c>
      <c r="FX138" s="119">
        <v>203</v>
      </c>
      <c r="FY138" s="119">
        <v>39</v>
      </c>
      <c r="FZ138" s="119">
        <v>6</v>
      </c>
      <c r="GA138" s="119">
        <v>8</v>
      </c>
      <c r="GB138" s="119">
        <v>2</v>
      </c>
      <c r="GC138" s="119">
        <v>180</v>
      </c>
      <c r="GD138" s="119">
        <v>390</v>
      </c>
      <c r="GE138" s="119">
        <v>1247</v>
      </c>
      <c r="GF138" s="119">
        <v>4835</v>
      </c>
      <c r="GG138" s="14"/>
      <c r="GH138" s="119" t="s">
        <v>113</v>
      </c>
      <c r="GI138" s="119">
        <v>2119</v>
      </c>
      <c r="GJ138" s="119">
        <v>4</v>
      </c>
      <c r="GK138" s="119">
        <v>176</v>
      </c>
      <c r="GL138" s="119">
        <v>109</v>
      </c>
      <c r="GM138" s="119">
        <v>117</v>
      </c>
      <c r="GN138" s="119">
        <v>35</v>
      </c>
      <c r="GO138" s="119">
        <v>15</v>
      </c>
      <c r="GP138" s="119">
        <v>197</v>
      </c>
      <c r="GQ138" s="119">
        <v>205</v>
      </c>
      <c r="GR138" s="119">
        <v>14</v>
      </c>
      <c r="GS138" s="119">
        <v>141</v>
      </c>
      <c r="GT138" s="119">
        <v>24</v>
      </c>
      <c r="GU138" s="119">
        <v>9</v>
      </c>
      <c r="GV138" s="119">
        <v>5</v>
      </c>
      <c r="GW138" s="119">
        <v>3</v>
      </c>
      <c r="GX138" s="119">
        <v>27</v>
      </c>
      <c r="GY138" s="119">
        <v>350</v>
      </c>
      <c r="GZ138" s="119">
        <v>160</v>
      </c>
      <c r="HA138" s="119">
        <v>3710</v>
      </c>
      <c r="HB138" s="14"/>
      <c r="HC138" s="119" t="s">
        <v>113</v>
      </c>
      <c r="HD138" s="119">
        <v>2298</v>
      </c>
      <c r="HE138" s="119">
        <v>10</v>
      </c>
      <c r="HF138" s="119">
        <v>211</v>
      </c>
      <c r="HG138" s="119">
        <v>98</v>
      </c>
      <c r="HH138" s="119">
        <v>155</v>
      </c>
      <c r="HI138" s="119">
        <v>35</v>
      </c>
      <c r="HJ138" s="119">
        <v>18</v>
      </c>
      <c r="HK138" s="119">
        <v>216</v>
      </c>
      <c r="HL138" s="119">
        <v>211</v>
      </c>
      <c r="HM138" s="119">
        <v>13</v>
      </c>
      <c r="HN138" s="119">
        <v>169</v>
      </c>
      <c r="HO138" s="119">
        <v>48</v>
      </c>
      <c r="HP138" s="119">
        <v>11</v>
      </c>
      <c r="HQ138" s="119">
        <v>8</v>
      </c>
      <c r="HR138" s="119">
        <v>5</v>
      </c>
      <c r="HS138" s="119">
        <v>15</v>
      </c>
      <c r="HT138" s="119">
        <v>301</v>
      </c>
      <c r="HU138" s="119">
        <v>98</v>
      </c>
      <c r="HV138" s="119">
        <v>3920</v>
      </c>
      <c r="HW138" s="14"/>
      <c r="HX138" s="119" t="s">
        <v>113</v>
      </c>
      <c r="HY138" s="119">
        <v>1681</v>
      </c>
      <c r="HZ138" s="119">
        <v>5</v>
      </c>
      <c r="IA138" s="119">
        <v>190</v>
      </c>
      <c r="IB138" s="119">
        <v>66</v>
      </c>
      <c r="IC138" s="119">
        <v>124</v>
      </c>
      <c r="ID138" s="119">
        <v>21</v>
      </c>
      <c r="IE138" s="119">
        <v>6</v>
      </c>
      <c r="IF138" s="119">
        <v>174</v>
      </c>
      <c r="IG138" s="119">
        <v>125</v>
      </c>
      <c r="IH138" s="119">
        <v>6</v>
      </c>
      <c r="II138" s="119">
        <v>157</v>
      </c>
      <c r="IJ138" s="119">
        <v>21</v>
      </c>
      <c r="IK138" s="119">
        <v>10</v>
      </c>
      <c r="IL138" s="119">
        <v>6</v>
      </c>
      <c r="IM138" s="119">
        <v>4</v>
      </c>
      <c r="IN138" s="119">
        <v>11</v>
      </c>
      <c r="IO138" s="119">
        <v>296</v>
      </c>
      <c r="IP138" s="119">
        <v>88</v>
      </c>
      <c r="IQ138" s="119">
        <v>2991</v>
      </c>
      <c r="IR138" s="14"/>
      <c r="IS138" s="119" t="s">
        <v>113</v>
      </c>
      <c r="IT138" s="119">
        <v>2145</v>
      </c>
      <c r="IU138" s="119">
        <v>7</v>
      </c>
      <c r="IV138" s="119">
        <v>205</v>
      </c>
      <c r="IW138" s="119">
        <v>76</v>
      </c>
      <c r="IX138" s="119">
        <v>155</v>
      </c>
      <c r="IY138" s="119">
        <v>31</v>
      </c>
      <c r="IZ138" s="119">
        <v>14</v>
      </c>
      <c r="JA138" s="119">
        <v>214</v>
      </c>
      <c r="JB138" s="119">
        <v>154</v>
      </c>
      <c r="JC138" s="119">
        <v>20</v>
      </c>
      <c r="JD138" s="119">
        <v>153</v>
      </c>
      <c r="JE138" s="119">
        <v>26</v>
      </c>
      <c r="JF138" s="119">
        <v>6</v>
      </c>
      <c r="JG138" s="119">
        <v>8</v>
      </c>
      <c r="JH138" s="119">
        <v>9</v>
      </c>
      <c r="JI138" s="119">
        <v>31</v>
      </c>
      <c r="JJ138" s="119">
        <v>199</v>
      </c>
      <c r="JK138" s="119">
        <v>132</v>
      </c>
      <c r="JL138" s="119">
        <v>3585</v>
      </c>
      <c r="JM138" s="14"/>
      <c r="JN138" s="134" t="s">
        <v>113</v>
      </c>
      <c r="JO138" s="135">
        <v>2298</v>
      </c>
      <c r="JP138" s="135">
        <v>4</v>
      </c>
      <c r="JQ138" s="135">
        <v>224</v>
      </c>
      <c r="JR138" s="135">
        <v>88</v>
      </c>
      <c r="JS138" s="135">
        <v>127</v>
      </c>
      <c r="JT138" s="135">
        <v>46</v>
      </c>
      <c r="JU138" s="135">
        <v>3</v>
      </c>
      <c r="JV138" s="135">
        <v>209</v>
      </c>
      <c r="JW138" s="135">
        <v>172</v>
      </c>
      <c r="JX138" s="135">
        <v>14</v>
      </c>
      <c r="JY138" s="135">
        <v>142</v>
      </c>
      <c r="JZ138" s="135">
        <v>37</v>
      </c>
      <c r="KA138" s="135">
        <v>8</v>
      </c>
      <c r="KB138" s="135">
        <v>10</v>
      </c>
      <c r="KC138" s="135">
        <v>3</v>
      </c>
      <c r="KD138" s="135">
        <v>22</v>
      </c>
      <c r="KE138" s="135">
        <v>55</v>
      </c>
      <c r="KF138" s="135">
        <v>50</v>
      </c>
      <c r="KG138" s="135">
        <v>3512</v>
      </c>
      <c r="KH138" s="15"/>
      <c r="KI138" s="118" t="s">
        <v>113</v>
      </c>
      <c r="KJ138" s="118">
        <v>1396</v>
      </c>
      <c r="KK138" s="118">
        <v>3</v>
      </c>
      <c r="KL138" s="118">
        <v>175</v>
      </c>
      <c r="KM138" s="118">
        <v>639</v>
      </c>
      <c r="KN138" s="118">
        <v>71</v>
      </c>
      <c r="KO138" s="118">
        <v>134</v>
      </c>
      <c r="KP138" s="118">
        <v>106</v>
      </c>
      <c r="KQ138" s="118">
        <v>29</v>
      </c>
      <c r="KR138" s="118">
        <v>5</v>
      </c>
      <c r="KS138" s="118">
        <v>28</v>
      </c>
      <c r="KT138" s="118">
        <v>128</v>
      </c>
      <c r="KU138" s="118">
        <v>17</v>
      </c>
      <c r="KV138" s="118">
        <v>151</v>
      </c>
      <c r="KW138" s="118">
        <v>23</v>
      </c>
      <c r="KX138" s="118">
        <v>10</v>
      </c>
      <c r="KY138" s="118">
        <v>4</v>
      </c>
      <c r="KZ138" s="118">
        <v>7</v>
      </c>
      <c r="LA138" s="118">
        <v>21</v>
      </c>
      <c r="LB138" s="118">
        <v>2947</v>
      </c>
      <c r="LC138" s="15"/>
      <c r="LD138" s="57" t="s">
        <v>97</v>
      </c>
      <c r="LE138" s="63">
        <v>1119</v>
      </c>
      <c r="LF138" s="63">
        <v>10</v>
      </c>
      <c r="LG138" s="63">
        <v>160</v>
      </c>
      <c r="LH138" s="63">
        <v>632</v>
      </c>
      <c r="LI138" s="63">
        <v>71</v>
      </c>
      <c r="LJ138" s="63">
        <v>107</v>
      </c>
      <c r="LK138" s="63">
        <v>90</v>
      </c>
      <c r="LL138" s="63">
        <v>46</v>
      </c>
      <c r="LM138" s="63">
        <v>6</v>
      </c>
      <c r="LN138" s="63">
        <v>32</v>
      </c>
      <c r="LO138" s="63">
        <v>107</v>
      </c>
      <c r="LP138" s="63">
        <v>18</v>
      </c>
      <c r="LQ138" s="63">
        <v>125</v>
      </c>
      <c r="LR138" s="63">
        <v>34</v>
      </c>
      <c r="LS138" s="63">
        <v>5</v>
      </c>
      <c r="LT138" s="63">
        <v>7</v>
      </c>
      <c r="LU138" s="63">
        <v>7</v>
      </c>
      <c r="LV138" s="63">
        <v>21</v>
      </c>
      <c r="LW138" s="63">
        <v>0</v>
      </c>
      <c r="LX138" s="63">
        <v>24</v>
      </c>
      <c r="LY138" s="63">
        <v>35</v>
      </c>
      <c r="LZ138" s="63">
        <v>56</v>
      </c>
      <c r="MA138" s="63">
        <v>2712</v>
      </c>
      <c r="MB138" s="14"/>
      <c r="MC138" s="180" t="s">
        <v>113</v>
      </c>
      <c r="MD138" s="181">
        <v>2165</v>
      </c>
      <c r="ME138" s="181">
        <v>15</v>
      </c>
      <c r="MF138" s="181">
        <v>182</v>
      </c>
      <c r="MG138" s="181">
        <v>73</v>
      </c>
      <c r="MH138" s="181">
        <v>143</v>
      </c>
      <c r="MI138" s="181">
        <v>52</v>
      </c>
      <c r="MJ138" s="181">
        <v>15</v>
      </c>
      <c r="MK138" s="181">
        <v>196</v>
      </c>
      <c r="ML138" s="181">
        <v>118</v>
      </c>
      <c r="MM138" s="181">
        <v>20</v>
      </c>
      <c r="MN138" s="181">
        <v>177</v>
      </c>
      <c r="MO138" s="181">
        <v>24</v>
      </c>
      <c r="MP138" s="181">
        <v>16</v>
      </c>
      <c r="MQ138" s="181">
        <v>13</v>
      </c>
      <c r="MR138" s="181">
        <v>1</v>
      </c>
      <c r="MS138" s="181">
        <v>18</v>
      </c>
      <c r="MT138" s="181">
        <v>3</v>
      </c>
      <c r="MU138" s="181">
        <v>84</v>
      </c>
      <c r="MV138" s="181">
        <v>3315</v>
      </c>
      <c r="MW138" s="14"/>
      <c r="MX138" s="74" t="s">
        <v>113</v>
      </c>
      <c r="MY138" s="127">
        <v>2371</v>
      </c>
      <c r="MZ138" s="127">
        <v>7</v>
      </c>
      <c r="NA138" s="127">
        <v>207</v>
      </c>
      <c r="NB138" s="127">
        <v>76</v>
      </c>
      <c r="NC138" s="127">
        <v>175</v>
      </c>
      <c r="ND138" s="127">
        <v>50</v>
      </c>
      <c r="NE138" s="127">
        <v>16</v>
      </c>
      <c r="NF138" s="127">
        <v>213</v>
      </c>
      <c r="NG138" s="127">
        <v>160</v>
      </c>
      <c r="NH138" s="127">
        <v>17</v>
      </c>
      <c r="NI138" s="127">
        <v>192</v>
      </c>
      <c r="NJ138" s="127">
        <v>41</v>
      </c>
      <c r="NK138" s="127">
        <v>7</v>
      </c>
      <c r="NL138" s="127">
        <v>10</v>
      </c>
      <c r="NM138" s="127">
        <v>1</v>
      </c>
      <c r="NN138" s="127">
        <v>24</v>
      </c>
      <c r="NO138" s="127">
        <v>83</v>
      </c>
      <c r="NP138" s="127">
        <v>116</v>
      </c>
      <c r="NQ138" s="127">
        <v>3766</v>
      </c>
      <c r="NR138" s="14"/>
      <c r="NS138" s="74" t="s">
        <v>113</v>
      </c>
      <c r="NT138" s="137">
        <v>2376</v>
      </c>
      <c r="NU138" s="137">
        <v>25</v>
      </c>
      <c r="NV138" s="137">
        <v>186</v>
      </c>
      <c r="NW138" s="137">
        <v>117</v>
      </c>
      <c r="NX138" s="137">
        <v>143</v>
      </c>
      <c r="NY138" s="137">
        <v>38</v>
      </c>
      <c r="NZ138" s="137">
        <v>8</v>
      </c>
      <c r="OA138" s="137">
        <v>202</v>
      </c>
      <c r="OB138" s="137">
        <v>157</v>
      </c>
      <c r="OC138" s="137">
        <v>18</v>
      </c>
      <c r="OD138" s="137">
        <v>145</v>
      </c>
      <c r="OE138" s="137">
        <v>49</v>
      </c>
      <c r="OF138" s="137">
        <v>14</v>
      </c>
      <c r="OG138" s="137">
        <v>6</v>
      </c>
      <c r="OH138" s="137">
        <v>4</v>
      </c>
      <c r="OI138" s="137">
        <v>26</v>
      </c>
      <c r="OJ138" s="137">
        <v>73</v>
      </c>
      <c r="OK138" s="137">
        <v>112</v>
      </c>
      <c r="OL138" s="137">
        <v>3699</v>
      </c>
    </row>
    <row r="139" spans="1:402">
      <c r="A139" s="22" t="s">
        <v>98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6" t="s">
        <v>98</v>
      </c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6" t="s">
        <v>98</v>
      </c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6" t="s">
        <v>98</v>
      </c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</row>
    <row r="142" spans="1:402">
      <c r="A142" s="13"/>
      <c r="B142" s="13"/>
      <c r="C142" s="129" t="s">
        <v>174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</row>
    <row r="143" spans="1:402" ht="15" thickBot="1">
      <c r="A143" s="129"/>
      <c r="B143" s="14"/>
      <c r="C143" s="14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</row>
    <row r="144" spans="1:402" ht="39">
      <c r="A144" s="130" t="s">
        <v>175</v>
      </c>
      <c r="B144" s="21" t="s">
        <v>176</v>
      </c>
      <c r="C144" s="46"/>
      <c r="D144" s="46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</row>
    <row r="145" spans="1:4" ht="39">
      <c r="A145" s="131" t="s">
        <v>177</v>
      </c>
      <c r="B145" s="20" t="s">
        <v>153</v>
      </c>
      <c r="C145" s="45"/>
      <c r="D145" s="45"/>
    </row>
    <row r="146" spans="1:4" ht="65">
      <c r="A146" s="131" t="s">
        <v>178</v>
      </c>
      <c r="B146" s="20" t="s">
        <v>179</v>
      </c>
      <c r="C146" s="45"/>
      <c r="D146" s="45"/>
    </row>
    <row r="147" spans="1:4" ht="26">
      <c r="A147" s="131" t="s">
        <v>180</v>
      </c>
      <c r="B147" s="20" t="s">
        <v>155</v>
      </c>
      <c r="C147" s="45"/>
      <c r="D147" s="45"/>
    </row>
    <row r="148" spans="1:4" ht="65">
      <c r="A148" s="131" t="s">
        <v>181</v>
      </c>
      <c r="B148" s="20" t="s">
        <v>156</v>
      </c>
      <c r="C148" s="45"/>
      <c r="D148" s="45"/>
    </row>
    <row r="149" spans="1:4" ht="39">
      <c r="A149" s="131" t="s">
        <v>182</v>
      </c>
      <c r="B149" s="20" t="s">
        <v>157</v>
      </c>
      <c r="C149" s="45"/>
      <c r="D149" s="45"/>
    </row>
    <row r="150" spans="1:4" ht="26">
      <c r="A150" s="131" t="s">
        <v>183</v>
      </c>
      <c r="B150" s="20" t="s">
        <v>158</v>
      </c>
      <c r="C150" s="45"/>
      <c r="D150" s="45"/>
    </row>
    <row r="151" spans="1:4" ht="52">
      <c r="A151" s="131" t="s">
        <v>184</v>
      </c>
      <c r="B151" s="20" t="s">
        <v>159</v>
      </c>
      <c r="C151" s="45"/>
      <c r="D151" s="45"/>
    </row>
    <row r="152" spans="1:4" ht="39">
      <c r="A152" s="131" t="s">
        <v>185</v>
      </c>
      <c r="B152" s="20" t="s">
        <v>160</v>
      </c>
      <c r="C152" s="45"/>
      <c r="D152" s="45"/>
    </row>
    <row r="153" spans="1:4" ht="39">
      <c r="A153" s="131" t="s">
        <v>186</v>
      </c>
      <c r="B153" s="20" t="s">
        <v>161</v>
      </c>
      <c r="C153" s="45"/>
      <c r="D153" s="45"/>
    </row>
    <row r="154" spans="1:4" ht="26">
      <c r="A154" s="131" t="s">
        <v>187</v>
      </c>
      <c r="B154" s="20" t="s">
        <v>162</v>
      </c>
      <c r="C154" s="45"/>
      <c r="D154" s="45"/>
    </row>
    <row r="155" spans="1:4" ht="39">
      <c r="A155" s="131" t="s">
        <v>188</v>
      </c>
      <c r="B155" s="20" t="s">
        <v>163</v>
      </c>
      <c r="C155" s="45"/>
      <c r="D155" s="45"/>
    </row>
    <row r="156" spans="1:4" ht="65">
      <c r="A156" s="131" t="s">
        <v>189</v>
      </c>
      <c r="B156" s="20" t="s">
        <v>164</v>
      </c>
      <c r="C156" s="45"/>
      <c r="D156" s="45"/>
    </row>
    <row r="157" spans="1:4" ht="52">
      <c r="A157" s="131" t="s">
        <v>190</v>
      </c>
      <c r="B157" s="20" t="s">
        <v>165</v>
      </c>
      <c r="C157" s="45"/>
      <c r="D157" s="45"/>
    </row>
    <row r="158" spans="1:4" ht="78">
      <c r="A158" s="131" t="s">
        <v>191</v>
      </c>
      <c r="B158" s="20" t="s">
        <v>166</v>
      </c>
      <c r="C158" s="45"/>
      <c r="D158" s="45"/>
    </row>
    <row r="159" spans="1:4" ht="39">
      <c r="A159" s="131" t="s">
        <v>192</v>
      </c>
      <c r="B159" s="20" t="s">
        <v>167</v>
      </c>
      <c r="C159" s="45"/>
      <c r="D159" s="45"/>
    </row>
    <row r="160" spans="1:4" ht="26">
      <c r="A160" s="131" t="s">
        <v>193</v>
      </c>
      <c r="B160" s="20" t="s">
        <v>168</v>
      </c>
      <c r="C160" s="45"/>
      <c r="D160" s="45"/>
    </row>
    <row r="161" spans="1:4" ht="39">
      <c r="A161" s="131" t="s">
        <v>194</v>
      </c>
      <c r="B161" s="20" t="s">
        <v>169</v>
      </c>
      <c r="C161" s="45"/>
      <c r="D161" s="45"/>
    </row>
    <row r="162" spans="1:4">
      <c r="A162" s="131" t="s">
        <v>195</v>
      </c>
      <c r="B162" s="20" t="s">
        <v>196</v>
      </c>
      <c r="C162" s="45"/>
      <c r="D162" s="45"/>
    </row>
  </sheetData>
  <mergeCells count="119">
    <mergeCell ref="FS1:GA1"/>
    <mergeCell ref="GC1:GK1"/>
    <mergeCell ref="GM1:GU1"/>
    <mergeCell ref="BK47:BL47"/>
    <mergeCell ref="GH99:HA99"/>
    <mergeCell ref="HC99:HV99"/>
    <mergeCell ref="HX99:IQ99"/>
    <mergeCell ref="IS99:JL99"/>
    <mergeCell ref="JN99:KG99"/>
    <mergeCell ref="FS2:GA2"/>
    <mergeCell ref="GC2:GK2"/>
    <mergeCell ref="KI99:LB99"/>
    <mergeCell ref="LD99:MA99"/>
    <mergeCell ref="A47:A48"/>
    <mergeCell ref="A59:A60"/>
    <mergeCell ref="I47:I48"/>
    <mergeCell ref="I59:I60"/>
    <mergeCell ref="B99:V99"/>
    <mergeCell ref="W99:AO99"/>
    <mergeCell ref="AP99:BH99"/>
    <mergeCell ref="BL99:CE99"/>
    <mergeCell ref="CG99:CL99"/>
    <mergeCell ref="DB99:DU99"/>
    <mergeCell ref="DW99:EP99"/>
    <mergeCell ref="ER99:FK99"/>
    <mergeCell ref="FM99:GF99"/>
    <mergeCell ref="BK59:BL59"/>
    <mergeCell ref="B70:C70"/>
    <mergeCell ref="D70:E70"/>
    <mergeCell ref="F70:G70"/>
    <mergeCell ref="J70:K70"/>
    <mergeCell ref="B88:C88"/>
    <mergeCell ref="D88:E88"/>
    <mergeCell ref="F88:G88"/>
    <mergeCell ref="J88:K88"/>
    <mergeCell ref="N88:O88"/>
    <mergeCell ref="R88:S88"/>
    <mergeCell ref="W88:X88"/>
    <mergeCell ref="AA88:AB88"/>
    <mergeCell ref="AE88:AF88"/>
    <mergeCell ref="AI88:AJ88"/>
    <mergeCell ref="AM88:AN88"/>
    <mergeCell ref="AQ88:AR88"/>
    <mergeCell ref="AU88:AV88"/>
    <mergeCell ref="AY88:AZ88"/>
    <mergeCell ref="BC88:BD88"/>
    <mergeCell ref="BG88:BH88"/>
    <mergeCell ref="BK88:BL88"/>
    <mergeCell ref="BF58:BH58"/>
    <mergeCell ref="B59:C59"/>
    <mergeCell ref="D59:E59"/>
    <mergeCell ref="F59:G59"/>
    <mergeCell ref="J59:K59"/>
    <mergeCell ref="N59:O59"/>
    <mergeCell ref="R59:S59"/>
    <mergeCell ref="W59:X59"/>
    <mergeCell ref="AA59:AB59"/>
    <mergeCell ref="AE59:AF59"/>
    <mergeCell ref="AI59:AJ59"/>
    <mergeCell ref="AM59:AN59"/>
    <mergeCell ref="AQ59:AR59"/>
    <mergeCell ref="AU59:AV59"/>
    <mergeCell ref="AY59:AZ59"/>
    <mergeCell ref="BC59:BD59"/>
    <mergeCell ref="BG59:BH59"/>
    <mergeCell ref="B58:C58"/>
    <mergeCell ref="D58:E58"/>
    <mergeCell ref="F58:G58"/>
    <mergeCell ref="AH58:AJ58"/>
    <mergeCell ref="AL58:AN58"/>
    <mergeCell ref="AP58:AR58"/>
    <mergeCell ref="AT58:AV58"/>
    <mergeCell ref="AX58:AZ58"/>
    <mergeCell ref="BB58:BD58"/>
    <mergeCell ref="AI47:AJ47"/>
    <mergeCell ref="AM47:AN47"/>
    <mergeCell ref="AQ47:AR47"/>
    <mergeCell ref="AU47:AV47"/>
    <mergeCell ref="AY47:AZ47"/>
    <mergeCell ref="BC47:BD47"/>
    <mergeCell ref="BG47:BH47"/>
    <mergeCell ref="B47:C47"/>
    <mergeCell ref="D47:E47"/>
    <mergeCell ref="F47:G47"/>
    <mergeCell ref="J47:K47"/>
    <mergeCell ref="N47:O47"/>
    <mergeCell ref="R47:S47"/>
    <mergeCell ref="W47:X47"/>
    <mergeCell ref="AA47:AB47"/>
    <mergeCell ref="AE47:AF47"/>
    <mergeCell ref="B46:C46"/>
    <mergeCell ref="D46:E46"/>
    <mergeCell ref="F46:G46"/>
    <mergeCell ref="AH46:AJ46"/>
    <mergeCell ref="AL46:AN46"/>
    <mergeCell ref="AP46:AR46"/>
    <mergeCell ref="AT46:AV46"/>
    <mergeCell ref="AX46:AZ46"/>
    <mergeCell ref="BB46:BD46"/>
    <mergeCell ref="BF46:BH46"/>
    <mergeCell ref="CU1:DC1"/>
    <mergeCell ref="DF1:DN1"/>
    <mergeCell ref="DQ1:DY1"/>
    <mergeCell ref="EB1:EJ1"/>
    <mergeCell ref="EM1:EU1"/>
    <mergeCell ref="EX1:FF1"/>
    <mergeCell ref="FI1:FQ1"/>
    <mergeCell ref="AG2:AO2"/>
    <mergeCell ref="AR2:AZ2"/>
    <mergeCell ref="BC2:BK2"/>
    <mergeCell ref="A1:I1"/>
    <mergeCell ref="K1:S1"/>
    <mergeCell ref="V1:AD1"/>
    <mergeCell ref="AG1:AO1"/>
    <mergeCell ref="AR1:AZ1"/>
    <mergeCell ref="BC1:BK1"/>
    <mergeCell ref="BN1:BQ1"/>
    <mergeCell ref="BY1:CG1"/>
    <mergeCell ref="CJ1:C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E169-7A0E-4725-A4ED-7575FE7136DC}">
  <dimension ref="A1:AF667"/>
  <sheetViews>
    <sheetView tabSelected="1" zoomScale="115" zoomScaleNormal="115" workbookViewId="0">
      <selection activeCell="O2" sqref="O2"/>
    </sheetView>
  </sheetViews>
  <sheetFormatPr defaultRowHeight="14.5"/>
  <sheetData>
    <row r="1" spans="1:32">
      <c r="A1" s="1" t="s">
        <v>18</v>
      </c>
      <c r="B1" s="1" t="s">
        <v>19</v>
      </c>
      <c r="C1" s="1" t="s">
        <v>20</v>
      </c>
      <c r="D1" s="1" t="s">
        <v>21</v>
      </c>
      <c r="E1" s="2" t="s">
        <v>22</v>
      </c>
      <c r="F1" s="3" t="s">
        <v>23</v>
      </c>
      <c r="G1" s="3" t="s">
        <v>24</v>
      </c>
      <c r="H1" s="3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4" t="s">
        <v>31</v>
      </c>
      <c r="O1" s="12" t="s">
        <v>0</v>
      </c>
      <c r="P1" s="12" t="s">
        <v>1</v>
      </c>
      <c r="Q1" s="12" t="s">
        <v>2</v>
      </c>
      <c r="R1" s="12" t="s">
        <v>3</v>
      </c>
      <c r="S1" s="12" t="s">
        <v>4</v>
      </c>
      <c r="T1" s="12" t="s">
        <v>5</v>
      </c>
      <c r="U1" s="12" t="s">
        <v>6</v>
      </c>
      <c r="V1" s="12" t="s">
        <v>7</v>
      </c>
      <c r="W1" s="12" t="s">
        <v>8</v>
      </c>
      <c r="X1" s="12" t="s">
        <v>9</v>
      </c>
      <c r="Y1" s="12" t="s">
        <v>10</v>
      </c>
      <c r="Z1" s="12" t="s">
        <v>11</v>
      </c>
      <c r="AA1" s="12" t="s">
        <v>12</v>
      </c>
      <c r="AB1" s="12" t="s">
        <v>13</v>
      </c>
      <c r="AC1" s="12" t="s">
        <v>14</v>
      </c>
      <c r="AD1" s="12" t="s">
        <v>15</v>
      </c>
      <c r="AE1" s="12" t="s">
        <v>16</v>
      </c>
      <c r="AF1" s="12" t="s">
        <v>17</v>
      </c>
    </row>
    <row r="2" spans="1:32">
      <c r="A2" t="s">
        <v>32</v>
      </c>
      <c r="B2">
        <v>2021</v>
      </c>
      <c r="C2" t="str">
        <f>B2&amp;"-"&amp;A2</f>
        <v>2021-Q1</v>
      </c>
      <c r="D2" t="s">
        <v>33</v>
      </c>
      <c r="E2" t="str">
        <f t="shared" ref="E2:E65" si="0">IF(OR(D2="Adamawa", D2="Bauchi", D2="Borno", D2="Gombe", D2="Taraba", D2="Yobe"), "North East",
IF(OR(D2="Jigawa", D2="Kaduna", D2="Kano", D2="Katsina", D2="Kebbi", D2="Sokoto", D2="Zamfara"), "North West",
IF(OR(D2="Benue", D2="Kogi", D2="Kwara", D2="Nasarawa", D2="Niger", D2="Plateau", D2="FCT"), "North Central",
IF(OR(D2="Abia", D2="Anambra", D2="Ebonyi", D2="Enugu", D2="Imo"), "South East",
IF(OR(D2="Akwa Ibom", D2="Bayelsa", D2="Cross River", D2="Delta", D2="Edo", D2="Rivers"), "South South",
IF(OR(D2="Ekiti", D2="Lagos", D2="Ogun", D2="Ondo", D2="Osun", D2="Oyo"), "South West",
"Zone Not Found"))))))</f>
        <v>South East</v>
      </c>
      <c r="F2" s="5">
        <v>16</v>
      </c>
      <c r="G2" s="5">
        <v>23</v>
      </c>
      <c r="H2" s="5">
        <v>5</v>
      </c>
      <c r="I2" s="5">
        <v>44</v>
      </c>
      <c r="J2" s="5">
        <v>119</v>
      </c>
      <c r="K2" s="5">
        <v>35</v>
      </c>
      <c r="L2" s="5">
        <v>154</v>
      </c>
      <c r="M2" s="5">
        <v>289</v>
      </c>
      <c r="N2" s="6">
        <f>K2/L2</f>
        <v>0.22727272727272727</v>
      </c>
      <c r="O2" s="11">
        <v>7</v>
      </c>
      <c r="P2" s="11">
        <v>0</v>
      </c>
      <c r="Q2" s="11">
        <v>10</v>
      </c>
      <c r="R2" s="11">
        <v>1</v>
      </c>
      <c r="S2" s="11">
        <v>4</v>
      </c>
      <c r="T2" s="11">
        <v>0</v>
      </c>
      <c r="U2" s="11">
        <v>0</v>
      </c>
      <c r="V2" s="11">
        <v>3</v>
      </c>
      <c r="W2" s="11">
        <v>0</v>
      </c>
      <c r="X2" s="11">
        <v>0</v>
      </c>
      <c r="Y2" s="11">
        <v>3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7</v>
      </c>
      <c r="AF2" s="11">
        <v>1</v>
      </c>
    </row>
    <row r="3" spans="1:32">
      <c r="A3" t="s">
        <v>32</v>
      </c>
      <c r="B3">
        <v>2021</v>
      </c>
      <c r="C3" t="str">
        <f t="shared" ref="C3:C66" si="1">B3&amp;"-"&amp;A3</f>
        <v>2021-Q1</v>
      </c>
      <c r="D3" t="s">
        <v>34</v>
      </c>
      <c r="E3" t="str">
        <f t="shared" si="0"/>
        <v>North East</v>
      </c>
      <c r="F3" s="5">
        <v>11</v>
      </c>
      <c r="G3" s="5">
        <v>73</v>
      </c>
      <c r="H3" s="5">
        <v>0</v>
      </c>
      <c r="I3" s="5">
        <v>84</v>
      </c>
      <c r="J3" s="5">
        <v>251</v>
      </c>
      <c r="K3" s="5">
        <v>21</v>
      </c>
      <c r="L3" s="5">
        <v>272</v>
      </c>
      <c r="M3" s="5">
        <v>437</v>
      </c>
      <c r="N3" s="6">
        <f t="shared" ref="N3:N66" si="2">K3/L3</f>
        <v>7.720588235294118E-2</v>
      </c>
      <c r="O3" s="11">
        <v>60</v>
      </c>
      <c r="P3" s="11">
        <v>0</v>
      </c>
      <c r="Q3" s="11">
        <v>7</v>
      </c>
      <c r="R3" s="11">
        <v>0</v>
      </c>
      <c r="S3" s="11">
        <v>0</v>
      </c>
      <c r="T3" s="11">
        <v>4</v>
      </c>
      <c r="U3" s="11">
        <v>0</v>
      </c>
      <c r="V3" s="11">
        <v>16</v>
      </c>
      <c r="W3" s="11">
        <v>0</v>
      </c>
      <c r="X3" s="11">
        <v>0</v>
      </c>
      <c r="Y3" s="11">
        <v>5</v>
      </c>
      <c r="Z3" s="11">
        <v>14</v>
      </c>
      <c r="AA3" s="11">
        <v>1</v>
      </c>
      <c r="AB3" s="11">
        <v>0</v>
      </c>
      <c r="AC3" s="11">
        <v>0</v>
      </c>
      <c r="AD3" s="11">
        <v>0</v>
      </c>
      <c r="AE3" s="11">
        <v>3</v>
      </c>
      <c r="AF3" s="11">
        <v>0</v>
      </c>
    </row>
    <row r="4" spans="1:32">
      <c r="A4" t="s">
        <v>32</v>
      </c>
      <c r="B4">
        <v>2021</v>
      </c>
      <c r="C4" t="str">
        <f t="shared" si="1"/>
        <v>2021-Q1</v>
      </c>
      <c r="D4" t="s">
        <v>35</v>
      </c>
      <c r="E4" t="str">
        <f t="shared" si="0"/>
        <v>South South</v>
      </c>
      <c r="F4" s="5">
        <v>7</v>
      </c>
      <c r="G4" s="5">
        <v>12</v>
      </c>
      <c r="H4" s="5">
        <v>3</v>
      </c>
      <c r="I4" s="5">
        <v>22</v>
      </c>
      <c r="J4" s="5">
        <v>35</v>
      </c>
      <c r="K4" s="5">
        <v>12</v>
      </c>
      <c r="L4" s="5">
        <v>47</v>
      </c>
      <c r="M4" s="5">
        <v>117</v>
      </c>
      <c r="N4" s="6">
        <f t="shared" si="2"/>
        <v>0.25531914893617019</v>
      </c>
      <c r="O4" s="11">
        <v>15</v>
      </c>
      <c r="P4" s="11">
        <v>0</v>
      </c>
      <c r="Q4" s="11">
        <v>0</v>
      </c>
      <c r="R4" s="11">
        <v>0</v>
      </c>
      <c r="S4" s="11">
        <v>3</v>
      </c>
      <c r="T4" s="11">
        <v>0</v>
      </c>
      <c r="U4" s="11">
        <v>0</v>
      </c>
      <c r="V4" s="11">
        <v>2</v>
      </c>
      <c r="W4" s="11">
        <v>1</v>
      </c>
      <c r="X4" s="11">
        <v>0</v>
      </c>
      <c r="Y4" s="11">
        <v>1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2</v>
      </c>
      <c r="AF4" s="11">
        <v>0</v>
      </c>
    </row>
    <row r="5" spans="1:32">
      <c r="A5" t="s">
        <v>32</v>
      </c>
      <c r="B5">
        <v>2021</v>
      </c>
      <c r="C5" t="str">
        <f t="shared" si="1"/>
        <v>2021-Q1</v>
      </c>
      <c r="D5" t="s">
        <v>36</v>
      </c>
      <c r="E5" t="str">
        <f t="shared" si="0"/>
        <v>South East</v>
      </c>
      <c r="F5" s="5">
        <v>9</v>
      </c>
      <c r="G5" s="5">
        <v>55</v>
      </c>
      <c r="H5" s="5">
        <v>16</v>
      </c>
      <c r="I5" s="5">
        <v>80</v>
      </c>
      <c r="J5" s="5">
        <v>147</v>
      </c>
      <c r="K5" s="5">
        <v>9</v>
      </c>
      <c r="L5" s="5">
        <v>156</v>
      </c>
      <c r="M5" s="5">
        <v>575</v>
      </c>
      <c r="N5" s="6">
        <f t="shared" si="2"/>
        <v>5.7692307692307696E-2</v>
      </c>
      <c r="O5" s="11">
        <v>59</v>
      </c>
      <c r="P5" s="11">
        <v>0</v>
      </c>
      <c r="Q5" s="11">
        <v>6</v>
      </c>
      <c r="R5" s="11">
        <v>1</v>
      </c>
      <c r="S5" s="11">
        <v>21</v>
      </c>
      <c r="T5" s="11">
        <v>0</v>
      </c>
      <c r="U5" s="11">
        <v>0</v>
      </c>
      <c r="V5" s="11">
        <v>6</v>
      </c>
      <c r="W5" s="11">
        <v>1</v>
      </c>
      <c r="X5" s="11">
        <v>0</v>
      </c>
      <c r="Y5" s="11">
        <v>4</v>
      </c>
      <c r="Z5" s="11">
        <v>1</v>
      </c>
      <c r="AA5" s="11">
        <v>0</v>
      </c>
      <c r="AB5" s="11">
        <v>0</v>
      </c>
      <c r="AC5" s="11">
        <v>0</v>
      </c>
      <c r="AD5" s="11">
        <v>0</v>
      </c>
      <c r="AE5" s="11">
        <v>9</v>
      </c>
      <c r="AF5" s="11">
        <v>1</v>
      </c>
    </row>
    <row r="6" spans="1:32">
      <c r="A6" t="s">
        <v>32</v>
      </c>
      <c r="B6">
        <v>2021</v>
      </c>
      <c r="C6" t="str">
        <f t="shared" si="1"/>
        <v>2021-Q1</v>
      </c>
      <c r="D6" t="s">
        <v>37</v>
      </c>
      <c r="E6" t="str">
        <f t="shared" si="0"/>
        <v>North East</v>
      </c>
      <c r="F6" s="5">
        <v>52</v>
      </c>
      <c r="G6" s="5">
        <v>78</v>
      </c>
      <c r="H6" s="5">
        <v>1</v>
      </c>
      <c r="I6" s="5">
        <v>131</v>
      </c>
      <c r="J6" s="5">
        <v>634</v>
      </c>
      <c r="K6" s="5">
        <v>115</v>
      </c>
      <c r="L6" s="5">
        <v>749</v>
      </c>
      <c r="M6" s="5">
        <v>1138</v>
      </c>
      <c r="N6" s="6">
        <f t="shared" si="2"/>
        <v>0.15353805073431243</v>
      </c>
      <c r="O6" s="11">
        <v>77</v>
      </c>
      <c r="P6" s="11">
        <v>0</v>
      </c>
      <c r="Q6" s="11">
        <v>16</v>
      </c>
      <c r="R6" s="11">
        <v>3</v>
      </c>
      <c r="S6" s="11">
        <v>0</v>
      </c>
      <c r="T6" s="11">
        <v>0</v>
      </c>
      <c r="U6" s="11">
        <v>1</v>
      </c>
      <c r="V6" s="11">
        <v>18</v>
      </c>
      <c r="W6" s="11">
        <v>15</v>
      </c>
      <c r="X6" s="11">
        <v>1</v>
      </c>
      <c r="Y6" s="11">
        <v>4</v>
      </c>
      <c r="Z6" s="11">
        <v>2</v>
      </c>
      <c r="AA6" s="11">
        <v>1</v>
      </c>
      <c r="AB6" s="11">
        <v>0</v>
      </c>
      <c r="AC6" s="11">
        <v>0</v>
      </c>
      <c r="AD6" s="11">
        <v>0</v>
      </c>
      <c r="AE6" s="11">
        <v>14</v>
      </c>
      <c r="AF6" s="11">
        <v>1</v>
      </c>
    </row>
    <row r="7" spans="1:32">
      <c r="A7" t="s">
        <v>32</v>
      </c>
      <c r="B7">
        <v>2021</v>
      </c>
      <c r="C7" t="str">
        <f t="shared" si="1"/>
        <v>2021-Q1</v>
      </c>
      <c r="D7" t="s">
        <v>38</v>
      </c>
      <c r="E7" t="str">
        <f t="shared" si="0"/>
        <v>South South</v>
      </c>
      <c r="F7" s="5">
        <v>0</v>
      </c>
      <c r="G7" s="5">
        <v>6</v>
      </c>
      <c r="H7" s="5">
        <v>1</v>
      </c>
      <c r="I7" s="5">
        <v>7</v>
      </c>
      <c r="J7" s="5">
        <v>15</v>
      </c>
      <c r="K7" s="5">
        <v>0</v>
      </c>
      <c r="L7" s="5">
        <v>15</v>
      </c>
      <c r="M7" s="5">
        <v>29</v>
      </c>
      <c r="N7" s="6">
        <f t="shared" si="2"/>
        <v>0</v>
      </c>
      <c r="O7" s="11">
        <v>7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1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1</v>
      </c>
      <c r="AD7" s="11">
        <v>0</v>
      </c>
      <c r="AE7" s="11">
        <v>0</v>
      </c>
      <c r="AF7" s="11">
        <v>0</v>
      </c>
    </row>
    <row r="8" spans="1:32">
      <c r="A8" t="s">
        <v>32</v>
      </c>
      <c r="B8">
        <v>2021</v>
      </c>
      <c r="C8" t="str">
        <f t="shared" si="1"/>
        <v>2021-Q1</v>
      </c>
      <c r="D8" t="s">
        <v>39</v>
      </c>
      <c r="E8" t="str">
        <f t="shared" si="0"/>
        <v>North Central</v>
      </c>
      <c r="F8" s="5">
        <v>10</v>
      </c>
      <c r="G8" s="5">
        <v>27</v>
      </c>
      <c r="H8" s="5">
        <v>15</v>
      </c>
      <c r="I8" s="5">
        <v>52</v>
      </c>
      <c r="J8" s="5">
        <v>123</v>
      </c>
      <c r="K8" s="5">
        <v>15</v>
      </c>
      <c r="L8" s="5">
        <v>138</v>
      </c>
      <c r="M8" s="5">
        <v>187</v>
      </c>
      <c r="N8" s="6">
        <f t="shared" si="2"/>
        <v>0.10869565217391304</v>
      </c>
      <c r="O8" s="11">
        <v>46</v>
      </c>
      <c r="P8" s="11">
        <v>0</v>
      </c>
      <c r="Q8" s="11">
        <v>1</v>
      </c>
      <c r="R8" s="11">
        <v>0</v>
      </c>
      <c r="S8" s="11">
        <v>1</v>
      </c>
      <c r="T8" s="11">
        <v>0</v>
      </c>
      <c r="U8" s="11">
        <v>0</v>
      </c>
      <c r="V8" s="11">
        <v>0</v>
      </c>
      <c r="W8" s="11">
        <v>2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3</v>
      </c>
    </row>
    <row r="9" spans="1:32">
      <c r="A9" t="s">
        <v>32</v>
      </c>
      <c r="B9">
        <v>2021</v>
      </c>
      <c r="C9" t="str">
        <f t="shared" si="1"/>
        <v>2021-Q1</v>
      </c>
      <c r="D9" t="s">
        <v>40</v>
      </c>
      <c r="E9" t="str">
        <f t="shared" si="0"/>
        <v>North East</v>
      </c>
      <c r="F9" s="5">
        <v>8</v>
      </c>
      <c r="G9" s="5">
        <v>23</v>
      </c>
      <c r="H9" s="5">
        <v>0</v>
      </c>
      <c r="I9" s="5">
        <v>31</v>
      </c>
      <c r="J9" s="5">
        <v>78</v>
      </c>
      <c r="K9" s="5">
        <v>24</v>
      </c>
      <c r="L9" s="5">
        <v>102</v>
      </c>
      <c r="M9" s="5">
        <v>149</v>
      </c>
      <c r="N9" s="6">
        <f t="shared" si="2"/>
        <v>0.23529411764705882</v>
      </c>
      <c r="O9" s="11">
        <v>31</v>
      </c>
      <c r="P9" s="11">
        <v>0</v>
      </c>
      <c r="Q9" s="11">
        <v>3</v>
      </c>
      <c r="R9" s="11">
        <v>0</v>
      </c>
      <c r="S9" s="11">
        <v>0</v>
      </c>
      <c r="T9" s="11">
        <v>0</v>
      </c>
      <c r="U9" s="11">
        <v>0</v>
      </c>
      <c r="V9" s="11">
        <v>2</v>
      </c>
      <c r="W9" s="11">
        <v>5</v>
      </c>
      <c r="X9" s="11">
        <v>0</v>
      </c>
      <c r="Y9" s="11">
        <v>2</v>
      </c>
      <c r="Z9" s="11">
        <v>1</v>
      </c>
      <c r="AA9" s="11">
        <v>0</v>
      </c>
      <c r="AB9" s="11">
        <v>0</v>
      </c>
      <c r="AC9" s="11">
        <v>0</v>
      </c>
      <c r="AD9" s="11">
        <v>0</v>
      </c>
      <c r="AE9" s="11">
        <v>2</v>
      </c>
      <c r="AF9" s="11">
        <v>0</v>
      </c>
    </row>
    <row r="10" spans="1:32">
      <c r="A10" t="s">
        <v>32</v>
      </c>
      <c r="B10">
        <v>2021</v>
      </c>
      <c r="C10" t="str">
        <f t="shared" si="1"/>
        <v>2021-Q1</v>
      </c>
      <c r="D10" t="s">
        <v>41</v>
      </c>
      <c r="E10" t="str">
        <f t="shared" si="0"/>
        <v>South South</v>
      </c>
      <c r="F10" s="5">
        <v>12</v>
      </c>
      <c r="G10" s="5">
        <v>13</v>
      </c>
      <c r="H10" s="5">
        <v>0</v>
      </c>
      <c r="I10" s="5">
        <v>25</v>
      </c>
      <c r="J10" s="5">
        <v>50</v>
      </c>
      <c r="K10" s="5">
        <v>30</v>
      </c>
      <c r="L10" s="5">
        <v>80</v>
      </c>
      <c r="M10" s="5">
        <v>135</v>
      </c>
      <c r="N10" s="6">
        <f t="shared" si="2"/>
        <v>0.375</v>
      </c>
      <c r="O10" s="11">
        <v>17</v>
      </c>
      <c r="P10" s="11">
        <v>0</v>
      </c>
      <c r="Q10" s="11">
        <v>0</v>
      </c>
      <c r="R10" s="11">
        <v>2</v>
      </c>
      <c r="S10" s="11">
        <v>2</v>
      </c>
      <c r="T10" s="11">
        <v>0</v>
      </c>
      <c r="U10" s="11">
        <v>0</v>
      </c>
      <c r="V10" s="11">
        <v>5</v>
      </c>
      <c r="W10" s="11">
        <v>3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2</v>
      </c>
    </row>
    <row r="11" spans="1:32">
      <c r="A11" t="s">
        <v>32</v>
      </c>
      <c r="B11">
        <v>2021</v>
      </c>
      <c r="C11" t="str">
        <f t="shared" si="1"/>
        <v>2021-Q1</v>
      </c>
      <c r="D11" t="s">
        <v>42</v>
      </c>
      <c r="E11" t="str">
        <f t="shared" si="0"/>
        <v>South South</v>
      </c>
      <c r="F11" s="5">
        <v>21</v>
      </c>
      <c r="G11" s="5">
        <v>39</v>
      </c>
      <c r="H11" s="5">
        <v>11</v>
      </c>
      <c r="I11" s="5">
        <v>71</v>
      </c>
      <c r="J11" s="5">
        <v>196</v>
      </c>
      <c r="K11" s="5">
        <v>51</v>
      </c>
      <c r="L11" s="5">
        <v>247</v>
      </c>
      <c r="M11" s="5">
        <v>482</v>
      </c>
      <c r="N11" s="6">
        <f t="shared" si="2"/>
        <v>0.20647773279352227</v>
      </c>
      <c r="O11" s="11">
        <v>68</v>
      </c>
      <c r="P11" s="11">
        <v>1</v>
      </c>
      <c r="Q11" s="11">
        <v>6</v>
      </c>
      <c r="R11" s="11">
        <v>2</v>
      </c>
      <c r="S11" s="11">
        <v>7</v>
      </c>
      <c r="T11" s="11">
        <v>0</v>
      </c>
      <c r="U11" s="11">
        <v>0</v>
      </c>
      <c r="V11" s="11">
        <v>5</v>
      </c>
      <c r="W11" s="11">
        <v>3</v>
      </c>
      <c r="X11" s="11">
        <v>0</v>
      </c>
      <c r="Y11" s="11">
        <v>2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11</v>
      </c>
      <c r="AF11" s="11">
        <v>3</v>
      </c>
    </row>
    <row r="12" spans="1:32">
      <c r="A12" t="s">
        <v>32</v>
      </c>
      <c r="B12">
        <v>2021</v>
      </c>
      <c r="C12" t="str">
        <f t="shared" si="1"/>
        <v>2021-Q1</v>
      </c>
      <c r="D12" t="s">
        <v>43</v>
      </c>
      <c r="E12" t="str">
        <f t="shared" si="0"/>
        <v>South East</v>
      </c>
      <c r="F12" s="5">
        <v>10</v>
      </c>
      <c r="G12" s="5">
        <v>19</v>
      </c>
      <c r="H12" s="5">
        <v>2</v>
      </c>
      <c r="I12" s="5">
        <v>31</v>
      </c>
      <c r="J12" s="5">
        <v>121</v>
      </c>
      <c r="K12" s="5">
        <v>27</v>
      </c>
      <c r="L12" s="5">
        <v>148</v>
      </c>
      <c r="M12" s="5">
        <v>274</v>
      </c>
      <c r="N12" s="6">
        <f t="shared" si="2"/>
        <v>0.18243243243243243</v>
      </c>
      <c r="O12" s="11">
        <v>13</v>
      </c>
      <c r="P12" s="11">
        <v>0</v>
      </c>
      <c r="Q12" s="11">
        <v>6</v>
      </c>
      <c r="R12" s="11">
        <v>0</v>
      </c>
      <c r="S12" s="11">
        <v>0</v>
      </c>
      <c r="T12" s="11">
        <v>0</v>
      </c>
      <c r="U12" s="11">
        <v>0</v>
      </c>
      <c r="V12" s="11">
        <v>5</v>
      </c>
      <c r="W12" s="11">
        <v>0</v>
      </c>
      <c r="X12" s="11">
        <v>0</v>
      </c>
      <c r="Y12" s="11">
        <v>2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6</v>
      </c>
      <c r="AF12" s="11">
        <v>0</v>
      </c>
    </row>
    <row r="13" spans="1:32">
      <c r="A13" t="s">
        <v>32</v>
      </c>
      <c r="B13">
        <v>2021</v>
      </c>
      <c r="C13" t="str">
        <f t="shared" si="1"/>
        <v>2021-Q1</v>
      </c>
      <c r="D13" t="s">
        <v>44</v>
      </c>
      <c r="E13" t="str">
        <f t="shared" si="0"/>
        <v>South South</v>
      </c>
      <c r="F13" s="5">
        <v>20</v>
      </c>
      <c r="G13" s="5">
        <v>30</v>
      </c>
      <c r="H13" s="5">
        <v>6</v>
      </c>
      <c r="I13" s="5">
        <v>56</v>
      </c>
      <c r="J13" s="5">
        <v>140</v>
      </c>
      <c r="K13" s="5">
        <v>51</v>
      </c>
      <c r="L13" s="5">
        <v>191</v>
      </c>
      <c r="M13" s="5">
        <v>386</v>
      </c>
      <c r="N13" s="6">
        <f t="shared" si="2"/>
        <v>0.26701570680628273</v>
      </c>
      <c r="O13" s="11">
        <v>68</v>
      </c>
      <c r="P13" s="11">
        <v>0</v>
      </c>
      <c r="Q13" s="11">
        <v>2</v>
      </c>
      <c r="R13" s="11">
        <v>1</v>
      </c>
      <c r="S13" s="11">
        <v>2</v>
      </c>
      <c r="T13" s="11">
        <v>0</v>
      </c>
      <c r="U13" s="11">
        <v>0</v>
      </c>
      <c r="V13" s="11">
        <v>5</v>
      </c>
      <c r="W13" s="11">
        <v>4</v>
      </c>
      <c r="X13" s="11">
        <v>0</v>
      </c>
      <c r="Y13" s="11">
        <v>6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1</v>
      </c>
    </row>
    <row r="14" spans="1:32">
      <c r="A14" t="s">
        <v>32</v>
      </c>
      <c r="B14">
        <v>2021</v>
      </c>
      <c r="C14" t="str">
        <f t="shared" si="1"/>
        <v>2021-Q1</v>
      </c>
      <c r="D14" t="s">
        <v>45</v>
      </c>
      <c r="E14" t="str">
        <f t="shared" si="0"/>
        <v>South West</v>
      </c>
      <c r="F14" s="5">
        <v>10</v>
      </c>
      <c r="G14" s="5">
        <v>19</v>
      </c>
      <c r="H14" s="5">
        <v>2</v>
      </c>
      <c r="I14" s="5">
        <v>31</v>
      </c>
      <c r="J14" s="5">
        <v>101</v>
      </c>
      <c r="K14" s="5">
        <v>13</v>
      </c>
      <c r="L14" s="5">
        <v>114</v>
      </c>
      <c r="M14" s="5">
        <v>175</v>
      </c>
      <c r="N14" s="6">
        <f t="shared" si="2"/>
        <v>0.11403508771929824</v>
      </c>
      <c r="O14" s="11">
        <v>29</v>
      </c>
      <c r="P14" s="11">
        <v>0</v>
      </c>
      <c r="Q14" s="11">
        <v>1</v>
      </c>
      <c r="R14" s="11">
        <v>1</v>
      </c>
      <c r="S14" s="11">
        <v>4</v>
      </c>
      <c r="T14" s="11">
        <v>0</v>
      </c>
      <c r="U14" s="11">
        <v>0</v>
      </c>
      <c r="V14" s="11">
        <v>1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1</v>
      </c>
      <c r="AC14" s="11">
        <v>0</v>
      </c>
      <c r="AD14" s="11">
        <v>0</v>
      </c>
      <c r="AE14" s="11">
        <v>4</v>
      </c>
      <c r="AF14" s="11">
        <v>0</v>
      </c>
    </row>
    <row r="15" spans="1:32">
      <c r="A15" t="s">
        <v>32</v>
      </c>
      <c r="B15">
        <v>2021</v>
      </c>
      <c r="C15" t="str">
        <f t="shared" si="1"/>
        <v>2021-Q1</v>
      </c>
      <c r="D15" t="s">
        <v>46</v>
      </c>
      <c r="E15" t="str">
        <f t="shared" si="0"/>
        <v>South East</v>
      </c>
      <c r="F15" s="5">
        <v>24</v>
      </c>
      <c r="G15" s="5">
        <v>36</v>
      </c>
      <c r="H15" s="5">
        <v>6</v>
      </c>
      <c r="I15" s="5">
        <v>66</v>
      </c>
      <c r="J15" s="5">
        <v>222</v>
      </c>
      <c r="K15" s="5">
        <v>37</v>
      </c>
      <c r="L15" s="5">
        <v>259</v>
      </c>
      <c r="M15" s="5">
        <v>505</v>
      </c>
      <c r="N15" s="6">
        <f t="shared" si="2"/>
        <v>0.14285714285714285</v>
      </c>
      <c r="O15" s="11">
        <v>3</v>
      </c>
      <c r="P15" s="11">
        <v>0</v>
      </c>
      <c r="Q15" s="11">
        <v>4</v>
      </c>
      <c r="R15" s="11">
        <v>3</v>
      </c>
      <c r="S15" s="11">
        <v>7</v>
      </c>
      <c r="T15" s="11">
        <v>0</v>
      </c>
      <c r="U15" s="11">
        <v>0</v>
      </c>
      <c r="V15" s="11">
        <v>5</v>
      </c>
      <c r="W15" s="11">
        <v>7</v>
      </c>
      <c r="X15" s="11">
        <v>0</v>
      </c>
      <c r="Y15" s="11">
        <v>5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41</v>
      </c>
      <c r="AF15" s="11">
        <v>0</v>
      </c>
    </row>
    <row r="16" spans="1:32">
      <c r="A16" t="s">
        <v>32</v>
      </c>
      <c r="B16">
        <v>2021</v>
      </c>
      <c r="C16" t="str">
        <f t="shared" si="1"/>
        <v>2021-Q1</v>
      </c>
      <c r="D16" t="s">
        <v>47</v>
      </c>
      <c r="E16" t="str">
        <f t="shared" si="0"/>
        <v>North Central</v>
      </c>
      <c r="F16" s="5">
        <v>41</v>
      </c>
      <c r="G16" s="5">
        <v>177</v>
      </c>
      <c r="H16" s="5">
        <v>60</v>
      </c>
      <c r="I16" s="5">
        <v>278</v>
      </c>
      <c r="J16" s="5">
        <v>518</v>
      </c>
      <c r="K16" s="5">
        <v>56</v>
      </c>
      <c r="L16" s="5">
        <v>574</v>
      </c>
      <c r="M16" s="5">
        <v>1289</v>
      </c>
      <c r="N16" s="6">
        <f t="shared" si="2"/>
        <v>9.7560975609756101E-2</v>
      </c>
      <c r="O16" s="11">
        <v>158</v>
      </c>
      <c r="P16" s="11">
        <v>0</v>
      </c>
      <c r="Q16" s="11">
        <v>17</v>
      </c>
      <c r="R16" s="11">
        <v>4</v>
      </c>
      <c r="S16" s="11">
        <v>7</v>
      </c>
      <c r="T16" s="11">
        <v>2</v>
      </c>
      <c r="U16" s="11">
        <v>0</v>
      </c>
      <c r="V16" s="11">
        <v>1</v>
      </c>
      <c r="W16" s="11">
        <v>36</v>
      </c>
      <c r="X16" s="11">
        <v>0</v>
      </c>
      <c r="Y16" s="11">
        <v>34</v>
      </c>
      <c r="Z16" s="11">
        <v>1</v>
      </c>
      <c r="AA16" s="11">
        <v>0</v>
      </c>
      <c r="AB16" s="11">
        <v>1</v>
      </c>
      <c r="AC16" s="11">
        <v>0</v>
      </c>
      <c r="AD16" s="11">
        <v>0</v>
      </c>
      <c r="AE16" s="11">
        <v>125</v>
      </c>
      <c r="AF16" s="11">
        <v>14</v>
      </c>
    </row>
    <row r="17" spans="1:32">
      <c r="A17" t="s">
        <v>32</v>
      </c>
      <c r="B17">
        <v>2021</v>
      </c>
      <c r="C17" t="str">
        <f t="shared" si="1"/>
        <v>2021-Q1</v>
      </c>
      <c r="D17" t="s">
        <v>48</v>
      </c>
      <c r="E17" t="str">
        <f t="shared" si="0"/>
        <v>North East</v>
      </c>
      <c r="F17" s="5">
        <v>11</v>
      </c>
      <c r="G17" s="5">
        <v>59</v>
      </c>
      <c r="H17" s="5">
        <v>2</v>
      </c>
      <c r="I17" s="5">
        <v>72</v>
      </c>
      <c r="J17" s="5">
        <v>232</v>
      </c>
      <c r="K17" s="5">
        <v>31</v>
      </c>
      <c r="L17" s="5">
        <v>263</v>
      </c>
      <c r="M17" s="5">
        <v>388</v>
      </c>
      <c r="N17" s="6">
        <f t="shared" si="2"/>
        <v>0.11787072243346007</v>
      </c>
      <c r="O17" s="11">
        <v>33</v>
      </c>
      <c r="P17" s="11">
        <v>0</v>
      </c>
      <c r="Q17" s="11">
        <v>9</v>
      </c>
      <c r="R17" s="11">
        <v>7</v>
      </c>
      <c r="S17" s="11">
        <v>2</v>
      </c>
      <c r="T17" s="11">
        <v>3</v>
      </c>
      <c r="U17" s="11">
        <v>0</v>
      </c>
      <c r="V17" s="11">
        <v>2</v>
      </c>
      <c r="W17" s="11">
        <v>11</v>
      </c>
      <c r="X17" s="11">
        <v>0</v>
      </c>
      <c r="Y17" s="11">
        <v>4</v>
      </c>
      <c r="Z17" s="11">
        <v>2</v>
      </c>
      <c r="AA17" s="11">
        <v>0</v>
      </c>
      <c r="AB17" s="11">
        <v>0</v>
      </c>
      <c r="AC17" s="11">
        <v>0</v>
      </c>
      <c r="AD17" s="11">
        <v>0</v>
      </c>
      <c r="AE17" s="11">
        <v>9</v>
      </c>
      <c r="AF17" s="11">
        <v>0</v>
      </c>
    </row>
    <row r="18" spans="1:32">
      <c r="A18" t="s">
        <v>32</v>
      </c>
      <c r="B18">
        <v>2021</v>
      </c>
      <c r="C18" t="str">
        <f t="shared" si="1"/>
        <v>2021-Q1</v>
      </c>
      <c r="D18" t="s">
        <v>49</v>
      </c>
      <c r="E18" t="str">
        <f t="shared" si="0"/>
        <v>South East</v>
      </c>
      <c r="F18" s="5">
        <v>7</v>
      </c>
      <c r="G18" s="5">
        <v>7</v>
      </c>
      <c r="H18" s="5">
        <v>2</v>
      </c>
      <c r="I18" s="5">
        <v>16</v>
      </c>
      <c r="J18" s="5">
        <v>71</v>
      </c>
      <c r="K18" s="5">
        <v>17</v>
      </c>
      <c r="L18" s="5">
        <v>88</v>
      </c>
      <c r="M18" s="5">
        <v>116</v>
      </c>
      <c r="N18" s="6">
        <f t="shared" si="2"/>
        <v>0.19318181818181818</v>
      </c>
      <c r="O18" s="11">
        <v>5</v>
      </c>
      <c r="P18" s="11">
        <v>0</v>
      </c>
      <c r="Q18" s="11">
        <v>3</v>
      </c>
      <c r="R18" s="11">
        <v>1</v>
      </c>
      <c r="S18" s="11">
        <v>2</v>
      </c>
      <c r="T18" s="11">
        <v>0</v>
      </c>
      <c r="U18" s="11">
        <v>0</v>
      </c>
      <c r="V18" s="11">
        <v>3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2</v>
      </c>
      <c r="AF18" s="11">
        <v>0</v>
      </c>
    </row>
    <row r="19" spans="1:32">
      <c r="A19" t="s">
        <v>32</v>
      </c>
      <c r="B19">
        <v>2021</v>
      </c>
      <c r="C19" t="str">
        <f t="shared" si="1"/>
        <v>2021-Q1</v>
      </c>
      <c r="D19" t="s">
        <v>50</v>
      </c>
      <c r="E19" t="str">
        <f t="shared" si="0"/>
        <v>North West</v>
      </c>
      <c r="F19" s="5">
        <v>15</v>
      </c>
      <c r="G19" s="5">
        <v>50</v>
      </c>
      <c r="H19" s="5">
        <v>2</v>
      </c>
      <c r="I19" s="5">
        <v>67</v>
      </c>
      <c r="J19" s="5">
        <v>264</v>
      </c>
      <c r="K19" s="5">
        <v>35</v>
      </c>
      <c r="L19" s="5">
        <v>299</v>
      </c>
      <c r="M19" s="5">
        <v>443</v>
      </c>
      <c r="N19" s="6">
        <f t="shared" si="2"/>
        <v>0.11705685618729098</v>
      </c>
      <c r="O19" s="11">
        <v>82</v>
      </c>
      <c r="P19" s="11">
        <v>1</v>
      </c>
      <c r="Q19" s="11">
        <v>7</v>
      </c>
      <c r="R19" s="11">
        <v>1</v>
      </c>
      <c r="S19" s="11">
        <v>0</v>
      </c>
      <c r="T19" s="11">
        <v>12</v>
      </c>
      <c r="U19" s="11">
        <v>0</v>
      </c>
      <c r="V19" s="11">
        <v>6</v>
      </c>
      <c r="W19" s="11">
        <v>6</v>
      </c>
      <c r="X19" s="11">
        <v>0</v>
      </c>
      <c r="Y19" s="11">
        <v>5</v>
      </c>
      <c r="Z19" s="11">
        <v>7</v>
      </c>
      <c r="AA19" s="11">
        <v>0</v>
      </c>
      <c r="AB19" s="11">
        <v>0</v>
      </c>
      <c r="AC19" s="11">
        <v>0</v>
      </c>
      <c r="AD19" s="11">
        <v>1</v>
      </c>
      <c r="AE19" s="11">
        <v>4</v>
      </c>
      <c r="AF19" s="11">
        <v>0</v>
      </c>
    </row>
    <row r="20" spans="1:32">
      <c r="A20" t="s">
        <v>32</v>
      </c>
      <c r="B20">
        <v>2021</v>
      </c>
      <c r="C20" t="str">
        <f t="shared" si="1"/>
        <v>2021-Q1</v>
      </c>
      <c r="D20" t="s">
        <v>51</v>
      </c>
      <c r="E20" t="str">
        <f t="shared" si="0"/>
        <v>North West</v>
      </c>
      <c r="F20" s="5">
        <v>104</v>
      </c>
      <c r="G20" s="5">
        <v>147</v>
      </c>
      <c r="H20" s="5">
        <v>5</v>
      </c>
      <c r="I20" s="5">
        <v>256</v>
      </c>
      <c r="J20" s="5">
        <v>1149</v>
      </c>
      <c r="K20" s="5">
        <v>196</v>
      </c>
      <c r="L20" s="5">
        <v>1345</v>
      </c>
      <c r="M20" s="5">
        <v>2151</v>
      </c>
      <c r="N20" s="6">
        <f t="shared" si="2"/>
        <v>0.14572490706319702</v>
      </c>
      <c r="O20" s="11">
        <v>211</v>
      </c>
      <c r="P20" s="11">
        <v>1</v>
      </c>
      <c r="Q20" s="11">
        <v>22</v>
      </c>
      <c r="R20" s="11">
        <v>4</v>
      </c>
      <c r="S20" s="11">
        <v>5</v>
      </c>
      <c r="T20" s="11">
        <v>0</v>
      </c>
      <c r="U20" s="11">
        <v>0</v>
      </c>
      <c r="V20" s="11">
        <v>30</v>
      </c>
      <c r="W20" s="11">
        <v>12</v>
      </c>
      <c r="X20" s="11">
        <v>3</v>
      </c>
      <c r="Y20" s="11">
        <v>16</v>
      </c>
      <c r="Z20" s="11">
        <v>2</v>
      </c>
      <c r="AA20" s="11">
        <v>3</v>
      </c>
      <c r="AB20" s="11">
        <v>0</v>
      </c>
      <c r="AC20" s="11">
        <v>0</v>
      </c>
      <c r="AD20" s="11">
        <v>7</v>
      </c>
      <c r="AE20" s="11">
        <v>48</v>
      </c>
      <c r="AF20" s="11">
        <v>4</v>
      </c>
    </row>
    <row r="21" spans="1:32">
      <c r="A21" t="s">
        <v>32</v>
      </c>
      <c r="B21">
        <v>2021</v>
      </c>
      <c r="C21" t="str">
        <f t="shared" si="1"/>
        <v>2021-Q1</v>
      </c>
      <c r="D21" t="s">
        <v>52</v>
      </c>
      <c r="E21" t="str">
        <f t="shared" si="0"/>
        <v>North West</v>
      </c>
      <c r="F21" s="5">
        <v>33</v>
      </c>
      <c r="G21" s="5">
        <v>100</v>
      </c>
      <c r="H21" s="5">
        <v>4</v>
      </c>
      <c r="I21" s="5">
        <v>137</v>
      </c>
      <c r="J21" s="5">
        <v>604</v>
      </c>
      <c r="K21" s="5">
        <v>100</v>
      </c>
      <c r="L21" s="5">
        <v>704</v>
      </c>
      <c r="M21" s="5">
        <v>1013</v>
      </c>
      <c r="N21" s="6">
        <f t="shared" si="2"/>
        <v>0.14204545454545456</v>
      </c>
      <c r="O21" s="11">
        <v>110</v>
      </c>
      <c r="P21" s="11">
        <v>1</v>
      </c>
      <c r="Q21" s="11">
        <v>8</v>
      </c>
      <c r="R21" s="11">
        <v>0</v>
      </c>
      <c r="S21" s="11">
        <v>1</v>
      </c>
      <c r="T21" s="11">
        <v>2</v>
      </c>
      <c r="U21" s="11">
        <v>4</v>
      </c>
      <c r="V21" s="11">
        <v>17</v>
      </c>
      <c r="W21" s="11">
        <v>6</v>
      </c>
      <c r="X21" s="11">
        <v>1</v>
      </c>
      <c r="Y21" s="11">
        <v>12</v>
      </c>
      <c r="Z21" s="11">
        <v>2</v>
      </c>
      <c r="AA21" s="11">
        <v>0</v>
      </c>
      <c r="AB21" s="11">
        <v>0</v>
      </c>
      <c r="AC21" s="11">
        <v>0</v>
      </c>
      <c r="AD21" s="11">
        <v>3</v>
      </c>
      <c r="AE21" s="11">
        <v>17</v>
      </c>
      <c r="AF21" s="11">
        <v>0</v>
      </c>
    </row>
    <row r="22" spans="1:32">
      <c r="A22" t="s">
        <v>32</v>
      </c>
      <c r="B22">
        <v>2021</v>
      </c>
      <c r="C22" t="str">
        <f t="shared" si="1"/>
        <v>2021-Q1</v>
      </c>
      <c r="D22" t="s">
        <v>53</v>
      </c>
      <c r="E22" t="str">
        <f t="shared" si="0"/>
        <v>North West</v>
      </c>
      <c r="F22" s="5">
        <v>19</v>
      </c>
      <c r="G22" s="5">
        <v>52</v>
      </c>
      <c r="H22" s="5">
        <v>0</v>
      </c>
      <c r="I22" s="5">
        <v>71</v>
      </c>
      <c r="J22" s="5">
        <v>287</v>
      </c>
      <c r="K22" s="5">
        <v>29</v>
      </c>
      <c r="L22" s="5">
        <v>316</v>
      </c>
      <c r="M22" s="5">
        <v>469</v>
      </c>
      <c r="N22" s="6">
        <f t="shared" si="2"/>
        <v>9.1772151898734181E-2</v>
      </c>
      <c r="O22" s="11">
        <v>74</v>
      </c>
      <c r="P22" s="11">
        <v>0</v>
      </c>
      <c r="Q22" s="11">
        <v>2</v>
      </c>
      <c r="R22" s="11">
        <v>0</v>
      </c>
      <c r="S22" s="11">
        <v>3</v>
      </c>
      <c r="T22" s="11">
        <v>0</v>
      </c>
      <c r="U22" s="11">
        <v>0</v>
      </c>
      <c r="V22" s="11">
        <v>3</v>
      </c>
      <c r="W22" s="11">
        <v>7</v>
      </c>
      <c r="X22" s="11">
        <v>0</v>
      </c>
      <c r="Y22" s="11">
        <v>2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1</v>
      </c>
    </row>
    <row r="23" spans="1:32">
      <c r="A23" t="s">
        <v>32</v>
      </c>
      <c r="B23">
        <v>2021</v>
      </c>
      <c r="C23" t="str">
        <f t="shared" si="1"/>
        <v>2021-Q1</v>
      </c>
      <c r="D23" t="s">
        <v>54</v>
      </c>
      <c r="E23" t="str">
        <f t="shared" si="0"/>
        <v>North West</v>
      </c>
      <c r="F23" s="5">
        <v>13</v>
      </c>
      <c r="G23" s="5">
        <v>31</v>
      </c>
      <c r="H23" s="5">
        <v>0</v>
      </c>
      <c r="I23" s="5">
        <v>44</v>
      </c>
      <c r="J23" s="5">
        <v>139</v>
      </c>
      <c r="K23" s="5">
        <v>21</v>
      </c>
      <c r="L23" s="5">
        <v>160</v>
      </c>
      <c r="M23" s="5">
        <v>263</v>
      </c>
      <c r="N23" s="6">
        <f t="shared" si="2"/>
        <v>0.13125000000000001</v>
      </c>
      <c r="O23" s="11">
        <v>38</v>
      </c>
      <c r="P23" s="11">
        <v>0</v>
      </c>
      <c r="Q23" s="11">
        <v>0</v>
      </c>
      <c r="R23" s="11">
        <v>0</v>
      </c>
      <c r="S23" s="11">
        <v>0</v>
      </c>
      <c r="T23" s="11">
        <v>1</v>
      </c>
      <c r="U23" s="11">
        <v>0</v>
      </c>
      <c r="V23" s="11">
        <v>4</v>
      </c>
      <c r="W23" s="11">
        <v>4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</row>
    <row r="24" spans="1:32">
      <c r="A24" t="s">
        <v>32</v>
      </c>
      <c r="B24">
        <v>2021</v>
      </c>
      <c r="C24" t="str">
        <f t="shared" si="1"/>
        <v>2021-Q1</v>
      </c>
      <c r="D24" t="s">
        <v>55</v>
      </c>
      <c r="E24" t="str">
        <f t="shared" si="0"/>
        <v>North Central</v>
      </c>
      <c r="F24" s="5">
        <v>38</v>
      </c>
      <c r="G24" s="5">
        <v>83</v>
      </c>
      <c r="H24" s="5">
        <v>22</v>
      </c>
      <c r="I24" s="5">
        <v>143</v>
      </c>
      <c r="J24" s="5">
        <v>425</v>
      </c>
      <c r="K24" s="5">
        <v>94</v>
      </c>
      <c r="L24" s="5">
        <v>519</v>
      </c>
      <c r="M24" s="5">
        <v>1361</v>
      </c>
      <c r="N24" s="6">
        <f t="shared" si="2"/>
        <v>0.1811175337186898</v>
      </c>
      <c r="O24" s="11">
        <v>105</v>
      </c>
      <c r="P24" s="11">
        <v>0</v>
      </c>
      <c r="Q24" s="11">
        <v>8</v>
      </c>
      <c r="R24" s="11">
        <v>5</v>
      </c>
      <c r="S24" s="11">
        <v>10</v>
      </c>
      <c r="T24" s="11">
        <v>0</v>
      </c>
      <c r="U24" s="11">
        <v>0</v>
      </c>
      <c r="V24" s="11">
        <v>19</v>
      </c>
      <c r="W24" s="11">
        <v>6</v>
      </c>
      <c r="X24" s="11">
        <v>0</v>
      </c>
      <c r="Y24" s="11">
        <v>11</v>
      </c>
      <c r="Z24" s="11">
        <v>9</v>
      </c>
      <c r="AA24" s="11">
        <v>4</v>
      </c>
      <c r="AB24" s="11">
        <v>1</v>
      </c>
      <c r="AC24" s="11">
        <v>0</v>
      </c>
      <c r="AD24" s="11">
        <v>0</v>
      </c>
      <c r="AE24" s="11">
        <v>35</v>
      </c>
      <c r="AF24" s="11">
        <v>3</v>
      </c>
    </row>
    <row r="25" spans="1:32">
      <c r="A25" t="s">
        <v>32</v>
      </c>
      <c r="B25">
        <v>2021</v>
      </c>
      <c r="C25" t="str">
        <f t="shared" si="1"/>
        <v>2021-Q1</v>
      </c>
      <c r="D25" t="s">
        <v>56</v>
      </c>
      <c r="E25" t="str">
        <f t="shared" si="0"/>
        <v>North Central</v>
      </c>
      <c r="F25" s="5">
        <v>25</v>
      </c>
      <c r="G25" s="5">
        <v>62</v>
      </c>
      <c r="H25" s="5">
        <v>13</v>
      </c>
      <c r="I25" s="5">
        <v>100</v>
      </c>
      <c r="J25" s="5">
        <v>369</v>
      </c>
      <c r="K25" s="5">
        <v>69</v>
      </c>
      <c r="L25" s="5">
        <v>438</v>
      </c>
      <c r="M25" s="5">
        <v>680</v>
      </c>
      <c r="N25" s="6">
        <f t="shared" si="2"/>
        <v>0.15753424657534246</v>
      </c>
      <c r="O25" s="11">
        <v>91</v>
      </c>
      <c r="P25" s="11">
        <v>0</v>
      </c>
      <c r="Q25" s="11">
        <v>5</v>
      </c>
      <c r="R25" s="11">
        <v>6</v>
      </c>
      <c r="S25" s="11">
        <v>1</v>
      </c>
      <c r="T25" s="11">
        <v>1</v>
      </c>
      <c r="U25" s="11">
        <v>1</v>
      </c>
      <c r="V25" s="11">
        <v>17</v>
      </c>
      <c r="W25" s="11">
        <v>2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32</v>
      </c>
      <c r="AF25" s="11">
        <v>7</v>
      </c>
    </row>
    <row r="26" spans="1:32">
      <c r="A26" t="s">
        <v>32</v>
      </c>
      <c r="B26">
        <v>2021</v>
      </c>
      <c r="C26" t="str">
        <f t="shared" si="1"/>
        <v>2021-Q1</v>
      </c>
      <c r="D26" t="s">
        <v>57</v>
      </c>
      <c r="E26" t="str">
        <f t="shared" si="0"/>
        <v>South West</v>
      </c>
      <c r="F26" s="5">
        <v>23</v>
      </c>
      <c r="G26" s="5">
        <v>73</v>
      </c>
      <c r="H26" s="5">
        <v>55</v>
      </c>
      <c r="I26" s="5">
        <v>151</v>
      </c>
      <c r="J26" s="5">
        <v>243</v>
      </c>
      <c r="K26" s="5">
        <v>26</v>
      </c>
      <c r="L26" s="5">
        <v>269</v>
      </c>
      <c r="M26" s="5">
        <v>709</v>
      </c>
      <c r="N26" s="6">
        <f t="shared" si="2"/>
        <v>9.6654275092936809E-2</v>
      </c>
      <c r="O26" s="11">
        <v>85</v>
      </c>
      <c r="P26" s="11">
        <v>0</v>
      </c>
      <c r="Q26" s="11">
        <v>2</v>
      </c>
      <c r="R26" s="11">
        <v>16</v>
      </c>
      <c r="S26" s="11">
        <v>13</v>
      </c>
      <c r="T26" s="11">
        <v>0</v>
      </c>
      <c r="U26" s="11">
        <v>0</v>
      </c>
      <c r="V26" s="11">
        <v>12</v>
      </c>
      <c r="W26" s="11">
        <v>8</v>
      </c>
      <c r="X26" s="11">
        <v>3</v>
      </c>
      <c r="Y26" s="11">
        <v>6</v>
      </c>
      <c r="Z26" s="11">
        <v>0</v>
      </c>
      <c r="AA26" s="11">
        <v>0</v>
      </c>
      <c r="AB26" s="11">
        <v>0</v>
      </c>
      <c r="AC26" s="11">
        <v>0</v>
      </c>
      <c r="AD26" s="11">
        <v>2</v>
      </c>
      <c r="AE26" s="11">
        <v>0</v>
      </c>
      <c r="AF26" s="11">
        <v>5</v>
      </c>
    </row>
    <row r="27" spans="1:32">
      <c r="A27" t="s">
        <v>32</v>
      </c>
      <c r="B27">
        <v>2021</v>
      </c>
      <c r="C27" t="str">
        <f t="shared" si="1"/>
        <v>2021-Q1</v>
      </c>
      <c r="D27" t="s">
        <v>58</v>
      </c>
      <c r="E27" t="str">
        <f t="shared" si="0"/>
        <v>North Central</v>
      </c>
      <c r="F27" s="5">
        <v>37</v>
      </c>
      <c r="G27" s="5">
        <v>100</v>
      </c>
      <c r="H27" s="5">
        <v>39</v>
      </c>
      <c r="I27" s="5">
        <v>176</v>
      </c>
      <c r="J27" s="5">
        <v>452</v>
      </c>
      <c r="K27" s="5">
        <v>77</v>
      </c>
      <c r="L27" s="5">
        <v>529</v>
      </c>
      <c r="M27" s="5">
        <v>931</v>
      </c>
      <c r="N27" s="6">
        <f t="shared" si="2"/>
        <v>0.14555765595463138</v>
      </c>
      <c r="O27" s="11">
        <v>75</v>
      </c>
      <c r="P27" s="11">
        <v>0</v>
      </c>
      <c r="Q27" s="11">
        <v>8</v>
      </c>
      <c r="R27" s="11">
        <v>9</v>
      </c>
      <c r="S27" s="11">
        <v>3</v>
      </c>
      <c r="T27" s="11">
        <v>0</v>
      </c>
      <c r="U27" s="11">
        <v>0</v>
      </c>
      <c r="V27" s="11">
        <v>10</v>
      </c>
      <c r="W27" s="11">
        <v>34</v>
      </c>
      <c r="X27" s="11">
        <v>1</v>
      </c>
      <c r="Y27" s="11">
        <v>11</v>
      </c>
      <c r="Z27" s="11">
        <v>0</v>
      </c>
      <c r="AA27" s="11">
        <v>0</v>
      </c>
      <c r="AB27" s="11">
        <v>1</v>
      </c>
      <c r="AC27" s="11">
        <v>0</v>
      </c>
      <c r="AD27" s="11">
        <v>1</v>
      </c>
      <c r="AE27" s="11">
        <v>34</v>
      </c>
      <c r="AF27" s="11">
        <v>31</v>
      </c>
    </row>
    <row r="28" spans="1:32">
      <c r="A28" t="s">
        <v>32</v>
      </c>
      <c r="B28">
        <v>2021</v>
      </c>
      <c r="C28" t="str">
        <f t="shared" si="1"/>
        <v>2021-Q1</v>
      </c>
      <c r="D28" t="s">
        <v>59</v>
      </c>
      <c r="E28" t="str">
        <f t="shared" si="0"/>
        <v>North Central</v>
      </c>
      <c r="F28" s="5">
        <v>25</v>
      </c>
      <c r="G28" s="5">
        <v>82</v>
      </c>
      <c r="H28" s="5">
        <v>1</v>
      </c>
      <c r="I28" s="5">
        <v>108</v>
      </c>
      <c r="J28" s="5">
        <v>492</v>
      </c>
      <c r="K28" s="5">
        <v>93</v>
      </c>
      <c r="L28" s="5">
        <v>585</v>
      </c>
      <c r="M28" s="5">
        <v>809</v>
      </c>
      <c r="N28" s="6">
        <f t="shared" si="2"/>
        <v>0.15897435897435896</v>
      </c>
      <c r="O28" s="11">
        <v>128</v>
      </c>
      <c r="P28" s="11">
        <v>0</v>
      </c>
      <c r="Q28" s="11">
        <v>1</v>
      </c>
      <c r="R28" s="11">
        <v>4</v>
      </c>
      <c r="S28" s="11">
        <v>4</v>
      </c>
      <c r="T28" s="11">
        <v>2</v>
      </c>
      <c r="U28" s="11">
        <v>0</v>
      </c>
      <c r="V28" s="11">
        <v>11</v>
      </c>
      <c r="W28" s="11">
        <v>8</v>
      </c>
      <c r="X28" s="11">
        <v>0</v>
      </c>
      <c r="Y28" s="11">
        <v>7</v>
      </c>
      <c r="Z28" s="11">
        <v>1</v>
      </c>
      <c r="AA28" s="11">
        <v>0</v>
      </c>
      <c r="AB28" s="11">
        <v>0</v>
      </c>
      <c r="AC28" s="11">
        <v>0</v>
      </c>
      <c r="AD28" s="11">
        <v>2</v>
      </c>
      <c r="AE28" s="11">
        <v>2</v>
      </c>
      <c r="AF28" s="11">
        <v>1</v>
      </c>
    </row>
    <row r="29" spans="1:32">
      <c r="A29" t="s">
        <v>32</v>
      </c>
      <c r="B29">
        <v>2021</v>
      </c>
      <c r="C29" t="str">
        <f t="shared" si="1"/>
        <v>2021-Q1</v>
      </c>
      <c r="D29" t="s">
        <v>60</v>
      </c>
      <c r="E29" t="str">
        <f t="shared" si="0"/>
        <v>South West</v>
      </c>
      <c r="F29" s="5">
        <v>58</v>
      </c>
      <c r="G29" s="5">
        <v>173</v>
      </c>
      <c r="H29" s="5">
        <v>68</v>
      </c>
      <c r="I29" s="5">
        <v>299</v>
      </c>
      <c r="J29" s="5">
        <v>670</v>
      </c>
      <c r="K29" s="5">
        <v>82</v>
      </c>
      <c r="L29" s="5">
        <v>752</v>
      </c>
      <c r="M29" s="5">
        <v>1908</v>
      </c>
      <c r="N29" s="6">
        <f t="shared" si="2"/>
        <v>0.10904255319148937</v>
      </c>
      <c r="O29" s="11">
        <v>270</v>
      </c>
      <c r="P29" s="11">
        <v>0</v>
      </c>
      <c r="Q29" s="11">
        <v>20</v>
      </c>
      <c r="R29" s="11">
        <v>25</v>
      </c>
      <c r="S29" s="11">
        <v>23</v>
      </c>
      <c r="T29" s="11">
        <v>6</v>
      </c>
      <c r="U29" s="11">
        <v>1</v>
      </c>
      <c r="V29" s="11">
        <v>18</v>
      </c>
      <c r="W29" s="11">
        <v>8</v>
      </c>
      <c r="X29" s="11">
        <v>10</v>
      </c>
      <c r="Y29" s="11">
        <v>11</v>
      </c>
      <c r="Z29" s="11">
        <v>4</v>
      </c>
      <c r="AA29" s="11">
        <v>3</v>
      </c>
      <c r="AB29" s="11">
        <v>0</v>
      </c>
      <c r="AC29" s="11">
        <v>0</v>
      </c>
      <c r="AD29" s="11">
        <v>0</v>
      </c>
      <c r="AE29" s="11">
        <v>4</v>
      </c>
      <c r="AF29" s="11">
        <v>4</v>
      </c>
    </row>
    <row r="30" spans="1:32">
      <c r="A30" t="s">
        <v>32</v>
      </c>
      <c r="B30">
        <v>2021</v>
      </c>
      <c r="C30" t="str">
        <f t="shared" si="1"/>
        <v>2021-Q1</v>
      </c>
      <c r="D30" t="s">
        <v>61</v>
      </c>
      <c r="E30" t="str">
        <f t="shared" si="0"/>
        <v>South West</v>
      </c>
      <c r="F30" s="5">
        <v>32</v>
      </c>
      <c r="G30" s="5">
        <v>76</v>
      </c>
      <c r="H30" s="5">
        <v>7</v>
      </c>
      <c r="I30" s="5">
        <v>115</v>
      </c>
      <c r="J30" s="5">
        <v>290</v>
      </c>
      <c r="K30" s="5">
        <v>43</v>
      </c>
      <c r="L30" s="5">
        <v>333</v>
      </c>
      <c r="M30" s="5">
        <v>752</v>
      </c>
      <c r="N30" s="6">
        <f t="shared" si="2"/>
        <v>0.12912912912912913</v>
      </c>
      <c r="O30" s="11">
        <v>96</v>
      </c>
      <c r="P30" s="11">
        <v>0</v>
      </c>
      <c r="Q30" s="11">
        <v>8</v>
      </c>
      <c r="R30" s="11">
        <v>3</v>
      </c>
      <c r="S30" s="11">
        <v>9</v>
      </c>
      <c r="T30" s="11">
        <v>0</v>
      </c>
      <c r="U30" s="11">
        <v>1</v>
      </c>
      <c r="V30" s="11">
        <v>14</v>
      </c>
      <c r="W30" s="11">
        <v>12</v>
      </c>
      <c r="X30" s="11">
        <v>3</v>
      </c>
      <c r="Y30" s="11">
        <v>4</v>
      </c>
      <c r="Z30" s="11">
        <v>0</v>
      </c>
      <c r="AA30" s="11">
        <v>0</v>
      </c>
      <c r="AB30" s="11">
        <v>0</v>
      </c>
      <c r="AC30" s="11">
        <v>0</v>
      </c>
      <c r="AD30" s="11">
        <v>2</v>
      </c>
      <c r="AE30" s="11">
        <v>0</v>
      </c>
      <c r="AF30" s="11">
        <v>0</v>
      </c>
    </row>
    <row r="31" spans="1:32">
      <c r="A31" t="s">
        <v>32</v>
      </c>
      <c r="B31">
        <v>2021</v>
      </c>
      <c r="C31" t="str">
        <f t="shared" si="1"/>
        <v>2021-Q1</v>
      </c>
      <c r="D31" t="s">
        <v>62</v>
      </c>
      <c r="E31" t="str">
        <f t="shared" si="0"/>
        <v>South West</v>
      </c>
      <c r="F31" s="5">
        <v>22</v>
      </c>
      <c r="G31" s="5">
        <v>72</v>
      </c>
      <c r="H31" s="5">
        <v>11</v>
      </c>
      <c r="I31" s="5">
        <v>105</v>
      </c>
      <c r="J31" s="5">
        <v>317</v>
      </c>
      <c r="K31" s="5">
        <v>43</v>
      </c>
      <c r="L31" s="5">
        <v>360</v>
      </c>
      <c r="M31" s="5">
        <v>749</v>
      </c>
      <c r="N31" s="6">
        <f t="shared" si="2"/>
        <v>0.11944444444444445</v>
      </c>
      <c r="O31" s="11">
        <v>78</v>
      </c>
      <c r="P31" s="11">
        <v>0</v>
      </c>
      <c r="Q31" s="11">
        <v>11</v>
      </c>
      <c r="R31" s="11">
        <v>6</v>
      </c>
      <c r="S31" s="11">
        <v>8</v>
      </c>
      <c r="T31" s="11">
        <v>0</v>
      </c>
      <c r="U31" s="11">
        <v>2</v>
      </c>
      <c r="V31" s="11">
        <v>7</v>
      </c>
      <c r="W31" s="11">
        <v>10</v>
      </c>
      <c r="X31" s="11">
        <v>2</v>
      </c>
      <c r="Y31" s="11">
        <v>2</v>
      </c>
      <c r="Z31" s="11">
        <v>2</v>
      </c>
      <c r="AA31" s="11">
        <v>1</v>
      </c>
      <c r="AB31" s="11">
        <v>0</v>
      </c>
      <c r="AC31" s="11">
        <v>0</v>
      </c>
      <c r="AD31" s="11">
        <v>3</v>
      </c>
      <c r="AE31" s="11">
        <v>0</v>
      </c>
      <c r="AF31" s="11">
        <v>0</v>
      </c>
    </row>
    <row r="32" spans="1:32">
      <c r="A32" t="s">
        <v>32</v>
      </c>
      <c r="B32">
        <v>2021</v>
      </c>
      <c r="C32" t="str">
        <f t="shared" si="1"/>
        <v>2021-Q1</v>
      </c>
      <c r="D32" t="s">
        <v>63</v>
      </c>
      <c r="E32" t="str">
        <f t="shared" si="0"/>
        <v>South West</v>
      </c>
      <c r="F32" s="5">
        <v>56</v>
      </c>
      <c r="G32" s="5">
        <v>107</v>
      </c>
      <c r="H32" s="5">
        <v>13</v>
      </c>
      <c r="I32" s="5">
        <v>176</v>
      </c>
      <c r="J32" s="5">
        <v>399</v>
      </c>
      <c r="K32" s="5">
        <v>103</v>
      </c>
      <c r="L32" s="5">
        <v>502</v>
      </c>
      <c r="M32" s="5">
        <v>1169</v>
      </c>
      <c r="N32" s="6">
        <f t="shared" si="2"/>
        <v>0.20517928286852591</v>
      </c>
      <c r="O32" s="11">
        <v>129</v>
      </c>
      <c r="P32" s="11">
        <v>0</v>
      </c>
      <c r="Q32" s="11">
        <v>14</v>
      </c>
      <c r="R32" s="11">
        <v>7</v>
      </c>
      <c r="S32" s="11">
        <v>19</v>
      </c>
      <c r="T32" s="11">
        <v>1</v>
      </c>
      <c r="U32" s="11">
        <v>2</v>
      </c>
      <c r="V32" s="11">
        <v>19</v>
      </c>
      <c r="W32" s="11">
        <v>17</v>
      </c>
      <c r="X32" s="11">
        <v>5</v>
      </c>
      <c r="Y32" s="11">
        <v>4</v>
      </c>
      <c r="Z32" s="11">
        <v>2</v>
      </c>
      <c r="AA32" s="11">
        <v>0</v>
      </c>
      <c r="AB32" s="11">
        <v>0</v>
      </c>
      <c r="AC32" s="11">
        <v>2</v>
      </c>
      <c r="AD32" s="11">
        <v>1</v>
      </c>
      <c r="AE32" s="11">
        <v>0</v>
      </c>
      <c r="AF32" s="11">
        <v>0</v>
      </c>
    </row>
    <row r="33" spans="1:32">
      <c r="A33" t="s">
        <v>32</v>
      </c>
      <c r="B33">
        <v>2021</v>
      </c>
      <c r="C33" t="str">
        <f t="shared" si="1"/>
        <v>2021-Q1</v>
      </c>
      <c r="D33" t="s">
        <v>64</v>
      </c>
      <c r="E33" t="str">
        <f t="shared" si="0"/>
        <v>North Central</v>
      </c>
      <c r="F33" s="5">
        <v>10</v>
      </c>
      <c r="G33" s="5">
        <v>25</v>
      </c>
      <c r="H33" s="5">
        <v>13</v>
      </c>
      <c r="I33" s="5">
        <v>48</v>
      </c>
      <c r="J33" s="5">
        <v>130</v>
      </c>
      <c r="K33" s="5">
        <v>15</v>
      </c>
      <c r="L33" s="5">
        <v>145</v>
      </c>
      <c r="M33" s="5">
        <v>251</v>
      </c>
      <c r="N33" s="6">
        <f t="shared" si="2"/>
        <v>0.10344827586206896</v>
      </c>
      <c r="O33" s="11">
        <v>15</v>
      </c>
      <c r="P33" s="11">
        <v>0</v>
      </c>
      <c r="Q33" s="11">
        <v>1</v>
      </c>
      <c r="R33" s="11">
        <v>3</v>
      </c>
      <c r="S33" s="11">
        <v>7</v>
      </c>
      <c r="T33" s="11">
        <v>1</v>
      </c>
      <c r="U33" s="11">
        <v>0</v>
      </c>
      <c r="V33" s="11">
        <v>4</v>
      </c>
      <c r="W33" s="11">
        <v>9</v>
      </c>
      <c r="X33" s="11">
        <v>0</v>
      </c>
      <c r="Y33" s="11">
        <v>0</v>
      </c>
      <c r="Z33" s="11">
        <v>1</v>
      </c>
      <c r="AA33" s="11">
        <v>0</v>
      </c>
      <c r="AB33" s="11">
        <v>0</v>
      </c>
      <c r="AC33" s="11">
        <v>0</v>
      </c>
      <c r="AD33" s="11">
        <v>0</v>
      </c>
      <c r="AE33" s="11">
        <v>1</v>
      </c>
      <c r="AF33" s="11">
        <v>9</v>
      </c>
    </row>
    <row r="34" spans="1:32">
      <c r="A34" t="s">
        <v>32</v>
      </c>
      <c r="B34">
        <v>2021</v>
      </c>
      <c r="C34" t="str">
        <f t="shared" si="1"/>
        <v>2021-Q1</v>
      </c>
      <c r="D34" t="s">
        <v>65</v>
      </c>
      <c r="E34" t="str">
        <f t="shared" si="0"/>
        <v>South South</v>
      </c>
      <c r="F34" s="5">
        <v>3</v>
      </c>
      <c r="G34" s="5">
        <v>16</v>
      </c>
      <c r="H34" s="5">
        <v>2</v>
      </c>
      <c r="I34" s="5">
        <v>21</v>
      </c>
      <c r="J34" s="5">
        <v>54</v>
      </c>
      <c r="K34" s="5">
        <v>4</v>
      </c>
      <c r="L34" s="5">
        <v>58</v>
      </c>
      <c r="M34" s="5">
        <v>118</v>
      </c>
      <c r="N34" s="6">
        <f t="shared" si="2"/>
        <v>6.8965517241379309E-2</v>
      </c>
      <c r="O34" s="11">
        <v>12</v>
      </c>
      <c r="P34" s="11">
        <v>0</v>
      </c>
      <c r="Q34" s="11">
        <v>4</v>
      </c>
      <c r="R34" s="11">
        <v>0</v>
      </c>
      <c r="S34" s="11">
        <v>0</v>
      </c>
      <c r="T34" s="11">
        <v>0</v>
      </c>
      <c r="U34" s="11">
        <v>0</v>
      </c>
      <c r="V34" s="11">
        <v>2</v>
      </c>
      <c r="W34" s="11">
        <v>0</v>
      </c>
      <c r="X34" s="11">
        <v>0</v>
      </c>
      <c r="Y34" s="11">
        <v>1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1</v>
      </c>
      <c r="AF34" s="11">
        <v>2</v>
      </c>
    </row>
    <row r="35" spans="1:32">
      <c r="A35" t="s">
        <v>32</v>
      </c>
      <c r="B35">
        <v>2021</v>
      </c>
      <c r="C35" t="str">
        <f t="shared" si="1"/>
        <v>2021-Q1</v>
      </c>
      <c r="D35" t="s">
        <v>66</v>
      </c>
      <c r="E35" t="str">
        <f t="shared" si="0"/>
        <v>North West</v>
      </c>
      <c r="F35" s="5">
        <v>15</v>
      </c>
      <c r="G35" s="5">
        <v>22</v>
      </c>
      <c r="H35" s="5">
        <v>0</v>
      </c>
      <c r="I35" s="5">
        <v>37</v>
      </c>
      <c r="J35" s="5">
        <v>119</v>
      </c>
      <c r="K35" s="5">
        <v>33</v>
      </c>
      <c r="L35" s="5">
        <v>152</v>
      </c>
      <c r="M35" s="5">
        <v>205</v>
      </c>
      <c r="N35" s="6">
        <f t="shared" si="2"/>
        <v>0.21710526315789475</v>
      </c>
      <c r="O35" s="11">
        <v>46</v>
      </c>
      <c r="P35" s="11">
        <v>0</v>
      </c>
      <c r="Q35" s="11">
        <v>1</v>
      </c>
      <c r="R35" s="11">
        <v>0</v>
      </c>
      <c r="S35" s="11">
        <v>1</v>
      </c>
      <c r="T35" s="11">
        <v>0</v>
      </c>
      <c r="U35" s="11">
        <v>1</v>
      </c>
      <c r="V35" s="11">
        <v>1</v>
      </c>
      <c r="W35" s="11">
        <v>5</v>
      </c>
      <c r="X35" s="11">
        <v>0</v>
      </c>
      <c r="Y35" s="11">
        <v>1</v>
      </c>
      <c r="Z35" s="11">
        <v>1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</row>
    <row r="36" spans="1:32">
      <c r="A36" t="s">
        <v>32</v>
      </c>
      <c r="B36">
        <v>2021</v>
      </c>
      <c r="C36" t="str">
        <f t="shared" si="1"/>
        <v>2021-Q1</v>
      </c>
      <c r="D36" t="s">
        <v>67</v>
      </c>
      <c r="E36" t="str">
        <f t="shared" si="0"/>
        <v>North East</v>
      </c>
      <c r="F36" s="5">
        <v>8</v>
      </c>
      <c r="G36" s="5">
        <v>58</v>
      </c>
      <c r="H36" s="5">
        <v>1</v>
      </c>
      <c r="I36" s="5">
        <v>67</v>
      </c>
      <c r="J36" s="5">
        <v>213</v>
      </c>
      <c r="K36" s="5">
        <v>12</v>
      </c>
      <c r="L36" s="5">
        <v>225</v>
      </c>
      <c r="M36" s="5">
        <v>315</v>
      </c>
      <c r="N36" s="6">
        <f t="shared" si="2"/>
        <v>5.3333333333333337E-2</v>
      </c>
      <c r="O36" s="11">
        <v>31</v>
      </c>
      <c r="P36" s="11">
        <v>0</v>
      </c>
      <c r="Q36" s="11">
        <v>3</v>
      </c>
      <c r="R36" s="11">
        <v>1</v>
      </c>
      <c r="S36" s="11">
        <v>0</v>
      </c>
      <c r="T36" s="11">
        <v>0</v>
      </c>
      <c r="U36" s="11">
        <v>0</v>
      </c>
      <c r="V36" s="11">
        <v>3</v>
      </c>
      <c r="W36" s="11">
        <v>21</v>
      </c>
      <c r="X36" s="11">
        <v>0</v>
      </c>
      <c r="Y36" s="11">
        <v>1</v>
      </c>
      <c r="Z36" s="11">
        <v>3</v>
      </c>
      <c r="AA36" s="11">
        <v>22</v>
      </c>
      <c r="AB36" s="11">
        <v>0</v>
      </c>
      <c r="AC36" s="11">
        <v>0</v>
      </c>
      <c r="AD36" s="11">
        <v>0</v>
      </c>
      <c r="AE36" s="11">
        <v>19</v>
      </c>
      <c r="AF36" s="11">
        <v>0</v>
      </c>
    </row>
    <row r="37" spans="1:32">
      <c r="A37" t="s">
        <v>32</v>
      </c>
      <c r="B37">
        <v>2021</v>
      </c>
      <c r="C37" t="str">
        <f t="shared" si="1"/>
        <v>2021-Q1</v>
      </c>
      <c r="D37" t="s">
        <v>68</v>
      </c>
      <c r="E37" t="str">
        <f t="shared" si="0"/>
        <v>North East</v>
      </c>
      <c r="F37" s="5">
        <v>17</v>
      </c>
      <c r="G37" s="5">
        <v>24</v>
      </c>
      <c r="H37" s="5">
        <v>1</v>
      </c>
      <c r="I37" s="5">
        <v>42</v>
      </c>
      <c r="J37" s="5">
        <v>235</v>
      </c>
      <c r="K37" s="5">
        <v>35</v>
      </c>
      <c r="L37" s="5">
        <v>270</v>
      </c>
      <c r="M37" s="5">
        <v>379</v>
      </c>
      <c r="N37" s="6">
        <f t="shared" si="2"/>
        <v>0.12962962962962962</v>
      </c>
      <c r="O37" s="11">
        <v>28</v>
      </c>
      <c r="P37" s="11">
        <v>0</v>
      </c>
      <c r="Q37" s="11">
        <v>5</v>
      </c>
      <c r="R37" s="11">
        <v>1</v>
      </c>
      <c r="S37" s="11">
        <v>0</v>
      </c>
      <c r="T37" s="11">
        <v>1</v>
      </c>
      <c r="U37" s="11">
        <v>0</v>
      </c>
      <c r="V37" s="11">
        <v>6</v>
      </c>
      <c r="W37" s="11">
        <v>7</v>
      </c>
      <c r="X37" s="11">
        <v>1</v>
      </c>
      <c r="Y37" s="11">
        <v>1</v>
      </c>
      <c r="Z37" s="11">
        <v>1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</row>
    <row r="38" spans="1:32">
      <c r="A38" t="s">
        <v>32</v>
      </c>
      <c r="B38">
        <v>2021</v>
      </c>
      <c r="C38" t="str">
        <f t="shared" si="1"/>
        <v>2021-Q1</v>
      </c>
      <c r="D38" t="s">
        <v>69</v>
      </c>
      <c r="E38" t="str">
        <f t="shared" si="0"/>
        <v>North West</v>
      </c>
      <c r="F38" s="5">
        <v>8</v>
      </c>
      <c r="G38" s="5">
        <v>33</v>
      </c>
      <c r="H38" s="5">
        <v>0</v>
      </c>
      <c r="I38" s="5">
        <v>41</v>
      </c>
      <c r="J38" s="5">
        <v>153</v>
      </c>
      <c r="K38" s="5">
        <v>14</v>
      </c>
      <c r="L38" s="5">
        <v>167</v>
      </c>
      <c r="M38" s="5">
        <v>235</v>
      </c>
      <c r="N38" s="6">
        <f t="shared" si="2"/>
        <v>8.3832335329341312E-2</v>
      </c>
      <c r="O38" s="11">
        <v>29</v>
      </c>
      <c r="P38" s="11">
        <v>0</v>
      </c>
      <c r="Q38" s="11">
        <v>2</v>
      </c>
      <c r="R38" s="11">
        <v>0</v>
      </c>
      <c r="S38" s="11">
        <v>0</v>
      </c>
      <c r="T38" s="11">
        <v>0</v>
      </c>
      <c r="U38" s="11">
        <v>1</v>
      </c>
      <c r="V38" s="11">
        <v>6</v>
      </c>
      <c r="W38" s="11">
        <v>2</v>
      </c>
      <c r="X38" s="11">
        <v>0</v>
      </c>
      <c r="Y38" s="11">
        <v>5</v>
      </c>
      <c r="Z38" s="11">
        <v>0</v>
      </c>
      <c r="AA38" s="11">
        <v>1</v>
      </c>
      <c r="AB38" s="11">
        <v>0</v>
      </c>
      <c r="AC38" s="11">
        <v>0</v>
      </c>
      <c r="AD38" s="11">
        <v>0</v>
      </c>
      <c r="AE38" s="11">
        <v>1</v>
      </c>
      <c r="AF38" s="11">
        <v>0</v>
      </c>
    </row>
    <row r="39" spans="1:32">
      <c r="A39" t="s">
        <v>70</v>
      </c>
      <c r="B39">
        <v>2021</v>
      </c>
      <c r="C39" t="str">
        <f t="shared" si="1"/>
        <v>2021-Q2</v>
      </c>
      <c r="D39" t="s">
        <v>33</v>
      </c>
      <c r="E39" t="str">
        <f t="shared" si="0"/>
        <v>South East</v>
      </c>
      <c r="F39" s="5">
        <v>10</v>
      </c>
      <c r="G39" s="5">
        <v>11</v>
      </c>
      <c r="H39" s="5">
        <v>0</v>
      </c>
      <c r="I39" s="5">
        <v>21</v>
      </c>
      <c r="J39" s="5">
        <v>69</v>
      </c>
      <c r="K39" s="5">
        <v>19</v>
      </c>
      <c r="L39" s="5">
        <v>88</v>
      </c>
      <c r="M39" s="5">
        <v>177</v>
      </c>
      <c r="N39" s="6">
        <f t="shared" si="2"/>
        <v>0.21590909090909091</v>
      </c>
      <c r="O39" s="11">
        <v>20</v>
      </c>
      <c r="P39" s="11">
        <v>0</v>
      </c>
      <c r="Q39" s="11">
        <v>1</v>
      </c>
      <c r="R39" s="11">
        <v>1</v>
      </c>
      <c r="S39" s="11">
        <v>1</v>
      </c>
      <c r="T39" s="11">
        <v>1</v>
      </c>
      <c r="U39" s="11">
        <v>0</v>
      </c>
      <c r="V39" s="11">
        <v>0</v>
      </c>
      <c r="W39" s="11">
        <v>3</v>
      </c>
      <c r="X39" s="11">
        <v>0</v>
      </c>
      <c r="Y39" s="11">
        <v>4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1</v>
      </c>
    </row>
    <row r="40" spans="1:32">
      <c r="A40" t="s">
        <v>70</v>
      </c>
      <c r="B40">
        <v>2021</v>
      </c>
      <c r="C40" t="str">
        <f t="shared" si="1"/>
        <v>2021-Q2</v>
      </c>
      <c r="D40" t="s">
        <v>34</v>
      </c>
      <c r="E40" t="str">
        <f t="shared" si="0"/>
        <v>North East</v>
      </c>
      <c r="F40" s="5">
        <v>11</v>
      </c>
      <c r="G40" s="5">
        <v>76</v>
      </c>
      <c r="H40" s="5">
        <v>3</v>
      </c>
      <c r="I40" s="5">
        <v>90</v>
      </c>
      <c r="J40" s="5">
        <v>280</v>
      </c>
      <c r="K40" s="5">
        <v>21</v>
      </c>
      <c r="L40" s="5">
        <v>301</v>
      </c>
      <c r="M40" s="5">
        <v>468</v>
      </c>
      <c r="N40" s="6">
        <f t="shared" si="2"/>
        <v>6.9767441860465115E-2</v>
      </c>
      <c r="O40" s="11">
        <v>70</v>
      </c>
      <c r="P40" s="11">
        <v>0</v>
      </c>
      <c r="Q40" s="11">
        <v>3</v>
      </c>
      <c r="R40" s="11">
        <v>3</v>
      </c>
      <c r="S40" s="11">
        <v>0</v>
      </c>
      <c r="T40" s="11">
        <v>0</v>
      </c>
      <c r="U40" s="11">
        <v>0</v>
      </c>
      <c r="V40" s="11">
        <v>11</v>
      </c>
      <c r="W40" s="11">
        <v>1</v>
      </c>
      <c r="X40" s="11">
        <v>0</v>
      </c>
      <c r="Y40" s="11">
        <v>3</v>
      </c>
      <c r="Z40" s="11">
        <v>14</v>
      </c>
      <c r="AA40" s="11">
        <v>0</v>
      </c>
      <c r="AB40" s="11">
        <v>0</v>
      </c>
      <c r="AC40" s="11">
        <v>0</v>
      </c>
      <c r="AD40" s="11">
        <v>0</v>
      </c>
      <c r="AE40" s="11">
        <v>2</v>
      </c>
      <c r="AF40" s="11">
        <v>0</v>
      </c>
    </row>
    <row r="41" spans="1:32">
      <c r="A41" t="s">
        <v>70</v>
      </c>
      <c r="B41">
        <v>2021</v>
      </c>
      <c r="C41" t="str">
        <f t="shared" si="1"/>
        <v>2021-Q2</v>
      </c>
      <c r="D41" t="s">
        <v>35</v>
      </c>
      <c r="E41" t="str">
        <f t="shared" si="0"/>
        <v>South South</v>
      </c>
      <c r="F41" s="5">
        <v>6</v>
      </c>
      <c r="G41" s="5">
        <v>9</v>
      </c>
      <c r="H41" s="5">
        <v>1</v>
      </c>
      <c r="I41" s="5">
        <v>16</v>
      </c>
      <c r="J41" s="5">
        <v>32</v>
      </c>
      <c r="K41" s="5">
        <v>10</v>
      </c>
      <c r="L41" s="5">
        <v>42</v>
      </c>
      <c r="M41" s="5">
        <v>87</v>
      </c>
      <c r="N41" s="6">
        <f t="shared" si="2"/>
        <v>0.23809523809523808</v>
      </c>
      <c r="O41" s="11">
        <v>10</v>
      </c>
      <c r="P41" s="11">
        <v>0</v>
      </c>
      <c r="Q41" s="11">
        <v>0</v>
      </c>
      <c r="R41" s="11">
        <v>0</v>
      </c>
      <c r="S41" s="11">
        <v>1</v>
      </c>
      <c r="T41" s="11">
        <v>0</v>
      </c>
      <c r="U41" s="11">
        <v>0</v>
      </c>
      <c r="V41" s="11">
        <v>2</v>
      </c>
      <c r="W41" s="11">
        <v>1</v>
      </c>
      <c r="X41" s="11">
        <v>1</v>
      </c>
      <c r="Y41" s="11">
        <v>1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1</v>
      </c>
    </row>
    <row r="42" spans="1:32">
      <c r="A42" t="s">
        <v>70</v>
      </c>
      <c r="B42">
        <v>2021</v>
      </c>
      <c r="C42" t="str">
        <f t="shared" si="1"/>
        <v>2021-Q2</v>
      </c>
      <c r="D42" t="s">
        <v>36</v>
      </c>
      <c r="E42" t="str">
        <f t="shared" si="0"/>
        <v>South East</v>
      </c>
      <c r="F42" s="5">
        <v>15</v>
      </c>
      <c r="G42" s="5">
        <v>31</v>
      </c>
      <c r="H42" s="5">
        <v>20</v>
      </c>
      <c r="I42" s="5">
        <v>66</v>
      </c>
      <c r="J42" s="5">
        <v>138</v>
      </c>
      <c r="K42" s="5">
        <v>18</v>
      </c>
      <c r="L42" s="5">
        <v>156</v>
      </c>
      <c r="M42" s="5">
        <v>418</v>
      </c>
      <c r="N42" s="6">
        <f t="shared" si="2"/>
        <v>0.11538461538461539</v>
      </c>
      <c r="O42" s="11">
        <v>37</v>
      </c>
      <c r="P42" s="11">
        <v>0</v>
      </c>
      <c r="Q42" s="11">
        <v>2</v>
      </c>
      <c r="R42" s="11">
        <v>4</v>
      </c>
      <c r="S42" s="11">
        <v>38</v>
      </c>
      <c r="T42" s="11">
        <v>0</v>
      </c>
      <c r="U42" s="11">
        <v>0</v>
      </c>
      <c r="V42" s="11">
        <v>6</v>
      </c>
      <c r="W42" s="11">
        <v>1</v>
      </c>
      <c r="X42" s="11">
        <v>0</v>
      </c>
      <c r="Y42" s="11">
        <v>6</v>
      </c>
      <c r="Z42" s="11">
        <v>0</v>
      </c>
      <c r="AA42" s="11">
        <v>1</v>
      </c>
      <c r="AB42" s="11">
        <v>0</v>
      </c>
      <c r="AC42" s="11">
        <v>0</v>
      </c>
      <c r="AD42" s="11">
        <v>0</v>
      </c>
      <c r="AE42" s="11">
        <v>5</v>
      </c>
      <c r="AF42" s="11">
        <v>0</v>
      </c>
    </row>
    <row r="43" spans="1:32">
      <c r="A43" t="s">
        <v>70</v>
      </c>
      <c r="B43">
        <v>2021</v>
      </c>
      <c r="C43" t="str">
        <f t="shared" si="1"/>
        <v>2021-Q2</v>
      </c>
      <c r="D43" t="s">
        <v>37</v>
      </c>
      <c r="E43" t="str">
        <f t="shared" si="0"/>
        <v>North East</v>
      </c>
      <c r="F43" s="5">
        <v>33</v>
      </c>
      <c r="G43" s="5">
        <v>72</v>
      </c>
      <c r="H43" s="5">
        <v>0</v>
      </c>
      <c r="I43" s="5">
        <v>105</v>
      </c>
      <c r="J43" s="5">
        <v>418</v>
      </c>
      <c r="K43" s="5">
        <v>46</v>
      </c>
      <c r="L43" s="5">
        <v>464</v>
      </c>
      <c r="M43" s="5">
        <v>737</v>
      </c>
      <c r="N43" s="6">
        <f t="shared" si="2"/>
        <v>9.9137931034482762E-2</v>
      </c>
      <c r="O43" s="11">
        <v>55</v>
      </c>
      <c r="P43" s="11">
        <v>0</v>
      </c>
      <c r="Q43" s="11">
        <v>8</v>
      </c>
      <c r="R43" s="11">
        <v>5</v>
      </c>
      <c r="S43" s="11">
        <v>0</v>
      </c>
      <c r="T43" s="11">
        <v>2</v>
      </c>
      <c r="U43" s="11">
        <v>0</v>
      </c>
      <c r="V43" s="11">
        <v>17</v>
      </c>
      <c r="W43" s="11">
        <v>7</v>
      </c>
      <c r="X43" s="11">
        <v>0</v>
      </c>
      <c r="Y43" s="11">
        <v>5</v>
      </c>
      <c r="Z43" s="11">
        <v>5</v>
      </c>
      <c r="AA43" s="11">
        <v>1</v>
      </c>
      <c r="AB43" s="11">
        <v>0</v>
      </c>
      <c r="AC43" s="11">
        <v>0</v>
      </c>
      <c r="AD43" s="11">
        <v>0</v>
      </c>
      <c r="AE43" s="11">
        <v>7</v>
      </c>
      <c r="AF43" s="11">
        <v>0</v>
      </c>
    </row>
    <row r="44" spans="1:32">
      <c r="A44" t="s">
        <v>70</v>
      </c>
      <c r="B44">
        <v>2021</v>
      </c>
      <c r="C44" t="str">
        <f t="shared" si="1"/>
        <v>2021-Q2</v>
      </c>
      <c r="D44" t="s">
        <v>38</v>
      </c>
      <c r="E44" t="str">
        <f t="shared" si="0"/>
        <v>South South</v>
      </c>
      <c r="F44" s="5">
        <v>2</v>
      </c>
      <c r="G44" s="5">
        <v>5</v>
      </c>
      <c r="H44" s="5">
        <v>3</v>
      </c>
      <c r="I44" s="5">
        <v>10</v>
      </c>
      <c r="J44" s="5">
        <v>19</v>
      </c>
      <c r="K44" s="5">
        <v>3</v>
      </c>
      <c r="L44" s="5">
        <v>22</v>
      </c>
      <c r="M44" s="5">
        <v>42</v>
      </c>
      <c r="N44" s="6">
        <f t="shared" si="2"/>
        <v>0.13636363636363635</v>
      </c>
      <c r="O44" s="11">
        <v>5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1</v>
      </c>
      <c r="X44" s="11">
        <v>0</v>
      </c>
      <c r="Y44" s="11">
        <v>1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3</v>
      </c>
    </row>
    <row r="45" spans="1:32">
      <c r="A45" t="s">
        <v>70</v>
      </c>
      <c r="B45">
        <v>2021</v>
      </c>
      <c r="C45" t="str">
        <f t="shared" si="1"/>
        <v>2021-Q2</v>
      </c>
      <c r="D45" t="s">
        <v>39</v>
      </c>
      <c r="E45" t="str">
        <f t="shared" si="0"/>
        <v>North Central</v>
      </c>
      <c r="F45" s="5">
        <v>7</v>
      </c>
      <c r="G45" s="5">
        <v>59</v>
      </c>
      <c r="H45" s="5">
        <v>3</v>
      </c>
      <c r="I45" s="5">
        <v>69</v>
      </c>
      <c r="J45" s="5">
        <v>170</v>
      </c>
      <c r="K45" s="5">
        <v>19</v>
      </c>
      <c r="L45" s="5">
        <v>189</v>
      </c>
      <c r="M45" s="5">
        <v>236</v>
      </c>
      <c r="N45" s="6">
        <f t="shared" si="2"/>
        <v>0.10052910052910052</v>
      </c>
      <c r="O45" s="11">
        <v>63</v>
      </c>
      <c r="P45" s="11">
        <v>1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2</v>
      </c>
      <c r="X45" s="11">
        <v>0</v>
      </c>
      <c r="Y45" s="11">
        <v>1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2</v>
      </c>
      <c r="AF45" s="11">
        <v>0</v>
      </c>
    </row>
    <row r="46" spans="1:32">
      <c r="A46" t="s">
        <v>70</v>
      </c>
      <c r="B46">
        <v>2021</v>
      </c>
      <c r="C46" t="str">
        <f t="shared" si="1"/>
        <v>2021-Q2</v>
      </c>
      <c r="D46" t="s">
        <v>40</v>
      </c>
      <c r="E46" t="str">
        <f t="shared" si="0"/>
        <v>North East</v>
      </c>
      <c r="F46" s="5">
        <v>2</v>
      </c>
      <c r="G46" s="5">
        <v>15</v>
      </c>
      <c r="H46" s="5">
        <v>0</v>
      </c>
      <c r="I46" s="5">
        <v>17</v>
      </c>
      <c r="J46" s="5">
        <v>65</v>
      </c>
      <c r="K46" s="5">
        <v>4</v>
      </c>
      <c r="L46" s="5">
        <v>69</v>
      </c>
      <c r="M46" s="5">
        <v>103</v>
      </c>
      <c r="N46" s="6">
        <f t="shared" si="2"/>
        <v>5.7971014492753624E-2</v>
      </c>
      <c r="O46" s="11">
        <v>7</v>
      </c>
      <c r="P46" s="11">
        <v>0</v>
      </c>
      <c r="Q46" s="11">
        <v>7</v>
      </c>
      <c r="R46" s="11">
        <v>0</v>
      </c>
      <c r="S46" s="11">
        <v>0</v>
      </c>
      <c r="T46" s="11">
        <v>0</v>
      </c>
      <c r="U46" s="11">
        <v>0</v>
      </c>
      <c r="V46" s="11">
        <v>3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7</v>
      </c>
      <c r="AF46" s="11">
        <v>0</v>
      </c>
    </row>
    <row r="47" spans="1:32">
      <c r="A47" t="s">
        <v>70</v>
      </c>
      <c r="B47">
        <v>2021</v>
      </c>
      <c r="C47" t="str">
        <f t="shared" si="1"/>
        <v>2021-Q2</v>
      </c>
      <c r="D47" t="s">
        <v>41</v>
      </c>
      <c r="E47" t="str">
        <f t="shared" si="0"/>
        <v>South South</v>
      </c>
      <c r="F47" s="5">
        <v>5</v>
      </c>
      <c r="G47" s="5">
        <v>20</v>
      </c>
      <c r="H47" s="5">
        <v>4</v>
      </c>
      <c r="I47" s="5">
        <v>29</v>
      </c>
      <c r="J47" s="5">
        <v>74</v>
      </c>
      <c r="K47" s="5">
        <v>5</v>
      </c>
      <c r="L47" s="5">
        <v>79</v>
      </c>
      <c r="M47" s="5">
        <v>149</v>
      </c>
      <c r="N47" s="6">
        <f t="shared" si="2"/>
        <v>6.3291139240506333E-2</v>
      </c>
      <c r="O47" s="11">
        <v>17</v>
      </c>
      <c r="P47" s="11">
        <v>1</v>
      </c>
      <c r="Q47" s="11">
        <v>2</v>
      </c>
      <c r="R47" s="11">
        <v>1</v>
      </c>
      <c r="S47" s="11">
        <v>5</v>
      </c>
      <c r="T47" s="11">
        <v>0</v>
      </c>
      <c r="U47" s="11">
        <v>0</v>
      </c>
      <c r="V47" s="11">
        <v>4</v>
      </c>
      <c r="W47" s="11">
        <v>1</v>
      </c>
      <c r="X47" s="11">
        <v>0</v>
      </c>
      <c r="Y47" s="11">
        <v>0</v>
      </c>
      <c r="Z47" s="11">
        <v>1</v>
      </c>
      <c r="AA47" s="11">
        <v>0</v>
      </c>
      <c r="AB47" s="11">
        <v>0</v>
      </c>
      <c r="AC47" s="11">
        <v>0</v>
      </c>
      <c r="AD47" s="11">
        <v>0</v>
      </c>
      <c r="AE47" s="11">
        <v>1</v>
      </c>
      <c r="AF47" s="11">
        <v>1</v>
      </c>
    </row>
    <row r="48" spans="1:32">
      <c r="A48" t="s">
        <v>70</v>
      </c>
      <c r="B48">
        <v>2021</v>
      </c>
      <c r="C48" t="str">
        <f t="shared" si="1"/>
        <v>2021-Q2</v>
      </c>
      <c r="D48" t="s">
        <v>42</v>
      </c>
      <c r="E48" t="str">
        <f t="shared" si="0"/>
        <v>South South</v>
      </c>
      <c r="F48" s="5">
        <v>9</v>
      </c>
      <c r="G48" s="5">
        <v>28</v>
      </c>
      <c r="H48" s="5">
        <v>4</v>
      </c>
      <c r="I48" s="5">
        <v>41</v>
      </c>
      <c r="J48" s="5">
        <v>136</v>
      </c>
      <c r="K48" s="5">
        <v>16</v>
      </c>
      <c r="L48" s="5">
        <v>152</v>
      </c>
      <c r="M48" s="5">
        <v>311</v>
      </c>
      <c r="N48" s="6">
        <f t="shared" si="2"/>
        <v>0.10526315789473684</v>
      </c>
      <c r="O48" s="11">
        <v>46</v>
      </c>
      <c r="P48" s="11">
        <v>0</v>
      </c>
      <c r="Q48" s="11">
        <v>6</v>
      </c>
      <c r="R48" s="11">
        <v>1</v>
      </c>
      <c r="S48" s="11">
        <v>5</v>
      </c>
      <c r="T48" s="11">
        <v>0</v>
      </c>
      <c r="U48" s="11">
        <v>0</v>
      </c>
      <c r="V48" s="11">
        <v>3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10</v>
      </c>
      <c r="AF48" s="11">
        <v>1</v>
      </c>
    </row>
    <row r="49" spans="1:32">
      <c r="A49" t="s">
        <v>70</v>
      </c>
      <c r="B49">
        <v>2021</v>
      </c>
      <c r="C49" t="str">
        <f t="shared" si="1"/>
        <v>2021-Q2</v>
      </c>
      <c r="D49" t="s">
        <v>43</v>
      </c>
      <c r="E49" t="str">
        <f t="shared" si="0"/>
        <v>South East</v>
      </c>
      <c r="F49" s="5">
        <v>9</v>
      </c>
      <c r="G49" s="5">
        <v>19</v>
      </c>
      <c r="H49" s="5">
        <v>1</v>
      </c>
      <c r="I49" s="5">
        <v>29</v>
      </c>
      <c r="J49" s="5">
        <v>82</v>
      </c>
      <c r="K49" s="5">
        <v>15</v>
      </c>
      <c r="L49" s="5">
        <v>97</v>
      </c>
      <c r="M49" s="5">
        <v>185</v>
      </c>
      <c r="N49" s="6">
        <f t="shared" si="2"/>
        <v>0.15463917525773196</v>
      </c>
      <c r="O49" s="11">
        <v>20</v>
      </c>
      <c r="P49" s="11">
        <v>0</v>
      </c>
      <c r="Q49" s="11">
        <v>6</v>
      </c>
      <c r="R49" s="11">
        <v>0</v>
      </c>
      <c r="S49" s="11">
        <v>0</v>
      </c>
      <c r="T49" s="11">
        <v>0</v>
      </c>
      <c r="U49" s="11">
        <v>0</v>
      </c>
      <c r="V49" s="11">
        <v>4</v>
      </c>
      <c r="W49" s="11">
        <v>0</v>
      </c>
      <c r="X49" s="11">
        <v>0</v>
      </c>
      <c r="Y49" s="11">
        <v>1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2</v>
      </c>
      <c r="AF49" s="11">
        <v>2</v>
      </c>
    </row>
    <row r="50" spans="1:32">
      <c r="A50" t="s">
        <v>70</v>
      </c>
      <c r="B50">
        <v>2021</v>
      </c>
      <c r="C50" t="str">
        <f t="shared" si="1"/>
        <v>2021-Q2</v>
      </c>
      <c r="D50" t="s">
        <v>44</v>
      </c>
      <c r="E50" t="str">
        <f t="shared" si="0"/>
        <v>South South</v>
      </c>
      <c r="F50" s="5">
        <v>19</v>
      </c>
      <c r="G50" s="5">
        <v>30</v>
      </c>
      <c r="H50" s="5">
        <v>9</v>
      </c>
      <c r="I50" s="5">
        <v>58</v>
      </c>
      <c r="J50" s="5">
        <v>154</v>
      </c>
      <c r="K50" s="5">
        <v>34</v>
      </c>
      <c r="L50" s="5">
        <v>188</v>
      </c>
      <c r="M50" s="5">
        <v>370</v>
      </c>
      <c r="N50" s="6">
        <f t="shared" si="2"/>
        <v>0.18085106382978725</v>
      </c>
      <c r="O50" s="11">
        <v>61</v>
      </c>
      <c r="P50" s="11">
        <v>0</v>
      </c>
      <c r="Q50" s="11">
        <v>3</v>
      </c>
      <c r="R50" s="11">
        <v>2</v>
      </c>
      <c r="S50" s="11">
        <v>4</v>
      </c>
      <c r="T50" s="11">
        <v>0</v>
      </c>
      <c r="U50" s="11">
        <v>0</v>
      </c>
      <c r="V50" s="11">
        <v>9</v>
      </c>
      <c r="W50" s="11">
        <v>1</v>
      </c>
      <c r="X50" s="11">
        <v>0</v>
      </c>
      <c r="Y50" s="11">
        <v>1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</row>
    <row r="51" spans="1:32">
      <c r="A51" t="s">
        <v>70</v>
      </c>
      <c r="B51">
        <v>2021</v>
      </c>
      <c r="C51" t="str">
        <f t="shared" si="1"/>
        <v>2021-Q2</v>
      </c>
      <c r="D51" t="s">
        <v>45</v>
      </c>
      <c r="E51" t="str">
        <f t="shared" si="0"/>
        <v>South West</v>
      </c>
      <c r="F51" s="5">
        <v>13</v>
      </c>
      <c r="G51" s="5">
        <v>23</v>
      </c>
      <c r="H51" s="5">
        <v>5</v>
      </c>
      <c r="I51" s="5">
        <v>41</v>
      </c>
      <c r="J51" s="5">
        <v>98</v>
      </c>
      <c r="K51" s="5">
        <v>20</v>
      </c>
      <c r="L51" s="5">
        <v>118</v>
      </c>
      <c r="M51" s="5">
        <v>252</v>
      </c>
      <c r="N51" s="6">
        <f t="shared" si="2"/>
        <v>0.16949152542372881</v>
      </c>
      <c r="O51" s="11">
        <v>39</v>
      </c>
      <c r="P51" s="11">
        <v>0</v>
      </c>
      <c r="Q51" s="11">
        <v>2</v>
      </c>
      <c r="R51" s="11">
        <v>0</v>
      </c>
      <c r="S51" s="11">
        <v>1</v>
      </c>
      <c r="T51" s="11">
        <v>1</v>
      </c>
      <c r="U51" s="11">
        <v>0</v>
      </c>
      <c r="V51" s="11">
        <v>1</v>
      </c>
      <c r="W51" s="11">
        <v>4</v>
      </c>
      <c r="X51" s="11">
        <v>1</v>
      </c>
      <c r="Y51" s="11">
        <v>0</v>
      </c>
      <c r="Z51" s="11">
        <v>1</v>
      </c>
      <c r="AA51" s="11">
        <v>0</v>
      </c>
      <c r="AB51" s="11">
        <v>0</v>
      </c>
      <c r="AC51" s="11">
        <v>0</v>
      </c>
      <c r="AD51" s="11">
        <v>0</v>
      </c>
      <c r="AE51" s="11">
        <v>10</v>
      </c>
      <c r="AF51" s="11">
        <v>0</v>
      </c>
    </row>
    <row r="52" spans="1:32">
      <c r="A52" t="s">
        <v>70</v>
      </c>
      <c r="B52">
        <v>2021</v>
      </c>
      <c r="C52" t="str">
        <f t="shared" si="1"/>
        <v>2021-Q2</v>
      </c>
      <c r="D52" t="s">
        <v>46</v>
      </c>
      <c r="E52" t="str">
        <f t="shared" si="0"/>
        <v>South East</v>
      </c>
      <c r="F52" s="5">
        <v>13</v>
      </c>
      <c r="G52" s="5">
        <v>34</v>
      </c>
      <c r="H52" s="5">
        <v>19</v>
      </c>
      <c r="I52" s="5">
        <v>66</v>
      </c>
      <c r="J52" s="5">
        <v>157</v>
      </c>
      <c r="K52" s="5">
        <v>22</v>
      </c>
      <c r="L52" s="5">
        <v>179</v>
      </c>
      <c r="M52" s="5">
        <v>453</v>
      </c>
      <c r="N52" s="6">
        <f t="shared" si="2"/>
        <v>0.12290502793296089</v>
      </c>
      <c r="O52" s="11">
        <v>8</v>
      </c>
      <c r="P52" s="11">
        <v>0</v>
      </c>
      <c r="Q52" s="11">
        <v>9</v>
      </c>
      <c r="R52" s="11">
        <v>2</v>
      </c>
      <c r="S52" s="11">
        <v>4</v>
      </c>
      <c r="T52" s="11">
        <v>1</v>
      </c>
      <c r="U52" s="11">
        <v>0</v>
      </c>
      <c r="V52" s="11">
        <v>9</v>
      </c>
      <c r="W52" s="11">
        <v>4</v>
      </c>
      <c r="X52" s="11">
        <v>0</v>
      </c>
      <c r="Y52" s="11">
        <v>2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39</v>
      </c>
      <c r="AF52" s="11">
        <v>0</v>
      </c>
    </row>
    <row r="53" spans="1:32">
      <c r="A53" t="s">
        <v>70</v>
      </c>
      <c r="B53">
        <v>2021</v>
      </c>
      <c r="C53" t="str">
        <f t="shared" si="1"/>
        <v>2021-Q2</v>
      </c>
      <c r="D53" t="s">
        <v>47</v>
      </c>
      <c r="E53" t="str">
        <f t="shared" si="0"/>
        <v>North Central</v>
      </c>
      <c r="F53" s="5">
        <v>31</v>
      </c>
      <c r="G53" s="5">
        <v>168</v>
      </c>
      <c r="H53" s="5">
        <v>53</v>
      </c>
      <c r="I53" s="5">
        <v>252</v>
      </c>
      <c r="J53" s="5">
        <v>483</v>
      </c>
      <c r="K53" s="5">
        <v>37</v>
      </c>
      <c r="L53" s="5">
        <v>520</v>
      </c>
      <c r="M53" s="5">
        <v>1273</v>
      </c>
      <c r="N53" s="6">
        <f t="shared" si="2"/>
        <v>7.1153846153846151E-2</v>
      </c>
      <c r="O53" s="11">
        <v>135</v>
      </c>
      <c r="P53" s="11">
        <v>0</v>
      </c>
      <c r="Q53" s="11">
        <v>10</v>
      </c>
      <c r="R53" s="11">
        <v>4</v>
      </c>
      <c r="S53" s="11">
        <v>6</v>
      </c>
      <c r="T53" s="11">
        <v>0</v>
      </c>
      <c r="U53" s="11">
        <v>0</v>
      </c>
      <c r="V53" s="11">
        <v>1</v>
      </c>
      <c r="W53" s="11">
        <v>22</v>
      </c>
      <c r="X53" s="11">
        <v>0</v>
      </c>
      <c r="Y53" s="11">
        <v>15</v>
      </c>
      <c r="Z53" s="11">
        <v>9</v>
      </c>
      <c r="AA53" s="11">
        <v>0</v>
      </c>
      <c r="AB53" s="11">
        <v>2</v>
      </c>
      <c r="AC53" s="11">
        <v>0</v>
      </c>
      <c r="AD53" s="11">
        <v>0</v>
      </c>
      <c r="AE53" s="11">
        <v>144</v>
      </c>
      <c r="AF53" s="11">
        <v>8</v>
      </c>
    </row>
    <row r="54" spans="1:32">
      <c r="A54" t="s">
        <v>70</v>
      </c>
      <c r="B54">
        <v>2021</v>
      </c>
      <c r="C54" t="str">
        <f t="shared" si="1"/>
        <v>2021-Q2</v>
      </c>
      <c r="D54" t="s">
        <v>48</v>
      </c>
      <c r="E54" t="str">
        <f t="shared" si="0"/>
        <v>North East</v>
      </c>
      <c r="F54" s="5">
        <v>15</v>
      </c>
      <c r="G54" s="5">
        <v>76</v>
      </c>
      <c r="H54" s="5">
        <v>2</v>
      </c>
      <c r="I54" s="5">
        <v>93</v>
      </c>
      <c r="J54" s="5">
        <v>239</v>
      </c>
      <c r="K54" s="5">
        <v>28</v>
      </c>
      <c r="L54" s="5">
        <v>267</v>
      </c>
      <c r="M54" s="5">
        <v>427</v>
      </c>
      <c r="N54" s="6">
        <f t="shared" si="2"/>
        <v>0.10486891385767791</v>
      </c>
      <c r="O54" s="11">
        <v>40</v>
      </c>
      <c r="P54" s="11">
        <v>0</v>
      </c>
      <c r="Q54" s="11">
        <v>1</v>
      </c>
      <c r="R54" s="11">
        <v>0</v>
      </c>
      <c r="S54" s="11">
        <v>2</v>
      </c>
      <c r="T54" s="11">
        <v>6</v>
      </c>
      <c r="U54" s="11">
        <v>0</v>
      </c>
      <c r="V54" s="11">
        <v>3</v>
      </c>
      <c r="W54" s="11">
        <v>26</v>
      </c>
      <c r="X54" s="11">
        <v>0</v>
      </c>
      <c r="Y54" s="11">
        <v>5</v>
      </c>
      <c r="Z54" s="11">
        <v>3</v>
      </c>
      <c r="AA54" s="11">
        <v>0</v>
      </c>
      <c r="AB54" s="11">
        <v>0</v>
      </c>
      <c r="AC54" s="11">
        <v>0</v>
      </c>
      <c r="AD54" s="11">
        <v>0</v>
      </c>
      <c r="AE54" s="11">
        <v>21</v>
      </c>
      <c r="AF54" s="11">
        <v>0</v>
      </c>
    </row>
    <row r="55" spans="1:32">
      <c r="A55" t="s">
        <v>70</v>
      </c>
      <c r="B55">
        <v>2021</v>
      </c>
      <c r="C55" t="str">
        <f t="shared" si="1"/>
        <v>2021-Q2</v>
      </c>
      <c r="D55" t="s">
        <v>49</v>
      </c>
      <c r="E55" t="str">
        <f t="shared" si="0"/>
        <v>South East</v>
      </c>
      <c r="F55" s="5">
        <v>6</v>
      </c>
      <c r="G55" s="5">
        <v>13</v>
      </c>
      <c r="H55" s="5">
        <v>4</v>
      </c>
      <c r="I55" s="5">
        <v>23</v>
      </c>
      <c r="J55" s="5">
        <v>64</v>
      </c>
      <c r="K55" s="5">
        <v>14</v>
      </c>
      <c r="L55" s="5">
        <v>78</v>
      </c>
      <c r="M55" s="5">
        <v>145</v>
      </c>
      <c r="N55" s="6">
        <f t="shared" si="2"/>
        <v>0.17948717948717949</v>
      </c>
      <c r="O55" s="11">
        <v>6</v>
      </c>
      <c r="P55" s="11">
        <v>0</v>
      </c>
      <c r="Q55" s="11">
        <v>5</v>
      </c>
      <c r="R55" s="11">
        <v>0</v>
      </c>
      <c r="S55" s="11">
        <v>3</v>
      </c>
      <c r="T55" s="11">
        <v>0</v>
      </c>
      <c r="U55" s="11">
        <v>0</v>
      </c>
      <c r="V55" s="11">
        <v>1</v>
      </c>
      <c r="W55" s="11">
        <v>3</v>
      </c>
      <c r="X55" s="11">
        <v>0</v>
      </c>
      <c r="Y55" s="11">
        <v>2</v>
      </c>
      <c r="Z55" s="11">
        <v>1</v>
      </c>
      <c r="AA55" s="11">
        <v>0</v>
      </c>
      <c r="AB55" s="11">
        <v>0</v>
      </c>
      <c r="AC55" s="11">
        <v>0</v>
      </c>
      <c r="AD55" s="11">
        <v>0</v>
      </c>
      <c r="AE55" s="11">
        <v>3</v>
      </c>
      <c r="AF55" s="11">
        <v>0</v>
      </c>
    </row>
    <row r="56" spans="1:32">
      <c r="A56" t="s">
        <v>70</v>
      </c>
      <c r="B56">
        <v>2021</v>
      </c>
      <c r="C56" t="str">
        <f t="shared" si="1"/>
        <v>2021-Q2</v>
      </c>
      <c r="D56" t="s">
        <v>50</v>
      </c>
      <c r="E56" t="str">
        <f t="shared" si="0"/>
        <v>North West</v>
      </c>
      <c r="F56" s="5">
        <v>22</v>
      </c>
      <c r="G56" s="5">
        <v>41</v>
      </c>
      <c r="H56" s="5">
        <v>0</v>
      </c>
      <c r="I56" s="5">
        <v>63</v>
      </c>
      <c r="J56" s="5">
        <v>370</v>
      </c>
      <c r="K56" s="5">
        <v>46</v>
      </c>
      <c r="L56" s="5">
        <v>416</v>
      </c>
      <c r="M56" s="5">
        <v>499</v>
      </c>
      <c r="N56" s="6">
        <f t="shared" si="2"/>
        <v>0.11057692307692307</v>
      </c>
      <c r="O56" s="11">
        <v>74</v>
      </c>
      <c r="P56" s="11">
        <v>0</v>
      </c>
      <c r="Q56" s="11">
        <v>12</v>
      </c>
      <c r="R56" s="11">
        <v>1</v>
      </c>
      <c r="S56" s="11">
        <v>0</v>
      </c>
      <c r="T56" s="11">
        <v>7</v>
      </c>
      <c r="U56" s="11">
        <v>1</v>
      </c>
      <c r="V56" s="11">
        <v>6</v>
      </c>
      <c r="W56" s="11">
        <v>0</v>
      </c>
      <c r="X56" s="11">
        <v>0</v>
      </c>
      <c r="Y56" s="11">
        <v>6</v>
      </c>
      <c r="Z56" s="11">
        <v>9</v>
      </c>
      <c r="AA56" s="11">
        <v>0</v>
      </c>
      <c r="AB56" s="11">
        <v>0</v>
      </c>
      <c r="AC56" s="11">
        <v>0</v>
      </c>
      <c r="AD56" s="11">
        <v>1</v>
      </c>
      <c r="AE56" s="11">
        <v>2</v>
      </c>
      <c r="AF56" s="11">
        <v>1</v>
      </c>
    </row>
    <row r="57" spans="1:32">
      <c r="A57" t="s">
        <v>70</v>
      </c>
      <c r="B57">
        <v>2021</v>
      </c>
      <c r="C57" t="str">
        <f t="shared" si="1"/>
        <v>2021-Q2</v>
      </c>
      <c r="D57" t="s">
        <v>51</v>
      </c>
      <c r="E57" t="str">
        <f t="shared" si="0"/>
        <v>North West</v>
      </c>
      <c r="F57" s="5">
        <v>94</v>
      </c>
      <c r="G57" s="5">
        <v>126</v>
      </c>
      <c r="H57" s="5">
        <v>2</v>
      </c>
      <c r="I57" s="5">
        <v>222</v>
      </c>
      <c r="J57" s="5">
        <v>837</v>
      </c>
      <c r="K57" s="5">
        <v>217</v>
      </c>
      <c r="L57" s="5">
        <v>1054</v>
      </c>
      <c r="M57" s="5">
        <v>1790</v>
      </c>
      <c r="N57" s="6">
        <f t="shared" si="2"/>
        <v>0.20588235294117646</v>
      </c>
      <c r="O57" s="11">
        <v>179</v>
      </c>
      <c r="P57" s="11">
        <v>0</v>
      </c>
      <c r="Q57" s="11">
        <v>21</v>
      </c>
      <c r="R57" s="11">
        <v>1</v>
      </c>
      <c r="S57" s="11">
        <v>3</v>
      </c>
      <c r="T57" s="11">
        <v>4</v>
      </c>
      <c r="U57" s="11">
        <v>1</v>
      </c>
      <c r="V57" s="11">
        <v>31</v>
      </c>
      <c r="W57" s="11">
        <v>12</v>
      </c>
      <c r="X57" s="11">
        <v>2</v>
      </c>
      <c r="Y57" s="11">
        <v>4</v>
      </c>
      <c r="Z57" s="11">
        <v>8</v>
      </c>
      <c r="AA57" s="11">
        <v>0</v>
      </c>
      <c r="AB57" s="11">
        <v>0</v>
      </c>
      <c r="AC57" s="11">
        <v>0</v>
      </c>
      <c r="AD57" s="11">
        <v>5</v>
      </c>
      <c r="AE57" s="11">
        <v>19</v>
      </c>
      <c r="AF57" s="11">
        <v>9</v>
      </c>
    </row>
    <row r="58" spans="1:32">
      <c r="A58" t="s">
        <v>70</v>
      </c>
      <c r="B58">
        <v>2021</v>
      </c>
      <c r="C58" t="str">
        <f t="shared" si="1"/>
        <v>2021-Q2</v>
      </c>
      <c r="D58" t="s">
        <v>52</v>
      </c>
      <c r="E58" t="str">
        <f t="shared" si="0"/>
        <v>North West</v>
      </c>
      <c r="F58" s="5">
        <v>22</v>
      </c>
      <c r="G58" s="5">
        <v>47</v>
      </c>
      <c r="H58" s="5">
        <v>1</v>
      </c>
      <c r="I58" s="5">
        <v>70</v>
      </c>
      <c r="J58" s="5">
        <v>286</v>
      </c>
      <c r="K58" s="5">
        <v>57</v>
      </c>
      <c r="L58" s="5">
        <v>343</v>
      </c>
      <c r="M58" s="5">
        <v>480</v>
      </c>
      <c r="N58" s="6">
        <f t="shared" si="2"/>
        <v>0.16618075801749271</v>
      </c>
      <c r="O58" s="11">
        <v>56</v>
      </c>
      <c r="P58" s="11">
        <v>0</v>
      </c>
      <c r="Q58" s="11">
        <v>3</v>
      </c>
      <c r="R58" s="11">
        <v>1</v>
      </c>
      <c r="S58" s="11">
        <v>1</v>
      </c>
      <c r="T58" s="11">
        <v>0</v>
      </c>
      <c r="U58" s="11">
        <v>3</v>
      </c>
      <c r="V58" s="11">
        <v>7</v>
      </c>
      <c r="W58" s="11">
        <v>6</v>
      </c>
      <c r="X58" s="11">
        <v>1</v>
      </c>
      <c r="Y58" s="11">
        <v>1</v>
      </c>
      <c r="Z58" s="11">
        <v>2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6</v>
      </c>
    </row>
    <row r="59" spans="1:32">
      <c r="A59" t="s">
        <v>70</v>
      </c>
      <c r="B59">
        <v>2021</v>
      </c>
      <c r="C59" t="str">
        <f t="shared" si="1"/>
        <v>2021-Q2</v>
      </c>
      <c r="D59" t="s">
        <v>53</v>
      </c>
      <c r="E59" t="str">
        <f t="shared" si="0"/>
        <v>North West</v>
      </c>
      <c r="F59" s="5">
        <v>20</v>
      </c>
      <c r="G59" s="5">
        <v>19</v>
      </c>
      <c r="H59" s="5">
        <v>0</v>
      </c>
      <c r="I59" s="5">
        <v>39</v>
      </c>
      <c r="J59" s="5">
        <v>148</v>
      </c>
      <c r="K59" s="5">
        <v>40</v>
      </c>
      <c r="L59" s="5">
        <v>188</v>
      </c>
      <c r="M59" s="5">
        <v>229</v>
      </c>
      <c r="N59" s="6">
        <f t="shared" si="2"/>
        <v>0.21276595744680851</v>
      </c>
      <c r="O59" s="11">
        <v>40</v>
      </c>
      <c r="P59" s="11">
        <v>0</v>
      </c>
      <c r="Q59" s="11">
        <v>2</v>
      </c>
      <c r="R59" s="11">
        <v>0</v>
      </c>
      <c r="S59" s="11">
        <v>0</v>
      </c>
      <c r="T59" s="11">
        <v>0</v>
      </c>
      <c r="U59" s="11">
        <v>0</v>
      </c>
      <c r="V59" s="11">
        <v>2</v>
      </c>
      <c r="W59" s="11">
        <v>8</v>
      </c>
      <c r="X59" s="11">
        <v>3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3</v>
      </c>
      <c r="AF59" s="11">
        <v>0</v>
      </c>
    </row>
    <row r="60" spans="1:32">
      <c r="A60" t="s">
        <v>70</v>
      </c>
      <c r="B60">
        <v>2021</v>
      </c>
      <c r="C60" t="str">
        <f t="shared" si="1"/>
        <v>2021-Q2</v>
      </c>
      <c r="D60" t="s">
        <v>54</v>
      </c>
      <c r="E60" t="str">
        <f t="shared" si="0"/>
        <v>North West</v>
      </c>
      <c r="F60" s="5">
        <v>4</v>
      </c>
      <c r="G60" s="5">
        <v>47</v>
      </c>
      <c r="H60" s="5">
        <v>2</v>
      </c>
      <c r="I60" s="5">
        <v>53</v>
      </c>
      <c r="J60" s="5">
        <v>130</v>
      </c>
      <c r="K60" s="5">
        <v>4</v>
      </c>
      <c r="L60" s="5">
        <v>134</v>
      </c>
      <c r="M60" s="5">
        <v>220</v>
      </c>
      <c r="N60" s="6">
        <f t="shared" si="2"/>
        <v>2.9850746268656716E-2</v>
      </c>
      <c r="O60" s="11">
        <v>41</v>
      </c>
      <c r="P60" s="11">
        <v>0</v>
      </c>
      <c r="Q60" s="11">
        <v>0</v>
      </c>
      <c r="R60" s="11">
        <v>0</v>
      </c>
      <c r="S60" s="11">
        <v>0</v>
      </c>
      <c r="T60" s="11">
        <v>1</v>
      </c>
      <c r="U60" s="11">
        <v>0</v>
      </c>
      <c r="V60" s="11">
        <v>4</v>
      </c>
      <c r="W60" s="11">
        <v>1</v>
      </c>
      <c r="X60" s="11">
        <v>0</v>
      </c>
      <c r="Y60" s="11">
        <v>4</v>
      </c>
      <c r="Z60" s="11">
        <v>0</v>
      </c>
      <c r="AA60" s="11">
        <v>0</v>
      </c>
      <c r="AB60" s="11">
        <v>1</v>
      </c>
      <c r="AC60" s="11">
        <v>0</v>
      </c>
      <c r="AD60" s="11">
        <v>0</v>
      </c>
      <c r="AE60" s="11">
        <v>2</v>
      </c>
      <c r="AF60" s="11">
        <v>1</v>
      </c>
    </row>
    <row r="61" spans="1:32">
      <c r="A61" t="s">
        <v>70</v>
      </c>
      <c r="B61">
        <v>2021</v>
      </c>
      <c r="C61" t="str">
        <f t="shared" si="1"/>
        <v>2021-Q2</v>
      </c>
      <c r="D61" t="s">
        <v>55</v>
      </c>
      <c r="E61" t="str">
        <f t="shared" si="0"/>
        <v>North Central</v>
      </c>
      <c r="F61" s="5">
        <v>21</v>
      </c>
      <c r="G61" s="5">
        <v>57</v>
      </c>
      <c r="H61" s="5">
        <v>19</v>
      </c>
      <c r="I61" s="5">
        <v>97</v>
      </c>
      <c r="J61" s="5">
        <v>246</v>
      </c>
      <c r="K61" s="5">
        <v>25</v>
      </c>
      <c r="L61" s="5">
        <v>271</v>
      </c>
      <c r="M61" s="5">
        <v>705</v>
      </c>
      <c r="N61" s="6">
        <f t="shared" si="2"/>
        <v>9.2250922509225092E-2</v>
      </c>
      <c r="O61" s="11">
        <v>56</v>
      </c>
      <c r="P61" s="11">
        <v>0</v>
      </c>
      <c r="Q61" s="11">
        <v>3</v>
      </c>
      <c r="R61" s="11">
        <v>6</v>
      </c>
      <c r="S61" s="11">
        <v>5</v>
      </c>
      <c r="T61" s="11">
        <v>4</v>
      </c>
      <c r="U61" s="11">
        <v>0</v>
      </c>
      <c r="V61" s="11">
        <v>10</v>
      </c>
      <c r="W61" s="11">
        <v>9</v>
      </c>
      <c r="X61" s="11">
        <v>0</v>
      </c>
      <c r="Y61" s="11">
        <v>7</v>
      </c>
      <c r="Z61" s="11">
        <v>2</v>
      </c>
      <c r="AA61" s="11">
        <v>2</v>
      </c>
      <c r="AB61" s="11">
        <v>0</v>
      </c>
      <c r="AC61" s="11">
        <v>0</v>
      </c>
      <c r="AD61" s="11">
        <v>0</v>
      </c>
      <c r="AE61" s="11">
        <v>32</v>
      </c>
      <c r="AF61" s="11">
        <v>3</v>
      </c>
    </row>
    <row r="62" spans="1:32">
      <c r="A62" t="s">
        <v>70</v>
      </c>
      <c r="B62">
        <v>2021</v>
      </c>
      <c r="C62" t="str">
        <f t="shared" si="1"/>
        <v>2021-Q2</v>
      </c>
      <c r="D62" t="s">
        <v>56</v>
      </c>
      <c r="E62" t="str">
        <f t="shared" si="0"/>
        <v>North Central</v>
      </c>
      <c r="F62" s="5">
        <v>32</v>
      </c>
      <c r="G62" s="5">
        <v>63</v>
      </c>
      <c r="H62" s="5">
        <v>13</v>
      </c>
      <c r="I62" s="5">
        <v>108</v>
      </c>
      <c r="J62" s="5">
        <v>368</v>
      </c>
      <c r="K62" s="5">
        <v>80</v>
      </c>
      <c r="L62" s="5">
        <v>448</v>
      </c>
      <c r="M62" s="5">
        <v>750</v>
      </c>
      <c r="N62" s="6">
        <f t="shared" si="2"/>
        <v>0.17857142857142858</v>
      </c>
      <c r="O62" s="11">
        <v>64</v>
      </c>
      <c r="P62" s="11">
        <v>0</v>
      </c>
      <c r="Q62" s="11">
        <v>10</v>
      </c>
      <c r="R62" s="11">
        <v>6</v>
      </c>
      <c r="S62" s="11">
        <v>3</v>
      </c>
      <c r="T62" s="11">
        <v>0</v>
      </c>
      <c r="U62" s="11">
        <v>0</v>
      </c>
      <c r="V62" s="11">
        <v>16</v>
      </c>
      <c r="W62" s="11">
        <v>3</v>
      </c>
      <c r="X62" s="11">
        <v>0</v>
      </c>
      <c r="Y62" s="11">
        <v>0</v>
      </c>
      <c r="Z62" s="11">
        <v>0</v>
      </c>
      <c r="AA62" s="11">
        <v>0</v>
      </c>
      <c r="AB62" s="11">
        <v>2</v>
      </c>
      <c r="AC62" s="11">
        <v>0</v>
      </c>
      <c r="AD62" s="11">
        <v>0</v>
      </c>
      <c r="AE62" s="11">
        <v>37</v>
      </c>
      <c r="AF62" s="11">
        <v>3</v>
      </c>
    </row>
    <row r="63" spans="1:32">
      <c r="A63" t="s">
        <v>70</v>
      </c>
      <c r="B63">
        <v>2021</v>
      </c>
      <c r="C63" t="str">
        <f t="shared" si="1"/>
        <v>2021-Q2</v>
      </c>
      <c r="D63" t="s">
        <v>57</v>
      </c>
      <c r="E63" t="str">
        <f t="shared" si="0"/>
        <v>South West</v>
      </c>
      <c r="F63" s="5">
        <v>28</v>
      </c>
      <c r="G63" s="5">
        <v>75</v>
      </c>
      <c r="H63" s="5">
        <v>42</v>
      </c>
      <c r="I63" s="5">
        <v>145</v>
      </c>
      <c r="J63" s="5">
        <v>266</v>
      </c>
      <c r="K63" s="5">
        <v>47</v>
      </c>
      <c r="L63" s="5">
        <v>313</v>
      </c>
      <c r="M63" s="5">
        <v>717</v>
      </c>
      <c r="N63" s="6">
        <f t="shared" si="2"/>
        <v>0.15015974440894569</v>
      </c>
      <c r="O63" s="11">
        <v>75</v>
      </c>
      <c r="P63" s="11">
        <v>0</v>
      </c>
      <c r="Q63" s="11">
        <v>7</v>
      </c>
      <c r="R63" s="11">
        <v>6</v>
      </c>
      <c r="S63" s="11">
        <v>20</v>
      </c>
      <c r="T63" s="11">
        <v>0</v>
      </c>
      <c r="U63" s="11">
        <v>0</v>
      </c>
      <c r="V63" s="11">
        <v>6</v>
      </c>
      <c r="W63" s="11">
        <v>14</v>
      </c>
      <c r="X63" s="11">
        <v>6</v>
      </c>
      <c r="Y63" s="11">
        <v>3</v>
      </c>
      <c r="Z63" s="11">
        <v>0</v>
      </c>
      <c r="AA63" s="11">
        <v>0</v>
      </c>
      <c r="AB63" s="11">
        <v>0</v>
      </c>
      <c r="AC63" s="11">
        <v>0</v>
      </c>
      <c r="AD63" s="11">
        <v>3</v>
      </c>
      <c r="AE63" s="11">
        <v>0</v>
      </c>
      <c r="AF63" s="11">
        <v>6</v>
      </c>
    </row>
    <row r="64" spans="1:32">
      <c r="A64" t="s">
        <v>70</v>
      </c>
      <c r="B64">
        <v>2021</v>
      </c>
      <c r="C64" t="str">
        <f t="shared" si="1"/>
        <v>2021-Q2</v>
      </c>
      <c r="D64" t="s">
        <v>58</v>
      </c>
      <c r="E64" t="str">
        <f t="shared" si="0"/>
        <v>North Central</v>
      </c>
      <c r="F64" s="5">
        <v>37</v>
      </c>
      <c r="G64" s="5">
        <v>182</v>
      </c>
      <c r="H64" s="5">
        <v>23</v>
      </c>
      <c r="I64" s="5">
        <v>242</v>
      </c>
      <c r="J64" s="5">
        <v>600</v>
      </c>
      <c r="K64" s="5">
        <v>53</v>
      </c>
      <c r="L64" s="5">
        <v>653</v>
      </c>
      <c r="M64" s="5">
        <v>1106</v>
      </c>
      <c r="N64" s="6">
        <f t="shared" si="2"/>
        <v>8.1163859111791734E-2</v>
      </c>
      <c r="O64" s="11">
        <v>107</v>
      </c>
      <c r="P64" s="11">
        <v>1</v>
      </c>
      <c r="Q64" s="11">
        <v>6</v>
      </c>
      <c r="R64" s="11">
        <v>2</v>
      </c>
      <c r="S64" s="11">
        <v>5</v>
      </c>
      <c r="T64" s="11">
        <v>3</v>
      </c>
      <c r="U64" s="11">
        <v>2</v>
      </c>
      <c r="V64" s="11">
        <v>43</v>
      </c>
      <c r="W64" s="11">
        <v>37</v>
      </c>
      <c r="X64" s="11">
        <v>1</v>
      </c>
      <c r="Y64" s="11">
        <v>10</v>
      </c>
      <c r="Z64" s="11">
        <v>4</v>
      </c>
      <c r="AA64" s="11">
        <v>1</v>
      </c>
      <c r="AB64" s="11">
        <v>2</v>
      </c>
      <c r="AC64" s="11">
        <v>0</v>
      </c>
      <c r="AD64" s="11">
        <v>0</v>
      </c>
      <c r="AE64" s="11">
        <v>48</v>
      </c>
      <c r="AF64" s="11">
        <v>14</v>
      </c>
    </row>
    <row r="65" spans="1:32">
      <c r="A65" t="s">
        <v>70</v>
      </c>
      <c r="B65">
        <v>2021</v>
      </c>
      <c r="C65" t="str">
        <f t="shared" si="1"/>
        <v>2021-Q2</v>
      </c>
      <c r="D65" t="s">
        <v>59</v>
      </c>
      <c r="E65" t="str">
        <f t="shared" si="0"/>
        <v>North Central</v>
      </c>
      <c r="F65" s="5">
        <v>47</v>
      </c>
      <c r="G65" s="5">
        <v>98</v>
      </c>
      <c r="H65" s="5">
        <v>3</v>
      </c>
      <c r="I65" s="5">
        <v>148</v>
      </c>
      <c r="J65" s="5">
        <v>516</v>
      </c>
      <c r="K65" s="5">
        <v>103</v>
      </c>
      <c r="L65" s="5">
        <v>619</v>
      </c>
      <c r="M65" s="5">
        <v>946</v>
      </c>
      <c r="N65" s="6">
        <f t="shared" si="2"/>
        <v>0.16639741518578352</v>
      </c>
      <c r="O65" s="11">
        <v>114</v>
      </c>
      <c r="P65" s="11">
        <v>0</v>
      </c>
      <c r="Q65" s="11">
        <v>7</v>
      </c>
      <c r="R65" s="11">
        <v>1</v>
      </c>
      <c r="S65" s="11">
        <v>2</v>
      </c>
      <c r="T65" s="11">
        <v>2</v>
      </c>
      <c r="U65" s="11">
        <v>2</v>
      </c>
      <c r="V65" s="11">
        <v>16</v>
      </c>
      <c r="W65" s="11">
        <v>1</v>
      </c>
      <c r="X65" s="11">
        <v>2</v>
      </c>
      <c r="Y65" s="11">
        <v>6</v>
      </c>
      <c r="Z65" s="11">
        <v>4</v>
      </c>
      <c r="AA65" s="11">
        <v>0</v>
      </c>
      <c r="AB65" s="11">
        <v>0</v>
      </c>
      <c r="AC65" s="11">
        <v>0</v>
      </c>
      <c r="AD65" s="11">
        <v>18</v>
      </c>
      <c r="AE65" s="11">
        <v>14</v>
      </c>
      <c r="AF65" s="11">
        <v>5</v>
      </c>
    </row>
    <row r="66" spans="1:32">
      <c r="A66" t="s">
        <v>70</v>
      </c>
      <c r="B66">
        <v>2021</v>
      </c>
      <c r="C66" t="str">
        <f t="shared" si="1"/>
        <v>2021-Q2</v>
      </c>
      <c r="D66" t="s">
        <v>60</v>
      </c>
      <c r="E66" t="str">
        <f t="shared" ref="E66:E129" si="3">IF(OR(D66="Adamawa", D66="Bauchi", D66="Borno", D66="Gombe", D66="Taraba", D66="Yobe"), "North East",
IF(OR(D66="Jigawa", D66="Kaduna", D66="Kano", D66="Katsina", D66="Kebbi", D66="Sokoto", D66="Zamfara"), "North West",
IF(OR(D66="Benue", D66="Kogi", D66="Kwara", D66="Nasarawa", D66="Niger", D66="Plateau", D66="FCT"), "North Central",
IF(OR(D66="Abia", D66="Anambra", D66="Ebonyi", D66="Enugu", D66="Imo"), "South East",
IF(OR(D66="Akwa Ibom", D66="Bayelsa", D66="Cross River", D66="Delta", D66="Edo", D66="Rivers"), "South South",
IF(OR(D66="Ekiti", D66="Lagos", D66="Ogun", D66="Ondo", D66="Osun", D66="Oyo"), "South West",
"Zone Not Found"))))))</f>
        <v>South West</v>
      </c>
      <c r="F66" s="5">
        <v>73</v>
      </c>
      <c r="G66" s="5">
        <v>185</v>
      </c>
      <c r="H66" s="5">
        <v>79</v>
      </c>
      <c r="I66" s="5">
        <v>337</v>
      </c>
      <c r="J66" s="5">
        <v>637</v>
      </c>
      <c r="K66" s="5">
        <v>121</v>
      </c>
      <c r="L66" s="5">
        <v>758</v>
      </c>
      <c r="M66" s="5">
        <v>1980</v>
      </c>
      <c r="N66" s="6">
        <f t="shared" si="2"/>
        <v>0.15963060686015831</v>
      </c>
      <c r="O66" s="11">
        <v>293</v>
      </c>
      <c r="P66" s="11">
        <v>0</v>
      </c>
      <c r="Q66" s="11">
        <v>0</v>
      </c>
      <c r="R66" s="11">
        <v>17</v>
      </c>
      <c r="S66" s="11">
        <v>0</v>
      </c>
      <c r="T66" s="11">
        <v>0</v>
      </c>
      <c r="U66" s="11">
        <v>0</v>
      </c>
      <c r="V66" s="11">
        <v>19</v>
      </c>
      <c r="W66" s="11">
        <v>3</v>
      </c>
      <c r="X66" s="11">
        <v>0</v>
      </c>
      <c r="Y66" s="11">
        <v>5</v>
      </c>
      <c r="Z66" s="11">
        <v>1</v>
      </c>
      <c r="AA66" s="11">
        <v>0</v>
      </c>
      <c r="AB66" s="11">
        <v>1</v>
      </c>
      <c r="AC66" s="11">
        <v>0</v>
      </c>
      <c r="AD66" s="11">
        <v>0</v>
      </c>
      <c r="AE66" s="11">
        <v>0</v>
      </c>
      <c r="AF66" s="11">
        <v>4</v>
      </c>
    </row>
    <row r="67" spans="1:32">
      <c r="A67" t="s">
        <v>70</v>
      </c>
      <c r="B67">
        <v>2021</v>
      </c>
      <c r="C67" t="str">
        <f t="shared" ref="C67:C130" si="4">B67&amp;"-"&amp;A67</f>
        <v>2021-Q2</v>
      </c>
      <c r="D67" t="s">
        <v>61</v>
      </c>
      <c r="E67" t="str">
        <f t="shared" si="3"/>
        <v>South West</v>
      </c>
      <c r="F67" s="5">
        <v>32</v>
      </c>
      <c r="G67" s="5">
        <v>68</v>
      </c>
      <c r="H67" s="5">
        <v>14</v>
      </c>
      <c r="I67" s="5">
        <v>114</v>
      </c>
      <c r="J67" s="5">
        <v>299</v>
      </c>
      <c r="K67" s="5">
        <v>47</v>
      </c>
      <c r="L67" s="5">
        <v>346</v>
      </c>
      <c r="M67" s="5">
        <v>772</v>
      </c>
      <c r="N67" s="6">
        <f t="shared" ref="N67:N130" si="5">K67/L67</f>
        <v>0.13583815028901733</v>
      </c>
      <c r="O67" s="11">
        <v>90</v>
      </c>
      <c r="P67" s="11">
        <v>2</v>
      </c>
      <c r="Q67" s="11">
        <v>9</v>
      </c>
      <c r="R67" s="11">
        <v>3</v>
      </c>
      <c r="S67" s="11">
        <v>5</v>
      </c>
      <c r="T67" s="11">
        <v>0</v>
      </c>
      <c r="U67" s="11">
        <v>0</v>
      </c>
      <c r="V67" s="11">
        <v>13</v>
      </c>
      <c r="W67" s="11">
        <v>13</v>
      </c>
      <c r="X67" s="11">
        <v>5</v>
      </c>
      <c r="Y67" s="11">
        <v>3</v>
      </c>
      <c r="Z67" s="11">
        <v>2</v>
      </c>
      <c r="AA67" s="11">
        <v>0</v>
      </c>
      <c r="AB67" s="11">
        <v>2</v>
      </c>
      <c r="AC67" s="11">
        <v>0</v>
      </c>
      <c r="AD67" s="11">
        <v>1</v>
      </c>
      <c r="AE67" s="11">
        <v>0</v>
      </c>
      <c r="AF67" s="11">
        <v>0</v>
      </c>
    </row>
    <row r="68" spans="1:32">
      <c r="A68" t="s">
        <v>70</v>
      </c>
      <c r="B68">
        <v>2021</v>
      </c>
      <c r="C68" t="str">
        <f t="shared" si="4"/>
        <v>2021-Q2</v>
      </c>
      <c r="D68" t="s">
        <v>62</v>
      </c>
      <c r="E68" t="str">
        <f t="shared" si="3"/>
        <v>South West</v>
      </c>
      <c r="F68" s="5">
        <v>24</v>
      </c>
      <c r="G68" s="5">
        <v>55</v>
      </c>
      <c r="H68" s="5">
        <v>8</v>
      </c>
      <c r="I68" s="5">
        <v>87</v>
      </c>
      <c r="J68" s="5">
        <v>250</v>
      </c>
      <c r="K68" s="5">
        <v>52</v>
      </c>
      <c r="L68" s="5">
        <v>302</v>
      </c>
      <c r="M68" s="5">
        <v>615</v>
      </c>
      <c r="N68" s="6">
        <f t="shared" si="5"/>
        <v>0.17218543046357615</v>
      </c>
      <c r="O68" s="11">
        <v>61</v>
      </c>
      <c r="P68" s="11">
        <v>0</v>
      </c>
      <c r="Q68" s="11">
        <v>15</v>
      </c>
      <c r="R68" s="11">
        <v>3</v>
      </c>
      <c r="S68" s="11">
        <v>7</v>
      </c>
      <c r="T68" s="11">
        <v>1</v>
      </c>
      <c r="U68" s="11">
        <v>1</v>
      </c>
      <c r="V68" s="11">
        <v>8</v>
      </c>
      <c r="W68" s="11">
        <v>4</v>
      </c>
      <c r="X68" s="11">
        <v>2</v>
      </c>
      <c r="Y68" s="11">
        <v>4</v>
      </c>
      <c r="Z68" s="11">
        <v>3</v>
      </c>
      <c r="AA68" s="11">
        <v>0</v>
      </c>
      <c r="AB68" s="11">
        <v>0</v>
      </c>
      <c r="AC68" s="11">
        <v>0</v>
      </c>
      <c r="AD68" s="11">
        <v>3</v>
      </c>
      <c r="AE68" s="11">
        <v>0</v>
      </c>
      <c r="AF68" s="11">
        <v>0</v>
      </c>
    </row>
    <row r="69" spans="1:32">
      <c r="A69" t="s">
        <v>70</v>
      </c>
      <c r="B69">
        <v>2021</v>
      </c>
      <c r="C69" t="str">
        <f t="shared" si="4"/>
        <v>2021-Q2</v>
      </c>
      <c r="D69" t="s">
        <v>63</v>
      </c>
      <c r="E69" t="str">
        <f t="shared" si="3"/>
        <v>South West</v>
      </c>
      <c r="F69" s="5">
        <v>46</v>
      </c>
      <c r="G69" s="5">
        <v>96</v>
      </c>
      <c r="H69" s="5">
        <v>10</v>
      </c>
      <c r="I69" s="5">
        <v>152</v>
      </c>
      <c r="J69" s="5">
        <v>400</v>
      </c>
      <c r="K69" s="5">
        <v>85</v>
      </c>
      <c r="L69" s="5">
        <v>485</v>
      </c>
      <c r="M69" s="5">
        <v>1009</v>
      </c>
      <c r="N69" s="6">
        <f t="shared" si="5"/>
        <v>0.17525773195876287</v>
      </c>
      <c r="O69" s="11">
        <v>107</v>
      </c>
      <c r="P69" s="11">
        <v>1</v>
      </c>
      <c r="Q69" s="11">
        <v>10</v>
      </c>
      <c r="R69" s="11">
        <v>2</v>
      </c>
      <c r="S69" s="11">
        <v>4</v>
      </c>
      <c r="T69" s="11">
        <v>0</v>
      </c>
      <c r="U69" s="11">
        <v>0</v>
      </c>
      <c r="V69" s="11">
        <v>22</v>
      </c>
      <c r="W69" s="11">
        <v>12</v>
      </c>
      <c r="X69" s="11">
        <v>5</v>
      </c>
      <c r="Y69" s="11">
        <v>11</v>
      </c>
      <c r="Z69" s="11">
        <v>2</v>
      </c>
      <c r="AA69" s="11">
        <v>0</v>
      </c>
      <c r="AB69" s="11">
        <v>0</v>
      </c>
      <c r="AC69" s="11">
        <v>0</v>
      </c>
      <c r="AD69" s="11">
        <v>5</v>
      </c>
      <c r="AE69" s="11">
        <v>0</v>
      </c>
      <c r="AF69" s="11">
        <v>0</v>
      </c>
    </row>
    <row r="70" spans="1:32">
      <c r="A70" t="s">
        <v>70</v>
      </c>
      <c r="B70">
        <v>2021</v>
      </c>
      <c r="C70" t="str">
        <f t="shared" si="4"/>
        <v>2021-Q2</v>
      </c>
      <c r="D70" t="s">
        <v>64</v>
      </c>
      <c r="E70" t="str">
        <f t="shared" si="3"/>
        <v>North Central</v>
      </c>
      <c r="F70" s="5">
        <v>13</v>
      </c>
      <c r="G70" s="5">
        <v>68</v>
      </c>
      <c r="H70" s="5">
        <v>18</v>
      </c>
      <c r="I70" s="5">
        <v>99</v>
      </c>
      <c r="J70" s="5">
        <v>283</v>
      </c>
      <c r="K70" s="5">
        <v>23</v>
      </c>
      <c r="L70" s="5">
        <v>306</v>
      </c>
      <c r="M70" s="5">
        <v>579</v>
      </c>
      <c r="N70" s="6">
        <f t="shared" si="5"/>
        <v>7.5163398692810454E-2</v>
      </c>
      <c r="O70" s="11">
        <v>31</v>
      </c>
      <c r="P70" s="11">
        <v>0</v>
      </c>
      <c r="Q70" s="11">
        <v>2</v>
      </c>
      <c r="R70" s="11">
        <v>3</v>
      </c>
      <c r="S70" s="11">
        <v>17</v>
      </c>
      <c r="T70" s="11">
        <v>0</v>
      </c>
      <c r="U70" s="11">
        <v>0</v>
      </c>
      <c r="V70" s="11">
        <v>10</v>
      </c>
      <c r="W70" s="11">
        <v>17</v>
      </c>
      <c r="X70" s="11">
        <v>1</v>
      </c>
      <c r="Y70" s="11">
        <v>2</v>
      </c>
      <c r="Z70" s="11">
        <v>4</v>
      </c>
      <c r="AA70" s="11">
        <v>0</v>
      </c>
      <c r="AB70" s="11">
        <v>0</v>
      </c>
      <c r="AC70" s="11">
        <v>0</v>
      </c>
      <c r="AD70" s="11">
        <v>0</v>
      </c>
      <c r="AE70" s="11">
        <v>6</v>
      </c>
      <c r="AF70" s="11">
        <v>11</v>
      </c>
    </row>
    <row r="71" spans="1:32">
      <c r="A71" t="s">
        <v>70</v>
      </c>
      <c r="B71">
        <v>2021</v>
      </c>
      <c r="C71" t="str">
        <f t="shared" si="4"/>
        <v>2021-Q2</v>
      </c>
      <c r="D71" t="s">
        <v>65</v>
      </c>
      <c r="E71" t="str">
        <f t="shared" si="3"/>
        <v>South South</v>
      </c>
      <c r="F71" s="5">
        <v>4</v>
      </c>
      <c r="G71" s="5">
        <v>16</v>
      </c>
      <c r="H71" s="5">
        <v>6</v>
      </c>
      <c r="I71" s="5">
        <v>26</v>
      </c>
      <c r="J71" s="5">
        <v>65</v>
      </c>
      <c r="K71" s="5">
        <v>6</v>
      </c>
      <c r="L71" s="5">
        <v>71</v>
      </c>
      <c r="M71" s="5">
        <v>142</v>
      </c>
      <c r="N71" s="6">
        <f t="shared" si="5"/>
        <v>8.4507042253521125E-2</v>
      </c>
      <c r="O71" s="11">
        <v>13</v>
      </c>
      <c r="P71" s="11">
        <v>0</v>
      </c>
      <c r="Q71" s="11">
        <v>0</v>
      </c>
      <c r="R71" s="11">
        <v>0</v>
      </c>
      <c r="S71" s="11">
        <v>2</v>
      </c>
      <c r="T71" s="11">
        <v>0</v>
      </c>
      <c r="U71" s="11">
        <v>2</v>
      </c>
      <c r="V71" s="11">
        <v>3</v>
      </c>
      <c r="W71" s="11">
        <v>4</v>
      </c>
      <c r="X71" s="11">
        <v>0</v>
      </c>
      <c r="Y71" s="11">
        <v>4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1</v>
      </c>
    </row>
    <row r="72" spans="1:32">
      <c r="A72" t="s">
        <v>70</v>
      </c>
      <c r="B72">
        <v>2021</v>
      </c>
      <c r="C72" t="str">
        <f t="shared" si="4"/>
        <v>2021-Q2</v>
      </c>
      <c r="D72" t="s">
        <v>66</v>
      </c>
      <c r="E72" t="str">
        <f t="shared" si="3"/>
        <v>North West</v>
      </c>
      <c r="F72" s="5">
        <v>20</v>
      </c>
      <c r="G72" s="5">
        <v>3</v>
      </c>
      <c r="H72" s="5">
        <v>0</v>
      </c>
      <c r="I72" s="5">
        <v>23</v>
      </c>
      <c r="J72" s="5">
        <v>87</v>
      </c>
      <c r="K72" s="5">
        <v>37</v>
      </c>
      <c r="L72" s="5">
        <v>124</v>
      </c>
      <c r="M72" s="5">
        <v>196</v>
      </c>
      <c r="N72" s="6">
        <f t="shared" si="5"/>
        <v>0.29838709677419356</v>
      </c>
      <c r="O72" s="11">
        <v>35</v>
      </c>
      <c r="P72" s="11">
        <v>0</v>
      </c>
      <c r="Q72" s="11">
        <v>0</v>
      </c>
      <c r="R72" s="11">
        <v>0</v>
      </c>
      <c r="S72" s="11">
        <v>0</v>
      </c>
      <c r="T72" s="11">
        <v>1</v>
      </c>
      <c r="U72" s="11">
        <v>0</v>
      </c>
      <c r="V72" s="11">
        <v>0</v>
      </c>
      <c r="W72" s="11">
        <v>3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</row>
    <row r="73" spans="1:32">
      <c r="A73" t="s">
        <v>70</v>
      </c>
      <c r="B73">
        <v>2021</v>
      </c>
      <c r="C73" t="str">
        <f t="shared" si="4"/>
        <v>2021-Q2</v>
      </c>
      <c r="D73" t="s">
        <v>67</v>
      </c>
      <c r="E73" t="str">
        <f t="shared" si="3"/>
        <v>North East</v>
      </c>
      <c r="F73" s="5">
        <v>5</v>
      </c>
      <c r="G73" s="5">
        <v>51</v>
      </c>
      <c r="H73" s="5">
        <v>0</v>
      </c>
      <c r="I73" s="5">
        <v>56</v>
      </c>
      <c r="J73" s="5">
        <v>171</v>
      </c>
      <c r="K73" s="5">
        <v>12</v>
      </c>
      <c r="L73" s="5">
        <v>183</v>
      </c>
      <c r="M73" s="5">
        <v>254</v>
      </c>
      <c r="N73" s="6">
        <f t="shared" si="5"/>
        <v>6.5573770491803282E-2</v>
      </c>
      <c r="O73" s="11">
        <v>28</v>
      </c>
      <c r="P73" s="11">
        <v>0</v>
      </c>
      <c r="Q73" s="11">
        <v>1</v>
      </c>
      <c r="R73" s="11">
        <v>0</v>
      </c>
      <c r="S73" s="11">
        <v>0</v>
      </c>
      <c r="T73" s="11">
        <v>3</v>
      </c>
      <c r="U73" s="11">
        <v>0</v>
      </c>
      <c r="V73" s="11">
        <v>2</v>
      </c>
      <c r="W73" s="11">
        <v>21</v>
      </c>
      <c r="X73" s="11">
        <v>0</v>
      </c>
      <c r="Y73" s="11">
        <v>1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21</v>
      </c>
      <c r="AF73" s="11">
        <v>0</v>
      </c>
    </row>
    <row r="74" spans="1:32">
      <c r="A74" t="s">
        <v>70</v>
      </c>
      <c r="B74">
        <v>2021</v>
      </c>
      <c r="C74" t="str">
        <f t="shared" si="4"/>
        <v>2021-Q2</v>
      </c>
      <c r="D74" t="s">
        <v>68</v>
      </c>
      <c r="E74" t="str">
        <f t="shared" si="3"/>
        <v>North East</v>
      </c>
      <c r="F74" s="5">
        <v>9</v>
      </c>
      <c r="G74" s="5">
        <v>23</v>
      </c>
      <c r="H74" s="5">
        <v>0</v>
      </c>
      <c r="I74" s="5">
        <v>32</v>
      </c>
      <c r="J74" s="5">
        <v>168</v>
      </c>
      <c r="K74" s="5">
        <v>17</v>
      </c>
      <c r="L74" s="5">
        <v>185</v>
      </c>
      <c r="M74" s="5">
        <v>247</v>
      </c>
      <c r="N74" s="6">
        <f t="shared" si="5"/>
        <v>9.1891891891891897E-2</v>
      </c>
      <c r="O74" s="11">
        <v>24</v>
      </c>
      <c r="P74" s="11">
        <v>0</v>
      </c>
      <c r="Q74" s="11">
        <v>11</v>
      </c>
      <c r="R74" s="11">
        <v>0</v>
      </c>
      <c r="S74" s="11">
        <v>0</v>
      </c>
      <c r="T74" s="11">
        <v>0</v>
      </c>
      <c r="U74" s="11">
        <v>0</v>
      </c>
      <c r="V74" s="11">
        <v>6</v>
      </c>
      <c r="W74" s="11">
        <v>6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</row>
    <row r="75" spans="1:32">
      <c r="A75" t="s">
        <v>70</v>
      </c>
      <c r="B75">
        <v>2021</v>
      </c>
      <c r="C75" t="str">
        <f t="shared" si="4"/>
        <v>2021-Q2</v>
      </c>
      <c r="D75" t="s">
        <v>69</v>
      </c>
      <c r="E75" t="str">
        <f t="shared" si="3"/>
        <v>North West</v>
      </c>
      <c r="F75" s="5">
        <v>18</v>
      </c>
      <c r="G75" s="5">
        <v>26</v>
      </c>
      <c r="H75" s="5">
        <v>2</v>
      </c>
      <c r="I75" s="5">
        <v>46</v>
      </c>
      <c r="J75" s="5">
        <v>213</v>
      </c>
      <c r="K75" s="5">
        <v>50</v>
      </c>
      <c r="L75" s="5">
        <v>263</v>
      </c>
      <c r="M75" s="5">
        <v>386</v>
      </c>
      <c r="N75" s="6">
        <f t="shared" si="5"/>
        <v>0.19011406844106463</v>
      </c>
      <c r="O75" s="11">
        <v>35</v>
      </c>
      <c r="P75" s="11">
        <v>1</v>
      </c>
      <c r="Q75" s="11">
        <v>5</v>
      </c>
      <c r="R75" s="11">
        <v>0</v>
      </c>
      <c r="S75" s="11">
        <v>0</v>
      </c>
      <c r="T75" s="11">
        <v>2</v>
      </c>
      <c r="U75" s="11">
        <v>0</v>
      </c>
      <c r="V75" s="11">
        <v>5</v>
      </c>
      <c r="W75" s="11">
        <v>0</v>
      </c>
      <c r="X75" s="11">
        <v>0</v>
      </c>
      <c r="Y75" s="11">
        <v>4</v>
      </c>
      <c r="Z75" s="11">
        <v>1</v>
      </c>
      <c r="AA75" s="11">
        <v>0</v>
      </c>
      <c r="AB75" s="11">
        <v>0</v>
      </c>
      <c r="AC75" s="11">
        <v>0</v>
      </c>
      <c r="AD75" s="11">
        <v>0</v>
      </c>
      <c r="AE75" s="11">
        <v>3</v>
      </c>
      <c r="AF75" s="11">
        <v>1</v>
      </c>
    </row>
    <row r="76" spans="1:32">
      <c r="A76" t="s">
        <v>71</v>
      </c>
      <c r="B76">
        <v>2021</v>
      </c>
      <c r="C76" t="str">
        <f t="shared" si="4"/>
        <v>2021-Q3</v>
      </c>
      <c r="D76" t="s">
        <v>33</v>
      </c>
      <c r="E76" t="str">
        <f t="shared" si="3"/>
        <v>South East</v>
      </c>
      <c r="F76" s="5">
        <v>7</v>
      </c>
      <c r="G76" s="5">
        <v>10</v>
      </c>
      <c r="H76" s="5">
        <v>3</v>
      </c>
      <c r="I76" s="5">
        <v>20</v>
      </c>
      <c r="J76" s="5">
        <v>62</v>
      </c>
      <c r="K76" s="5">
        <v>11</v>
      </c>
      <c r="L76" s="5">
        <v>73</v>
      </c>
      <c r="M76" s="5">
        <v>140</v>
      </c>
      <c r="N76" s="6">
        <f t="shared" si="5"/>
        <v>0.15068493150684931</v>
      </c>
      <c r="O76" s="11">
        <v>4</v>
      </c>
      <c r="P76" s="11">
        <v>0</v>
      </c>
      <c r="Q76" s="11">
        <v>5</v>
      </c>
      <c r="R76" s="11">
        <v>0</v>
      </c>
      <c r="S76" s="11">
        <v>5</v>
      </c>
      <c r="T76" s="11">
        <v>0</v>
      </c>
      <c r="U76" s="11">
        <v>0</v>
      </c>
      <c r="V76" s="11">
        <v>4</v>
      </c>
      <c r="W76" s="11">
        <v>2</v>
      </c>
      <c r="X76" s="11">
        <v>0</v>
      </c>
      <c r="Y76" s="11">
        <v>3</v>
      </c>
      <c r="Z76" s="11">
        <v>0</v>
      </c>
      <c r="AA76" s="11">
        <v>0</v>
      </c>
      <c r="AB76" s="11">
        <v>1</v>
      </c>
      <c r="AC76" s="11">
        <v>0</v>
      </c>
      <c r="AD76" s="11">
        <v>0</v>
      </c>
      <c r="AE76" s="11">
        <v>0</v>
      </c>
      <c r="AF76" s="11">
        <v>0</v>
      </c>
    </row>
    <row r="77" spans="1:32">
      <c r="A77" t="s">
        <v>71</v>
      </c>
      <c r="B77">
        <v>2021</v>
      </c>
      <c r="C77" t="str">
        <f t="shared" si="4"/>
        <v>2021-Q3</v>
      </c>
      <c r="D77" t="s">
        <v>34</v>
      </c>
      <c r="E77" t="str">
        <f t="shared" si="3"/>
        <v>North East</v>
      </c>
      <c r="F77" s="5">
        <v>14</v>
      </c>
      <c r="G77" s="5">
        <v>58</v>
      </c>
      <c r="H77" s="5">
        <v>8</v>
      </c>
      <c r="I77" s="5">
        <v>80</v>
      </c>
      <c r="J77" s="5">
        <v>208</v>
      </c>
      <c r="K77" s="5">
        <v>26</v>
      </c>
      <c r="L77" s="5">
        <v>234</v>
      </c>
      <c r="M77" s="5">
        <v>391</v>
      </c>
      <c r="N77" s="6">
        <f t="shared" si="5"/>
        <v>0.1111111111111111</v>
      </c>
      <c r="O77" s="11">
        <v>66</v>
      </c>
      <c r="P77" s="11">
        <v>0</v>
      </c>
      <c r="Q77" s="11">
        <v>2</v>
      </c>
      <c r="R77" s="11">
        <v>1</v>
      </c>
      <c r="S77" s="11">
        <v>0</v>
      </c>
      <c r="T77" s="11">
        <v>0</v>
      </c>
      <c r="U77" s="11">
        <v>0</v>
      </c>
      <c r="V77" s="11">
        <v>15</v>
      </c>
      <c r="W77" s="11">
        <v>1</v>
      </c>
      <c r="X77" s="11">
        <v>0</v>
      </c>
      <c r="Y77" s="11">
        <v>4</v>
      </c>
      <c r="Z77" s="11">
        <v>6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</row>
    <row r="78" spans="1:32">
      <c r="A78" t="s">
        <v>71</v>
      </c>
      <c r="B78">
        <v>2021</v>
      </c>
      <c r="C78" t="str">
        <f t="shared" si="4"/>
        <v>2021-Q3</v>
      </c>
      <c r="D78" t="s">
        <v>35</v>
      </c>
      <c r="E78" t="str">
        <f t="shared" si="3"/>
        <v>South South</v>
      </c>
      <c r="F78" s="5">
        <v>1</v>
      </c>
      <c r="G78" s="5">
        <v>8</v>
      </c>
      <c r="H78" s="5">
        <v>4</v>
      </c>
      <c r="I78" s="5">
        <v>13</v>
      </c>
      <c r="J78" s="5">
        <v>18</v>
      </c>
      <c r="K78" s="5">
        <v>1</v>
      </c>
      <c r="L78" s="5">
        <v>19</v>
      </c>
      <c r="M78" s="5">
        <v>75</v>
      </c>
      <c r="N78" s="6">
        <f t="shared" si="5"/>
        <v>5.2631578947368418E-2</v>
      </c>
      <c r="O78" s="11">
        <v>11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3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1</v>
      </c>
    </row>
    <row r="79" spans="1:32">
      <c r="A79" t="s">
        <v>71</v>
      </c>
      <c r="B79">
        <v>2021</v>
      </c>
      <c r="C79" t="str">
        <f t="shared" si="4"/>
        <v>2021-Q3</v>
      </c>
      <c r="D79" t="s">
        <v>36</v>
      </c>
      <c r="E79" t="str">
        <f t="shared" si="3"/>
        <v>South East</v>
      </c>
      <c r="F79" s="5">
        <v>12</v>
      </c>
      <c r="G79" s="5">
        <v>39</v>
      </c>
      <c r="H79" s="5">
        <v>11</v>
      </c>
      <c r="I79" s="5">
        <v>62</v>
      </c>
      <c r="J79" s="5">
        <v>142</v>
      </c>
      <c r="K79" s="5">
        <v>17</v>
      </c>
      <c r="L79" s="5">
        <v>159</v>
      </c>
      <c r="M79" s="5">
        <v>411</v>
      </c>
      <c r="N79" s="6">
        <f t="shared" si="5"/>
        <v>0.1069182389937107</v>
      </c>
      <c r="O79" s="11">
        <v>20</v>
      </c>
      <c r="P79" s="11">
        <v>0</v>
      </c>
      <c r="Q79" s="11">
        <v>4</v>
      </c>
      <c r="R79" s="11">
        <v>1</v>
      </c>
      <c r="S79" s="11">
        <v>32</v>
      </c>
      <c r="T79" s="11">
        <v>0</v>
      </c>
      <c r="U79" s="11">
        <v>0</v>
      </c>
      <c r="V79" s="11">
        <v>5</v>
      </c>
      <c r="W79" s="11">
        <v>1</v>
      </c>
      <c r="X79" s="11">
        <v>0</v>
      </c>
      <c r="Y79" s="11">
        <v>9</v>
      </c>
      <c r="Z79" s="11">
        <v>56</v>
      </c>
      <c r="AA79" s="11">
        <v>0</v>
      </c>
      <c r="AB79" s="11">
        <v>3</v>
      </c>
      <c r="AC79" s="11">
        <v>0</v>
      </c>
      <c r="AD79" s="11">
        <v>0</v>
      </c>
      <c r="AE79" s="11">
        <v>3</v>
      </c>
      <c r="AF79" s="11">
        <v>12</v>
      </c>
    </row>
    <row r="80" spans="1:32">
      <c r="A80" t="s">
        <v>71</v>
      </c>
      <c r="B80">
        <v>2021</v>
      </c>
      <c r="C80" t="str">
        <f t="shared" si="4"/>
        <v>2021-Q3</v>
      </c>
      <c r="D80" t="s">
        <v>37</v>
      </c>
      <c r="E80" t="str">
        <f t="shared" si="3"/>
        <v>North East</v>
      </c>
      <c r="F80" s="5">
        <v>39</v>
      </c>
      <c r="G80" s="5">
        <v>86</v>
      </c>
      <c r="H80" s="5">
        <v>5</v>
      </c>
      <c r="I80" s="5">
        <v>130</v>
      </c>
      <c r="J80" s="5">
        <v>627</v>
      </c>
      <c r="K80" s="5">
        <v>79</v>
      </c>
      <c r="L80" s="5">
        <v>706</v>
      </c>
      <c r="M80" s="5">
        <v>1010</v>
      </c>
      <c r="N80" s="6">
        <f t="shared" si="5"/>
        <v>0.11189801699716714</v>
      </c>
      <c r="O80" s="11">
        <v>69</v>
      </c>
      <c r="P80" s="11">
        <v>0</v>
      </c>
      <c r="Q80" s="11">
        <v>7</v>
      </c>
      <c r="R80" s="11">
        <v>7</v>
      </c>
      <c r="S80" s="11">
        <v>0</v>
      </c>
      <c r="T80" s="11">
        <v>2</v>
      </c>
      <c r="U80" s="11">
        <v>1</v>
      </c>
      <c r="V80" s="11">
        <v>15</v>
      </c>
      <c r="W80" s="11">
        <v>6</v>
      </c>
      <c r="X80" s="11">
        <v>1</v>
      </c>
      <c r="Y80" s="11">
        <v>8</v>
      </c>
      <c r="Z80" s="11">
        <v>0</v>
      </c>
      <c r="AA80" s="11">
        <v>4</v>
      </c>
      <c r="AB80" s="11">
        <v>0</v>
      </c>
      <c r="AC80" s="11">
        <v>1</v>
      </c>
      <c r="AD80" s="11">
        <v>0</v>
      </c>
      <c r="AE80" s="11">
        <v>5</v>
      </c>
      <c r="AF80" s="11">
        <v>1</v>
      </c>
    </row>
    <row r="81" spans="1:32">
      <c r="A81" t="s">
        <v>71</v>
      </c>
      <c r="B81">
        <v>2021</v>
      </c>
      <c r="C81" t="str">
        <f t="shared" si="4"/>
        <v>2021-Q3</v>
      </c>
      <c r="D81" t="s">
        <v>38</v>
      </c>
      <c r="E81" t="str">
        <f t="shared" si="3"/>
        <v>South South</v>
      </c>
      <c r="F81" s="5">
        <v>3</v>
      </c>
      <c r="G81" s="5">
        <v>9</v>
      </c>
      <c r="H81" s="5">
        <v>7</v>
      </c>
      <c r="I81" s="5">
        <v>19</v>
      </c>
      <c r="J81" s="5">
        <v>23</v>
      </c>
      <c r="K81" s="5">
        <v>8</v>
      </c>
      <c r="L81" s="5">
        <v>31</v>
      </c>
      <c r="M81" s="5">
        <v>72</v>
      </c>
      <c r="N81" s="6">
        <f t="shared" si="5"/>
        <v>0.25806451612903225</v>
      </c>
      <c r="O81" s="11">
        <v>16</v>
      </c>
      <c r="P81" s="11">
        <v>0</v>
      </c>
      <c r="Q81" s="11">
        <v>0</v>
      </c>
      <c r="R81" s="11">
        <v>2</v>
      </c>
      <c r="S81" s="11">
        <v>0</v>
      </c>
      <c r="T81" s="11">
        <v>1</v>
      </c>
      <c r="U81" s="11">
        <v>0</v>
      </c>
      <c r="V81" s="11">
        <v>0</v>
      </c>
      <c r="W81" s="11">
        <v>1</v>
      </c>
      <c r="X81" s="11">
        <v>0</v>
      </c>
      <c r="Y81" s="11">
        <v>1</v>
      </c>
      <c r="Z81" s="11">
        <v>0</v>
      </c>
      <c r="AA81" s="11">
        <v>0</v>
      </c>
      <c r="AB81" s="11">
        <v>0</v>
      </c>
      <c r="AC81" s="11">
        <v>0</v>
      </c>
      <c r="AD81" s="11">
        <v>1</v>
      </c>
      <c r="AE81" s="11">
        <v>0</v>
      </c>
      <c r="AF81" s="11">
        <v>0</v>
      </c>
    </row>
    <row r="82" spans="1:32">
      <c r="A82" t="s">
        <v>71</v>
      </c>
      <c r="B82">
        <v>2021</v>
      </c>
      <c r="C82" t="str">
        <f t="shared" si="4"/>
        <v>2021-Q3</v>
      </c>
      <c r="D82" t="s">
        <v>39</v>
      </c>
      <c r="E82" t="str">
        <f t="shared" si="3"/>
        <v>North Central</v>
      </c>
      <c r="F82" s="5">
        <v>10</v>
      </c>
      <c r="G82" s="5">
        <v>37</v>
      </c>
      <c r="H82" s="5">
        <v>6</v>
      </c>
      <c r="I82" s="5">
        <v>53</v>
      </c>
      <c r="J82" s="5">
        <v>159</v>
      </c>
      <c r="K82" s="5">
        <v>18</v>
      </c>
      <c r="L82" s="5">
        <v>177</v>
      </c>
      <c r="M82" s="5">
        <v>245</v>
      </c>
      <c r="N82" s="6">
        <f t="shared" si="5"/>
        <v>0.10169491525423729</v>
      </c>
      <c r="O82" s="11">
        <v>37</v>
      </c>
      <c r="P82" s="11">
        <v>0</v>
      </c>
      <c r="Q82" s="11">
        <v>0</v>
      </c>
      <c r="R82" s="11">
        <v>0</v>
      </c>
      <c r="S82" s="11">
        <v>1</v>
      </c>
      <c r="T82" s="11">
        <v>0</v>
      </c>
      <c r="U82" s="11">
        <v>0</v>
      </c>
      <c r="V82" s="11">
        <v>2</v>
      </c>
      <c r="W82" s="11">
        <v>7</v>
      </c>
      <c r="X82" s="11">
        <v>0</v>
      </c>
      <c r="Y82" s="11">
        <v>0</v>
      </c>
      <c r="Z82" s="11">
        <v>0</v>
      </c>
      <c r="AA82" s="11">
        <v>0</v>
      </c>
      <c r="AB82" s="11">
        <v>1</v>
      </c>
      <c r="AC82" s="11">
        <v>0</v>
      </c>
      <c r="AD82" s="11">
        <v>0</v>
      </c>
      <c r="AE82" s="11">
        <v>0</v>
      </c>
      <c r="AF82" s="11">
        <v>5</v>
      </c>
    </row>
    <row r="83" spans="1:32">
      <c r="A83" t="s">
        <v>71</v>
      </c>
      <c r="B83">
        <v>2021</v>
      </c>
      <c r="C83" t="str">
        <f t="shared" si="4"/>
        <v>2021-Q3</v>
      </c>
      <c r="D83" t="s">
        <v>40</v>
      </c>
      <c r="E83" t="str">
        <f t="shared" si="3"/>
        <v>North East</v>
      </c>
      <c r="F83" s="5">
        <v>2</v>
      </c>
      <c r="G83" s="5">
        <v>14</v>
      </c>
      <c r="H83" s="5">
        <v>1</v>
      </c>
      <c r="I83" s="5">
        <v>17</v>
      </c>
      <c r="J83" s="5">
        <v>110</v>
      </c>
      <c r="K83" s="5">
        <v>3</v>
      </c>
      <c r="L83" s="5">
        <v>113</v>
      </c>
      <c r="M83" s="5">
        <v>188</v>
      </c>
      <c r="N83" s="6">
        <f t="shared" si="5"/>
        <v>2.6548672566371681E-2</v>
      </c>
      <c r="O83" s="11">
        <v>9</v>
      </c>
      <c r="P83" s="11">
        <v>0</v>
      </c>
      <c r="Q83" s="11">
        <v>4</v>
      </c>
      <c r="R83" s="11">
        <v>0</v>
      </c>
      <c r="S83" s="11">
        <v>0</v>
      </c>
      <c r="T83" s="11">
        <v>0</v>
      </c>
      <c r="U83" s="11">
        <v>0</v>
      </c>
      <c r="V83" s="11">
        <v>2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1</v>
      </c>
      <c r="AF83" s="11">
        <v>0</v>
      </c>
    </row>
    <row r="84" spans="1:32">
      <c r="A84" t="s">
        <v>71</v>
      </c>
      <c r="B84">
        <v>2021</v>
      </c>
      <c r="C84" t="str">
        <f t="shared" si="4"/>
        <v>2021-Q3</v>
      </c>
      <c r="D84" t="s">
        <v>41</v>
      </c>
      <c r="E84" t="str">
        <f t="shared" si="3"/>
        <v>South South</v>
      </c>
      <c r="F84" s="5">
        <v>8</v>
      </c>
      <c r="G84" s="5">
        <v>26</v>
      </c>
      <c r="H84" s="5">
        <v>3</v>
      </c>
      <c r="I84" s="5">
        <v>37</v>
      </c>
      <c r="J84" s="5">
        <v>144</v>
      </c>
      <c r="K84" s="5">
        <v>15</v>
      </c>
      <c r="L84" s="5">
        <v>159</v>
      </c>
      <c r="M84" s="5">
        <v>229</v>
      </c>
      <c r="N84" s="6">
        <f t="shared" si="5"/>
        <v>9.4339622641509441E-2</v>
      </c>
      <c r="O84" s="11">
        <v>24</v>
      </c>
      <c r="P84" s="11">
        <v>0</v>
      </c>
      <c r="Q84" s="11">
        <v>5</v>
      </c>
      <c r="R84" s="11">
        <v>1</v>
      </c>
      <c r="S84" s="11">
        <v>1</v>
      </c>
      <c r="T84" s="11">
        <v>0</v>
      </c>
      <c r="U84" s="11">
        <v>0</v>
      </c>
      <c r="V84" s="11">
        <v>7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1</v>
      </c>
      <c r="AE84" s="11">
        <v>0</v>
      </c>
      <c r="AF84" s="11">
        <v>1</v>
      </c>
    </row>
    <row r="85" spans="1:32">
      <c r="A85" t="s">
        <v>71</v>
      </c>
      <c r="B85">
        <v>2021</v>
      </c>
      <c r="C85" t="str">
        <f t="shared" si="4"/>
        <v>2021-Q3</v>
      </c>
      <c r="D85" t="s">
        <v>42</v>
      </c>
      <c r="E85" t="str">
        <f t="shared" si="3"/>
        <v>South South</v>
      </c>
      <c r="F85" s="5">
        <v>11</v>
      </c>
      <c r="G85" s="5">
        <v>28</v>
      </c>
      <c r="H85" s="5">
        <v>6</v>
      </c>
      <c r="I85" s="5">
        <v>45</v>
      </c>
      <c r="J85" s="5">
        <v>122</v>
      </c>
      <c r="K85" s="5">
        <v>23</v>
      </c>
      <c r="L85" s="5">
        <v>145</v>
      </c>
      <c r="M85" s="5">
        <v>279</v>
      </c>
      <c r="N85" s="6">
        <f t="shared" si="5"/>
        <v>0.15862068965517243</v>
      </c>
      <c r="O85" s="11">
        <v>30</v>
      </c>
      <c r="P85" s="11">
        <v>0</v>
      </c>
      <c r="Q85" s="11">
        <v>2</v>
      </c>
      <c r="R85" s="11">
        <v>4</v>
      </c>
      <c r="S85" s="11">
        <v>2</v>
      </c>
      <c r="T85" s="11">
        <v>0</v>
      </c>
      <c r="U85" s="11">
        <v>2</v>
      </c>
      <c r="V85" s="11">
        <v>3</v>
      </c>
      <c r="W85" s="11">
        <v>0</v>
      </c>
      <c r="X85" s="11">
        <v>0</v>
      </c>
      <c r="Y85" s="11">
        <v>6</v>
      </c>
      <c r="Z85" s="11">
        <v>0</v>
      </c>
      <c r="AA85" s="11">
        <v>2</v>
      </c>
      <c r="AB85" s="11">
        <v>0</v>
      </c>
      <c r="AC85" s="11">
        <v>0</v>
      </c>
      <c r="AD85" s="11">
        <v>0</v>
      </c>
      <c r="AE85" s="11">
        <v>15</v>
      </c>
      <c r="AF85" s="11">
        <v>0</v>
      </c>
    </row>
    <row r="86" spans="1:32">
      <c r="A86" t="s">
        <v>71</v>
      </c>
      <c r="B86">
        <v>2021</v>
      </c>
      <c r="C86" t="str">
        <f t="shared" si="4"/>
        <v>2021-Q3</v>
      </c>
      <c r="D86" t="s">
        <v>43</v>
      </c>
      <c r="E86" t="str">
        <f t="shared" si="3"/>
        <v>South East</v>
      </c>
      <c r="F86" s="5">
        <v>9</v>
      </c>
      <c r="G86" s="5">
        <v>18</v>
      </c>
      <c r="H86" s="5">
        <v>7</v>
      </c>
      <c r="I86" s="5">
        <v>34</v>
      </c>
      <c r="J86" s="5">
        <v>100</v>
      </c>
      <c r="K86" s="5">
        <v>18</v>
      </c>
      <c r="L86" s="5">
        <v>118</v>
      </c>
      <c r="M86" s="5">
        <v>272</v>
      </c>
      <c r="N86" s="6">
        <f t="shared" si="5"/>
        <v>0.15254237288135594</v>
      </c>
      <c r="O86" s="11">
        <v>19</v>
      </c>
      <c r="P86" s="11">
        <v>0</v>
      </c>
      <c r="Q86" s="11">
        <v>4</v>
      </c>
      <c r="R86" s="11">
        <v>2</v>
      </c>
      <c r="S86" s="11">
        <v>0</v>
      </c>
      <c r="T86" s="11">
        <v>0</v>
      </c>
      <c r="U86" s="11">
        <v>0</v>
      </c>
      <c r="V86" s="11">
        <v>4</v>
      </c>
      <c r="W86" s="11">
        <v>0</v>
      </c>
      <c r="X86" s="11">
        <v>0</v>
      </c>
      <c r="Y86" s="11">
        <v>1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5</v>
      </c>
    </row>
    <row r="87" spans="1:32">
      <c r="A87" t="s">
        <v>71</v>
      </c>
      <c r="B87">
        <v>2021</v>
      </c>
      <c r="C87" t="str">
        <f t="shared" si="4"/>
        <v>2021-Q3</v>
      </c>
      <c r="D87" t="s">
        <v>44</v>
      </c>
      <c r="E87" t="str">
        <f t="shared" si="3"/>
        <v>South South</v>
      </c>
      <c r="F87" s="5">
        <v>19</v>
      </c>
      <c r="G87" s="5">
        <v>36</v>
      </c>
      <c r="H87" s="5">
        <v>11</v>
      </c>
      <c r="I87" s="5">
        <v>66</v>
      </c>
      <c r="J87" s="5">
        <v>158</v>
      </c>
      <c r="K87" s="5">
        <v>33</v>
      </c>
      <c r="L87" s="5">
        <v>191</v>
      </c>
      <c r="M87" s="5">
        <v>419</v>
      </c>
      <c r="N87" s="6">
        <f t="shared" si="5"/>
        <v>0.17277486910994763</v>
      </c>
      <c r="O87" s="11">
        <v>68</v>
      </c>
      <c r="P87" s="11">
        <v>0</v>
      </c>
      <c r="Q87" s="11">
        <v>2</v>
      </c>
      <c r="R87" s="11">
        <v>3</v>
      </c>
      <c r="S87" s="11">
        <v>7</v>
      </c>
      <c r="T87" s="11">
        <v>0</v>
      </c>
      <c r="U87" s="11">
        <v>0</v>
      </c>
      <c r="V87" s="11">
        <v>11</v>
      </c>
      <c r="W87" s="11">
        <v>1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5</v>
      </c>
      <c r="AF87" s="11">
        <v>1</v>
      </c>
    </row>
    <row r="88" spans="1:32">
      <c r="A88" t="s">
        <v>71</v>
      </c>
      <c r="B88">
        <v>2021</v>
      </c>
      <c r="C88" t="str">
        <f t="shared" si="4"/>
        <v>2021-Q3</v>
      </c>
      <c r="D88" t="s">
        <v>45</v>
      </c>
      <c r="E88" t="str">
        <f t="shared" si="3"/>
        <v>South West</v>
      </c>
      <c r="F88" s="5">
        <v>7</v>
      </c>
      <c r="G88" s="5">
        <v>31</v>
      </c>
      <c r="H88" s="5">
        <v>6</v>
      </c>
      <c r="I88" s="5">
        <v>44</v>
      </c>
      <c r="J88" s="5">
        <v>127</v>
      </c>
      <c r="K88" s="5">
        <v>10</v>
      </c>
      <c r="L88" s="5">
        <v>137</v>
      </c>
      <c r="M88" s="5">
        <v>287</v>
      </c>
      <c r="N88" s="6">
        <f t="shared" si="5"/>
        <v>7.2992700729927001E-2</v>
      </c>
      <c r="O88" s="11">
        <v>30</v>
      </c>
      <c r="P88" s="11">
        <v>0</v>
      </c>
      <c r="Q88" s="11">
        <v>0</v>
      </c>
      <c r="R88" s="11">
        <v>0</v>
      </c>
      <c r="S88" s="11">
        <v>6</v>
      </c>
      <c r="T88" s="11">
        <v>0</v>
      </c>
      <c r="U88" s="11">
        <v>0</v>
      </c>
      <c r="V88" s="11">
        <v>3</v>
      </c>
      <c r="W88" s="11">
        <v>2</v>
      </c>
      <c r="X88" s="11">
        <v>3</v>
      </c>
      <c r="Y88" s="11">
        <v>1</v>
      </c>
      <c r="Z88" s="11">
        <v>0</v>
      </c>
      <c r="AA88" s="11">
        <v>0</v>
      </c>
      <c r="AB88" s="11">
        <v>1</v>
      </c>
      <c r="AC88" s="11">
        <v>0</v>
      </c>
      <c r="AD88" s="11">
        <v>0</v>
      </c>
      <c r="AE88" s="11">
        <v>14</v>
      </c>
      <c r="AF88" s="11">
        <v>0</v>
      </c>
    </row>
    <row r="89" spans="1:32">
      <c r="A89" t="s">
        <v>71</v>
      </c>
      <c r="B89">
        <v>2021</v>
      </c>
      <c r="C89" t="str">
        <f t="shared" si="4"/>
        <v>2021-Q3</v>
      </c>
      <c r="D89" t="s">
        <v>46</v>
      </c>
      <c r="E89" t="str">
        <f t="shared" si="3"/>
        <v>South East</v>
      </c>
      <c r="F89" s="5">
        <v>21</v>
      </c>
      <c r="G89" s="5">
        <v>52</v>
      </c>
      <c r="H89" s="5">
        <v>24</v>
      </c>
      <c r="I89" s="5">
        <v>97</v>
      </c>
      <c r="J89" s="5">
        <v>270</v>
      </c>
      <c r="K89" s="5">
        <v>28</v>
      </c>
      <c r="L89" s="5">
        <v>298</v>
      </c>
      <c r="M89" s="5">
        <v>748</v>
      </c>
      <c r="N89" s="6">
        <f t="shared" si="5"/>
        <v>9.3959731543624164E-2</v>
      </c>
      <c r="O89" s="11">
        <v>45</v>
      </c>
      <c r="P89" s="11">
        <v>0</v>
      </c>
      <c r="Q89" s="11">
        <v>6</v>
      </c>
      <c r="R89" s="11">
        <v>1</v>
      </c>
      <c r="S89" s="11">
        <v>21</v>
      </c>
      <c r="T89" s="11">
        <v>0</v>
      </c>
      <c r="U89" s="11">
        <v>0</v>
      </c>
      <c r="V89" s="11">
        <v>7</v>
      </c>
      <c r="W89" s="11">
        <v>2</v>
      </c>
      <c r="X89" s="11">
        <v>0</v>
      </c>
      <c r="Y89" s="11">
        <v>1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17</v>
      </c>
      <c r="AF89" s="11">
        <v>0</v>
      </c>
    </row>
    <row r="90" spans="1:32">
      <c r="A90" t="s">
        <v>71</v>
      </c>
      <c r="B90">
        <v>2021</v>
      </c>
      <c r="C90" t="str">
        <f t="shared" si="4"/>
        <v>2021-Q3</v>
      </c>
      <c r="D90" t="s">
        <v>47</v>
      </c>
      <c r="E90" t="str">
        <f t="shared" si="3"/>
        <v>North Central</v>
      </c>
      <c r="F90" s="5">
        <v>44</v>
      </c>
      <c r="G90" s="5">
        <v>199</v>
      </c>
      <c r="H90" s="5">
        <v>64</v>
      </c>
      <c r="I90" s="5">
        <v>307</v>
      </c>
      <c r="J90" s="5">
        <v>562</v>
      </c>
      <c r="K90" s="5">
        <v>57</v>
      </c>
      <c r="L90" s="5">
        <v>619</v>
      </c>
      <c r="M90" s="5">
        <v>1629</v>
      </c>
      <c r="N90" s="6">
        <f t="shared" si="5"/>
        <v>9.2084006462035545E-2</v>
      </c>
      <c r="O90" s="11">
        <v>260</v>
      </c>
      <c r="P90" s="11">
        <v>0</v>
      </c>
      <c r="Q90" s="11">
        <v>12</v>
      </c>
      <c r="R90" s="11">
        <v>0</v>
      </c>
      <c r="S90" s="11">
        <v>3</v>
      </c>
      <c r="T90" s="11">
        <v>2</v>
      </c>
      <c r="U90" s="11">
        <v>0</v>
      </c>
      <c r="V90" s="11">
        <v>5</v>
      </c>
      <c r="W90" s="11">
        <v>19</v>
      </c>
      <c r="X90" s="11">
        <v>1</v>
      </c>
      <c r="Y90" s="11">
        <v>25</v>
      </c>
      <c r="Z90" s="11">
        <v>4</v>
      </c>
      <c r="AA90" s="11">
        <v>0</v>
      </c>
      <c r="AB90" s="11">
        <v>0</v>
      </c>
      <c r="AC90" s="11">
        <v>0</v>
      </c>
      <c r="AD90" s="11">
        <v>2</v>
      </c>
      <c r="AE90" s="11">
        <v>87</v>
      </c>
      <c r="AF90" s="11">
        <v>16</v>
      </c>
    </row>
    <row r="91" spans="1:32">
      <c r="A91" t="s">
        <v>71</v>
      </c>
      <c r="B91">
        <v>2021</v>
      </c>
      <c r="C91" t="str">
        <f t="shared" si="4"/>
        <v>2021-Q3</v>
      </c>
      <c r="D91" t="s">
        <v>48</v>
      </c>
      <c r="E91" t="str">
        <f t="shared" si="3"/>
        <v>North East</v>
      </c>
      <c r="F91" s="5">
        <v>10</v>
      </c>
      <c r="G91" s="5">
        <v>60</v>
      </c>
      <c r="H91" s="5">
        <v>3</v>
      </c>
      <c r="I91" s="5">
        <v>73</v>
      </c>
      <c r="J91" s="5">
        <v>218</v>
      </c>
      <c r="K91" s="5">
        <v>13</v>
      </c>
      <c r="L91" s="5">
        <v>231</v>
      </c>
      <c r="M91" s="5">
        <v>334</v>
      </c>
      <c r="N91" s="6">
        <f t="shared" si="5"/>
        <v>5.627705627705628E-2</v>
      </c>
      <c r="O91" s="11">
        <v>38</v>
      </c>
      <c r="P91" s="11">
        <v>3</v>
      </c>
      <c r="Q91" s="11">
        <v>5</v>
      </c>
      <c r="R91" s="11">
        <v>1</v>
      </c>
      <c r="S91" s="11">
        <v>1</v>
      </c>
      <c r="T91" s="11">
        <v>0</v>
      </c>
      <c r="U91" s="11">
        <v>0</v>
      </c>
      <c r="V91" s="11">
        <v>7</v>
      </c>
      <c r="W91" s="11">
        <v>8</v>
      </c>
      <c r="X91" s="11">
        <v>0</v>
      </c>
      <c r="Y91" s="11">
        <v>3</v>
      </c>
      <c r="Z91" s="11">
        <v>5</v>
      </c>
      <c r="AA91" s="11">
        <v>0</v>
      </c>
      <c r="AB91" s="11">
        <v>1</v>
      </c>
      <c r="AC91" s="11">
        <v>0</v>
      </c>
      <c r="AD91" s="11">
        <v>0</v>
      </c>
      <c r="AE91" s="11">
        <v>11</v>
      </c>
      <c r="AF91" s="11">
        <v>0</v>
      </c>
    </row>
    <row r="92" spans="1:32">
      <c r="A92" t="s">
        <v>71</v>
      </c>
      <c r="B92">
        <v>2021</v>
      </c>
      <c r="C92" t="str">
        <f t="shared" si="4"/>
        <v>2021-Q3</v>
      </c>
      <c r="D92" t="s">
        <v>49</v>
      </c>
      <c r="E92" t="str">
        <f t="shared" si="3"/>
        <v>South East</v>
      </c>
      <c r="F92" s="5">
        <v>9</v>
      </c>
      <c r="G92" s="5">
        <v>15</v>
      </c>
      <c r="H92" s="5">
        <v>3</v>
      </c>
      <c r="I92" s="5">
        <v>27</v>
      </c>
      <c r="J92" s="5">
        <v>85</v>
      </c>
      <c r="K92" s="5">
        <v>16</v>
      </c>
      <c r="L92" s="5">
        <v>101</v>
      </c>
      <c r="M92" s="5">
        <v>251</v>
      </c>
      <c r="N92" s="6">
        <f t="shared" si="5"/>
        <v>0.15841584158415842</v>
      </c>
      <c r="O92" s="11">
        <v>10</v>
      </c>
      <c r="P92" s="11">
        <v>0</v>
      </c>
      <c r="Q92" s="11">
        <v>2</v>
      </c>
      <c r="R92" s="11">
        <v>1</v>
      </c>
      <c r="S92" s="11">
        <v>4</v>
      </c>
      <c r="T92" s="11">
        <v>0</v>
      </c>
      <c r="U92" s="11">
        <v>0</v>
      </c>
      <c r="V92" s="11">
        <v>3</v>
      </c>
      <c r="W92" s="11">
        <v>3</v>
      </c>
      <c r="X92" s="11">
        <v>0</v>
      </c>
      <c r="Y92" s="11">
        <v>2</v>
      </c>
      <c r="Z92" s="11">
        <v>0</v>
      </c>
      <c r="AA92" s="11">
        <v>0</v>
      </c>
      <c r="AB92" s="11">
        <v>1</v>
      </c>
      <c r="AC92" s="11">
        <v>0</v>
      </c>
      <c r="AD92" s="11">
        <v>0</v>
      </c>
      <c r="AE92" s="11">
        <v>1</v>
      </c>
      <c r="AF92" s="11">
        <v>0</v>
      </c>
    </row>
    <row r="93" spans="1:32">
      <c r="A93" t="s">
        <v>71</v>
      </c>
      <c r="B93">
        <v>2021</v>
      </c>
      <c r="C93" t="str">
        <f t="shared" si="4"/>
        <v>2021-Q3</v>
      </c>
      <c r="D93" t="s">
        <v>50</v>
      </c>
      <c r="E93" t="str">
        <f t="shared" si="3"/>
        <v>North West</v>
      </c>
      <c r="F93" s="5">
        <v>23</v>
      </c>
      <c r="G93" s="5">
        <v>70</v>
      </c>
      <c r="H93" s="5">
        <v>1</v>
      </c>
      <c r="I93" s="5">
        <v>94</v>
      </c>
      <c r="J93" s="5">
        <v>312</v>
      </c>
      <c r="K93" s="5">
        <v>65</v>
      </c>
      <c r="L93" s="5">
        <v>377</v>
      </c>
      <c r="M93" s="5">
        <v>560</v>
      </c>
      <c r="N93" s="6">
        <f t="shared" si="5"/>
        <v>0.17241379310344829</v>
      </c>
      <c r="O93" s="11">
        <v>89</v>
      </c>
      <c r="P93" s="11">
        <v>0</v>
      </c>
      <c r="Q93" s="11">
        <v>8</v>
      </c>
      <c r="R93" s="11">
        <v>1</v>
      </c>
      <c r="S93" s="11">
        <v>0</v>
      </c>
      <c r="T93" s="11">
        <v>7</v>
      </c>
      <c r="U93" s="11">
        <v>1</v>
      </c>
      <c r="V93" s="11">
        <v>3</v>
      </c>
      <c r="W93" s="11">
        <v>2</v>
      </c>
      <c r="X93" s="11">
        <v>0</v>
      </c>
      <c r="Y93" s="11">
        <v>8</v>
      </c>
      <c r="Z93" s="11">
        <v>5</v>
      </c>
      <c r="AA93" s="11">
        <v>0</v>
      </c>
      <c r="AB93" s="11">
        <v>0</v>
      </c>
      <c r="AC93" s="11">
        <v>2</v>
      </c>
      <c r="AD93" s="11">
        <v>0</v>
      </c>
      <c r="AE93" s="11">
        <v>6</v>
      </c>
      <c r="AF93" s="11">
        <v>5</v>
      </c>
    </row>
    <row r="94" spans="1:32">
      <c r="A94" t="s">
        <v>71</v>
      </c>
      <c r="B94">
        <v>2021</v>
      </c>
      <c r="C94" t="str">
        <f t="shared" si="4"/>
        <v>2021-Q3</v>
      </c>
      <c r="D94" t="s">
        <v>51</v>
      </c>
      <c r="E94" t="str">
        <f t="shared" si="3"/>
        <v>North West</v>
      </c>
      <c r="F94" s="5">
        <v>58</v>
      </c>
      <c r="G94" s="5">
        <v>111</v>
      </c>
      <c r="H94" s="5">
        <v>5</v>
      </c>
      <c r="I94" s="5">
        <v>174</v>
      </c>
      <c r="J94" s="5">
        <v>684</v>
      </c>
      <c r="K94" s="5">
        <v>144</v>
      </c>
      <c r="L94" s="5">
        <v>828</v>
      </c>
      <c r="M94" s="5">
        <v>1471</v>
      </c>
      <c r="N94" s="6">
        <f t="shared" si="5"/>
        <v>0.17391304347826086</v>
      </c>
      <c r="O94" s="11">
        <v>118</v>
      </c>
      <c r="P94" s="11">
        <v>0</v>
      </c>
      <c r="Q94" s="11">
        <v>7</v>
      </c>
      <c r="R94" s="11">
        <v>3</v>
      </c>
      <c r="S94" s="11">
        <v>2</v>
      </c>
      <c r="T94" s="11">
        <v>3</v>
      </c>
      <c r="U94" s="11">
        <v>0</v>
      </c>
      <c r="V94" s="11">
        <v>29</v>
      </c>
      <c r="W94" s="11">
        <v>2</v>
      </c>
      <c r="X94" s="11">
        <v>2</v>
      </c>
      <c r="Y94" s="11">
        <v>11</v>
      </c>
      <c r="Z94" s="11">
        <v>0</v>
      </c>
      <c r="AA94" s="11">
        <v>0</v>
      </c>
      <c r="AB94" s="11">
        <v>0</v>
      </c>
      <c r="AC94" s="11">
        <v>0</v>
      </c>
      <c r="AD94" s="11">
        <v>1</v>
      </c>
      <c r="AE94" s="11">
        <v>16</v>
      </c>
      <c r="AF94" s="11">
        <v>7</v>
      </c>
    </row>
    <row r="95" spans="1:32">
      <c r="A95" t="s">
        <v>71</v>
      </c>
      <c r="B95">
        <v>2021</v>
      </c>
      <c r="C95" t="str">
        <f t="shared" si="4"/>
        <v>2021-Q3</v>
      </c>
      <c r="D95" t="s">
        <v>52</v>
      </c>
      <c r="E95" t="str">
        <f t="shared" si="3"/>
        <v>North West</v>
      </c>
      <c r="F95" s="5">
        <v>15</v>
      </c>
      <c r="G95" s="5">
        <v>17</v>
      </c>
      <c r="H95" s="5">
        <v>0</v>
      </c>
      <c r="I95" s="5">
        <v>32</v>
      </c>
      <c r="J95" s="5">
        <v>131</v>
      </c>
      <c r="K95" s="5">
        <v>53</v>
      </c>
      <c r="L95" s="5">
        <v>184</v>
      </c>
      <c r="M95" s="5">
        <v>283</v>
      </c>
      <c r="N95" s="6">
        <f t="shared" si="5"/>
        <v>0.28804347826086957</v>
      </c>
      <c r="O95" s="11">
        <v>16</v>
      </c>
      <c r="P95" s="11">
        <v>0</v>
      </c>
      <c r="Q95" s="11">
        <v>4</v>
      </c>
      <c r="R95" s="11">
        <v>0</v>
      </c>
      <c r="S95" s="11">
        <v>1</v>
      </c>
      <c r="T95" s="11">
        <v>0</v>
      </c>
      <c r="U95" s="11">
        <v>0</v>
      </c>
      <c r="V95" s="11">
        <v>3</v>
      </c>
      <c r="W95" s="11">
        <v>8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1</v>
      </c>
      <c r="AF95" s="11">
        <v>0</v>
      </c>
    </row>
    <row r="96" spans="1:32">
      <c r="A96" t="s">
        <v>71</v>
      </c>
      <c r="B96">
        <v>2021</v>
      </c>
      <c r="C96" t="str">
        <f t="shared" si="4"/>
        <v>2021-Q3</v>
      </c>
      <c r="D96" t="s">
        <v>53</v>
      </c>
      <c r="E96" t="str">
        <f t="shared" si="3"/>
        <v>North West</v>
      </c>
      <c r="F96" s="5">
        <v>15</v>
      </c>
      <c r="G96" s="5">
        <v>3</v>
      </c>
      <c r="H96" s="5">
        <v>0</v>
      </c>
      <c r="I96" s="5">
        <v>18</v>
      </c>
      <c r="J96" s="5">
        <v>98</v>
      </c>
      <c r="K96" s="5">
        <v>33</v>
      </c>
      <c r="L96" s="5">
        <v>131</v>
      </c>
      <c r="M96" s="5">
        <v>138</v>
      </c>
      <c r="N96" s="6">
        <f t="shared" si="5"/>
        <v>0.25190839694656486</v>
      </c>
      <c r="O96" s="11">
        <v>21</v>
      </c>
      <c r="P96" s="11">
        <v>0</v>
      </c>
      <c r="Q96" s="11">
        <v>2</v>
      </c>
      <c r="R96" s="11">
        <v>0</v>
      </c>
      <c r="S96" s="11">
        <v>0</v>
      </c>
      <c r="T96" s="11">
        <v>0</v>
      </c>
      <c r="U96" s="11">
        <v>0</v>
      </c>
      <c r="V96" s="11">
        <v>1</v>
      </c>
      <c r="W96" s="11">
        <v>2</v>
      </c>
      <c r="X96" s="11">
        <v>0</v>
      </c>
      <c r="Y96" s="11">
        <v>1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</row>
    <row r="97" spans="1:32">
      <c r="A97" t="s">
        <v>71</v>
      </c>
      <c r="B97">
        <v>2021</v>
      </c>
      <c r="C97" t="str">
        <f t="shared" si="4"/>
        <v>2021-Q3</v>
      </c>
      <c r="D97" t="s">
        <v>54</v>
      </c>
      <c r="E97" t="str">
        <f t="shared" si="3"/>
        <v>North West</v>
      </c>
      <c r="F97" s="5">
        <v>15</v>
      </c>
      <c r="G97" s="5">
        <v>39</v>
      </c>
      <c r="H97" s="5">
        <v>0</v>
      </c>
      <c r="I97" s="5">
        <v>54</v>
      </c>
      <c r="J97" s="5">
        <v>159</v>
      </c>
      <c r="K97" s="5">
        <v>59</v>
      </c>
      <c r="L97" s="5">
        <v>218</v>
      </c>
      <c r="M97" s="5">
        <v>312</v>
      </c>
      <c r="N97" s="6">
        <f t="shared" si="5"/>
        <v>0.27064220183486237</v>
      </c>
      <c r="O97" s="11">
        <v>41</v>
      </c>
      <c r="P97" s="11">
        <v>0</v>
      </c>
      <c r="Q97" s="11">
        <v>0</v>
      </c>
      <c r="R97" s="11">
        <v>1</v>
      </c>
      <c r="S97" s="11">
        <v>0</v>
      </c>
      <c r="T97" s="11">
        <v>1</v>
      </c>
      <c r="U97" s="11">
        <v>0</v>
      </c>
      <c r="V97" s="11">
        <v>4</v>
      </c>
      <c r="W97" s="11">
        <v>8</v>
      </c>
      <c r="X97" s="11">
        <v>0</v>
      </c>
      <c r="Y97" s="11">
        <v>2</v>
      </c>
      <c r="Z97" s="11">
        <v>0</v>
      </c>
      <c r="AA97" s="11">
        <v>0</v>
      </c>
      <c r="AB97" s="11">
        <v>0</v>
      </c>
      <c r="AC97" s="11">
        <v>0</v>
      </c>
      <c r="AD97" s="11">
        <v>1</v>
      </c>
      <c r="AE97" s="11">
        <v>0</v>
      </c>
      <c r="AF97" s="11">
        <v>0</v>
      </c>
    </row>
    <row r="98" spans="1:32">
      <c r="A98" t="s">
        <v>71</v>
      </c>
      <c r="B98">
        <v>2021</v>
      </c>
      <c r="C98" t="str">
        <f t="shared" si="4"/>
        <v>2021-Q3</v>
      </c>
      <c r="D98" t="s">
        <v>55</v>
      </c>
      <c r="E98" t="str">
        <f t="shared" si="3"/>
        <v>North Central</v>
      </c>
      <c r="F98" s="5">
        <v>22</v>
      </c>
      <c r="G98" s="5">
        <v>59</v>
      </c>
      <c r="H98" s="5">
        <v>14</v>
      </c>
      <c r="I98" s="5">
        <v>95</v>
      </c>
      <c r="J98" s="5">
        <v>280</v>
      </c>
      <c r="K98" s="5">
        <v>42</v>
      </c>
      <c r="L98" s="5">
        <v>322</v>
      </c>
      <c r="M98" s="5">
        <v>786</v>
      </c>
      <c r="N98" s="6">
        <f t="shared" si="5"/>
        <v>0.13043478260869565</v>
      </c>
      <c r="O98" s="11">
        <v>72</v>
      </c>
      <c r="P98" s="11">
        <v>0</v>
      </c>
      <c r="Q98" s="11">
        <v>5</v>
      </c>
      <c r="R98" s="11">
        <v>4</v>
      </c>
      <c r="S98" s="11">
        <v>7</v>
      </c>
      <c r="T98" s="11">
        <v>0</v>
      </c>
      <c r="U98" s="11">
        <v>0</v>
      </c>
      <c r="V98" s="11">
        <v>9</v>
      </c>
      <c r="W98" s="11">
        <v>6</v>
      </c>
      <c r="X98" s="11">
        <v>0</v>
      </c>
      <c r="Y98" s="11">
        <v>8</v>
      </c>
      <c r="Z98" s="11">
        <v>1</v>
      </c>
      <c r="AA98" s="11">
        <v>1</v>
      </c>
      <c r="AB98" s="11">
        <v>0</v>
      </c>
      <c r="AC98" s="11">
        <v>0</v>
      </c>
      <c r="AD98" s="11">
        <v>1</v>
      </c>
      <c r="AE98" s="11">
        <v>21</v>
      </c>
      <c r="AF98" s="11">
        <v>2</v>
      </c>
    </row>
    <row r="99" spans="1:32">
      <c r="A99" t="s">
        <v>71</v>
      </c>
      <c r="B99">
        <v>2021</v>
      </c>
      <c r="C99" t="str">
        <f t="shared" si="4"/>
        <v>2021-Q3</v>
      </c>
      <c r="D99" t="s">
        <v>56</v>
      </c>
      <c r="E99" t="str">
        <f t="shared" si="3"/>
        <v>North Central</v>
      </c>
      <c r="F99" s="5">
        <v>9</v>
      </c>
      <c r="G99" s="5">
        <v>55</v>
      </c>
      <c r="H99" s="5">
        <v>14</v>
      </c>
      <c r="I99" s="5">
        <v>78</v>
      </c>
      <c r="J99" s="5">
        <v>255</v>
      </c>
      <c r="K99" s="5">
        <v>21</v>
      </c>
      <c r="L99" s="5">
        <v>276</v>
      </c>
      <c r="M99" s="5">
        <v>551</v>
      </c>
      <c r="N99" s="6">
        <f t="shared" si="5"/>
        <v>7.6086956521739135E-2</v>
      </c>
      <c r="O99" s="11">
        <v>65</v>
      </c>
      <c r="P99" s="11">
        <v>0</v>
      </c>
      <c r="Q99" s="11">
        <v>5</v>
      </c>
      <c r="R99" s="11">
        <v>5</v>
      </c>
      <c r="S99" s="11">
        <v>3</v>
      </c>
      <c r="T99" s="11">
        <v>0</v>
      </c>
      <c r="U99" s="11">
        <v>0</v>
      </c>
      <c r="V99" s="11">
        <v>7</v>
      </c>
      <c r="W99" s="11">
        <v>4</v>
      </c>
      <c r="X99" s="11">
        <v>0</v>
      </c>
      <c r="Y99" s="11">
        <v>1</v>
      </c>
      <c r="Z99" s="11">
        <v>1</v>
      </c>
      <c r="AA99" s="11">
        <v>1</v>
      </c>
      <c r="AB99" s="11">
        <v>0</v>
      </c>
      <c r="AC99" s="11">
        <v>0</v>
      </c>
      <c r="AD99" s="11">
        <v>0</v>
      </c>
      <c r="AE99" s="11">
        <v>14</v>
      </c>
      <c r="AF99" s="11">
        <v>2</v>
      </c>
    </row>
    <row r="100" spans="1:32">
      <c r="A100" t="s">
        <v>71</v>
      </c>
      <c r="B100">
        <v>2021</v>
      </c>
      <c r="C100" t="str">
        <f t="shared" si="4"/>
        <v>2021-Q3</v>
      </c>
      <c r="D100" t="s">
        <v>57</v>
      </c>
      <c r="E100" t="str">
        <f t="shared" si="3"/>
        <v>South West</v>
      </c>
      <c r="F100" s="5">
        <v>29</v>
      </c>
      <c r="G100" s="5">
        <v>76</v>
      </c>
      <c r="H100" s="5">
        <v>36</v>
      </c>
      <c r="I100" s="5">
        <v>141</v>
      </c>
      <c r="J100" s="5">
        <v>233</v>
      </c>
      <c r="K100" s="5">
        <v>41</v>
      </c>
      <c r="L100" s="5">
        <v>274</v>
      </c>
      <c r="M100" s="5">
        <v>689</v>
      </c>
      <c r="N100" s="6">
        <f t="shared" si="5"/>
        <v>0.14963503649635038</v>
      </c>
      <c r="O100" s="11">
        <v>71</v>
      </c>
      <c r="P100" s="11">
        <v>1</v>
      </c>
      <c r="Q100" s="11">
        <v>2</v>
      </c>
      <c r="R100" s="11">
        <v>13</v>
      </c>
      <c r="S100" s="11">
        <v>15</v>
      </c>
      <c r="T100" s="11">
        <v>0</v>
      </c>
      <c r="U100" s="11">
        <v>0</v>
      </c>
      <c r="V100" s="11">
        <v>9</v>
      </c>
      <c r="W100" s="11">
        <v>10</v>
      </c>
      <c r="X100" s="11">
        <v>2</v>
      </c>
      <c r="Y100" s="11">
        <v>8</v>
      </c>
      <c r="Z100" s="11">
        <v>0</v>
      </c>
      <c r="AA100" s="11">
        <v>1</v>
      </c>
      <c r="AB100" s="11">
        <v>0</v>
      </c>
      <c r="AC100" s="11">
        <v>1</v>
      </c>
      <c r="AD100" s="11">
        <v>2</v>
      </c>
      <c r="AE100" s="11">
        <v>0</v>
      </c>
      <c r="AF100" s="11">
        <v>9</v>
      </c>
    </row>
    <row r="101" spans="1:32">
      <c r="A101" t="s">
        <v>71</v>
      </c>
      <c r="B101">
        <v>2021</v>
      </c>
      <c r="C101" t="str">
        <f t="shared" si="4"/>
        <v>2021-Q3</v>
      </c>
      <c r="D101" t="s">
        <v>58</v>
      </c>
      <c r="E101" t="str">
        <f t="shared" si="3"/>
        <v>North Central</v>
      </c>
      <c r="F101" s="5">
        <v>27</v>
      </c>
      <c r="G101" s="5">
        <v>148</v>
      </c>
      <c r="H101" s="5">
        <v>37</v>
      </c>
      <c r="I101" s="5">
        <v>212</v>
      </c>
      <c r="J101" s="5">
        <v>535</v>
      </c>
      <c r="K101" s="5">
        <v>33</v>
      </c>
      <c r="L101" s="5">
        <v>568</v>
      </c>
      <c r="M101" s="5">
        <v>921</v>
      </c>
      <c r="N101" s="6">
        <f t="shared" si="5"/>
        <v>5.8098591549295774E-2</v>
      </c>
      <c r="O101" s="11">
        <v>126</v>
      </c>
      <c r="P101" s="11">
        <v>0</v>
      </c>
      <c r="Q101" s="11">
        <v>9</v>
      </c>
      <c r="R101" s="11">
        <v>1</v>
      </c>
      <c r="S101" s="11">
        <v>4</v>
      </c>
      <c r="T101" s="11">
        <v>1</v>
      </c>
      <c r="U101" s="11">
        <v>0</v>
      </c>
      <c r="V101" s="11">
        <v>32</v>
      </c>
      <c r="W101" s="11">
        <v>34</v>
      </c>
      <c r="X101" s="11">
        <v>0</v>
      </c>
      <c r="Y101" s="11">
        <v>9</v>
      </c>
      <c r="Z101" s="11">
        <v>1</v>
      </c>
      <c r="AA101" s="11">
        <v>0</v>
      </c>
      <c r="AB101" s="11">
        <v>0</v>
      </c>
      <c r="AC101" s="11">
        <v>0</v>
      </c>
      <c r="AD101" s="11">
        <v>0</v>
      </c>
      <c r="AE101" s="11">
        <v>37</v>
      </c>
      <c r="AF101" s="11">
        <v>11</v>
      </c>
    </row>
    <row r="102" spans="1:32">
      <c r="A102" t="s">
        <v>71</v>
      </c>
      <c r="B102">
        <v>2021</v>
      </c>
      <c r="C102" t="str">
        <f t="shared" si="4"/>
        <v>2021-Q3</v>
      </c>
      <c r="D102" t="s">
        <v>59</v>
      </c>
      <c r="E102" t="str">
        <f t="shared" si="3"/>
        <v>North Central</v>
      </c>
      <c r="F102" s="5">
        <v>64</v>
      </c>
      <c r="G102" s="5">
        <v>151</v>
      </c>
      <c r="H102" s="5">
        <v>4</v>
      </c>
      <c r="I102" s="5">
        <v>219</v>
      </c>
      <c r="J102" s="5">
        <v>577</v>
      </c>
      <c r="K102" s="5">
        <v>150</v>
      </c>
      <c r="L102" s="5">
        <v>727</v>
      </c>
      <c r="M102" s="5">
        <v>1227</v>
      </c>
      <c r="N102" s="6">
        <f t="shared" si="5"/>
        <v>0.2063273727647868</v>
      </c>
      <c r="O102" s="11">
        <v>162</v>
      </c>
      <c r="P102" s="11">
        <v>2</v>
      </c>
      <c r="Q102" s="11">
        <v>5</v>
      </c>
      <c r="R102" s="11">
        <v>0</v>
      </c>
      <c r="S102" s="11">
        <v>2</v>
      </c>
      <c r="T102" s="11">
        <v>0</v>
      </c>
      <c r="U102" s="11">
        <v>0</v>
      </c>
      <c r="V102" s="11">
        <v>27</v>
      </c>
      <c r="W102" s="11">
        <v>6</v>
      </c>
      <c r="X102" s="11">
        <v>0</v>
      </c>
      <c r="Y102" s="11">
        <v>11</v>
      </c>
      <c r="Z102" s="11">
        <v>3</v>
      </c>
      <c r="AA102" s="11">
        <v>0</v>
      </c>
      <c r="AB102" s="11">
        <v>0</v>
      </c>
      <c r="AC102" s="11">
        <v>0</v>
      </c>
      <c r="AD102" s="11">
        <v>25</v>
      </c>
      <c r="AE102" s="11">
        <v>26</v>
      </c>
      <c r="AF102" s="11">
        <v>4</v>
      </c>
    </row>
    <row r="103" spans="1:32">
      <c r="A103" t="s">
        <v>71</v>
      </c>
      <c r="B103">
        <v>2021</v>
      </c>
      <c r="C103" t="str">
        <f t="shared" si="4"/>
        <v>2021-Q3</v>
      </c>
      <c r="D103" t="s">
        <v>60</v>
      </c>
      <c r="E103" t="str">
        <f t="shared" si="3"/>
        <v>South West</v>
      </c>
      <c r="F103" s="5">
        <v>59</v>
      </c>
      <c r="G103" s="5">
        <v>169</v>
      </c>
      <c r="H103" s="5">
        <v>71</v>
      </c>
      <c r="I103" s="5">
        <v>299</v>
      </c>
      <c r="J103" s="5">
        <v>618</v>
      </c>
      <c r="K103" s="5">
        <v>98</v>
      </c>
      <c r="L103" s="5">
        <v>716</v>
      </c>
      <c r="M103" s="5">
        <v>1889</v>
      </c>
      <c r="N103" s="6">
        <f t="shared" si="5"/>
        <v>0.13687150837988826</v>
      </c>
      <c r="O103" s="11">
        <v>253</v>
      </c>
      <c r="P103" s="11">
        <v>0</v>
      </c>
      <c r="Q103" s="11">
        <v>6</v>
      </c>
      <c r="R103" s="11">
        <v>19</v>
      </c>
      <c r="S103" s="11">
        <v>2</v>
      </c>
      <c r="T103" s="11">
        <v>1</v>
      </c>
      <c r="U103" s="11">
        <v>1</v>
      </c>
      <c r="V103" s="11">
        <v>10</v>
      </c>
      <c r="W103" s="11">
        <v>5</v>
      </c>
      <c r="X103" s="11">
        <v>0</v>
      </c>
      <c r="Y103" s="11">
        <v>12</v>
      </c>
      <c r="Z103" s="11">
        <v>0</v>
      </c>
      <c r="AA103" s="11">
        <v>0</v>
      </c>
      <c r="AB103" s="11">
        <v>2</v>
      </c>
      <c r="AC103" s="11">
        <v>0</v>
      </c>
      <c r="AD103" s="11">
        <v>0</v>
      </c>
      <c r="AE103" s="11">
        <v>0</v>
      </c>
      <c r="AF103" s="11">
        <v>1</v>
      </c>
    </row>
    <row r="104" spans="1:32">
      <c r="A104" t="s">
        <v>71</v>
      </c>
      <c r="B104">
        <v>2021</v>
      </c>
      <c r="C104" t="str">
        <f t="shared" si="4"/>
        <v>2021-Q3</v>
      </c>
      <c r="D104" t="s">
        <v>61</v>
      </c>
      <c r="E104" t="str">
        <f t="shared" si="3"/>
        <v>South West</v>
      </c>
      <c r="F104" s="5">
        <v>31</v>
      </c>
      <c r="G104" s="5">
        <v>62</v>
      </c>
      <c r="H104" s="5">
        <v>3</v>
      </c>
      <c r="I104" s="5">
        <v>96</v>
      </c>
      <c r="J104" s="5">
        <v>251</v>
      </c>
      <c r="K104" s="5">
        <v>51</v>
      </c>
      <c r="L104" s="5">
        <v>302</v>
      </c>
      <c r="M104" s="5">
        <v>580</v>
      </c>
      <c r="N104" s="6">
        <f t="shared" si="5"/>
        <v>0.16887417218543047</v>
      </c>
      <c r="O104" s="11">
        <v>72</v>
      </c>
      <c r="P104" s="11">
        <v>0</v>
      </c>
      <c r="Q104" s="11">
        <v>2</v>
      </c>
      <c r="R104" s="11">
        <v>1</v>
      </c>
      <c r="S104" s="11">
        <v>4</v>
      </c>
      <c r="T104" s="11">
        <v>0</v>
      </c>
      <c r="U104" s="11">
        <v>1</v>
      </c>
      <c r="V104" s="11">
        <v>11</v>
      </c>
      <c r="W104" s="11">
        <v>12</v>
      </c>
      <c r="X104" s="11">
        <v>5</v>
      </c>
      <c r="Y104" s="11">
        <v>4</v>
      </c>
      <c r="Z104" s="11">
        <v>1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</row>
    <row r="105" spans="1:32">
      <c r="A105" t="s">
        <v>71</v>
      </c>
      <c r="B105">
        <v>2021</v>
      </c>
      <c r="C105" t="str">
        <f t="shared" si="4"/>
        <v>2021-Q3</v>
      </c>
      <c r="D105" t="s">
        <v>62</v>
      </c>
      <c r="E105" t="str">
        <f t="shared" si="3"/>
        <v>South West</v>
      </c>
      <c r="F105" s="5">
        <v>35</v>
      </c>
      <c r="G105" s="5">
        <v>57</v>
      </c>
      <c r="H105" s="5">
        <v>13</v>
      </c>
      <c r="I105" s="5">
        <v>105</v>
      </c>
      <c r="J105" s="5">
        <v>324</v>
      </c>
      <c r="K105" s="5">
        <v>82</v>
      </c>
      <c r="L105" s="5">
        <v>406</v>
      </c>
      <c r="M105" s="5">
        <v>866</v>
      </c>
      <c r="N105" s="6">
        <f t="shared" si="5"/>
        <v>0.2019704433497537</v>
      </c>
      <c r="O105" s="11">
        <v>78</v>
      </c>
      <c r="P105" s="11">
        <v>0</v>
      </c>
      <c r="Q105" s="11">
        <v>8</v>
      </c>
      <c r="R105" s="11">
        <v>4</v>
      </c>
      <c r="S105" s="11">
        <v>6</v>
      </c>
      <c r="T105" s="11">
        <v>1</v>
      </c>
      <c r="U105" s="11">
        <v>0</v>
      </c>
      <c r="V105" s="11">
        <v>17</v>
      </c>
      <c r="W105" s="11">
        <v>9</v>
      </c>
      <c r="X105" s="11">
        <v>2</v>
      </c>
      <c r="Y105" s="11">
        <v>9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</row>
    <row r="106" spans="1:32">
      <c r="A106" t="s">
        <v>71</v>
      </c>
      <c r="B106">
        <v>2021</v>
      </c>
      <c r="C106" t="str">
        <f t="shared" si="4"/>
        <v>2021-Q3</v>
      </c>
      <c r="D106" t="s">
        <v>63</v>
      </c>
      <c r="E106" t="str">
        <f t="shared" si="3"/>
        <v>South West</v>
      </c>
      <c r="F106" s="5">
        <v>34</v>
      </c>
      <c r="G106" s="5">
        <v>93</v>
      </c>
      <c r="H106" s="5">
        <v>10</v>
      </c>
      <c r="I106" s="5">
        <v>137</v>
      </c>
      <c r="J106" s="5">
        <v>344</v>
      </c>
      <c r="K106" s="5">
        <v>58</v>
      </c>
      <c r="L106" s="5">
        <v>402</v>
      </c>
      <c r="M106" s="5">
        <v>888</v>
      </c>
      <c r="N106" s="6">
        <f t="shared" si="5"/>
        <v>0.14427860696517414</v>
      </c>
      <c r="O106" s="11">
        <v>88</v>
      </c>
      <c r="P106" s="11">
        <v>1</v>
      </c>
      <c r="Q106" s="11">
        <v>14</v>
      </c>
      <c r="R106" s="11">
        <v>4</v>
      </c>
      <c r="S106" s="11">
        <v>11</v>
      </c>
      <c r="T106" s="11">
        <v>0</v>
      </c>
      <c r="U106" s="11">
        <v>0</v>
      </c>
      <c r="V106" s="11">
        <v>18</v>
      </c>
      <c r="W106" s="11">
        <v>6</v>
      </c>
      <c r="X106" s="11">
        <v>2</v>
      </c>
      <c r="Y106" s="11">
        <v>7</v>
      </c>
      <c r="Z106" s="11">
        <v>1</v>
      </c>
      <c r="AA106" s="11">
        <v>0</v>
      </c>
      <c r="AB106" s="11">
        <v>0</v>
      </c>
      <c r="AC106" s="11">
        <v>0</v>
      </c>
      <c r="AD106" s="11">
        <v>4</v>
      </c>
      <c r="AE106" s="11">
        <v>3</v>
      </c>
      <c r="AF106" s="11">
        <v>0</v>
      </c>
    </row>
    <row r="107" spans="1:32">
      <c r="A107" t="s">
        <v>71</v>
      </c>
      <c r="B107">
        <v>2021</v>
      </c>
      <c r="C107" t="str">
        <f t="shared" si="4"/>
        <v>2021-Q3</v>
      </c>
      <c r="D107" t="s">
        <v>64</v>
      </c>
      <c r="E107" t="str">
        <f t="shared" si="3"/>
        <v>North Central</v>
      </c>
      <c r="F107" s="5">
        <v>13</v>
      </c>
      <c r="G107" s="5">
        <v>56</v>
      </c>
      <c r="H107" s="5">
        <v>8</v>
      </c>
      <c r="I107" s="5">
        <v>77</v>
      </c>
      <c r="J107" s="5">
        <v>249</v>
      </c>
      <c r="K107" s="5">
        <v>25</v>
      </c>
      <c r="L107" s="5">
        <v>274</v>
      </c>
      <c r="M107" s="5">
        <v>417</v>
      </c>
      <c r="N107" s="6">
        <f t="shared" si="5"/>
        <v>9.1240875912408759E-2</v>
      </c>
      <c r="O107" s="11">
        <v>23</v>
      </c>
      <c r="P107" s="11">
        <v>0</v>
      </c>
      <c r="Q107" s="11">
        <v>4</v>
      </c>
      <c r="R107" s="11">
        <v>5</v>
      </c>
      <c r="S107" s="11">
        <v>15</v>
      </c>
      <c r="T107" s="11">
        <v>0</v>
      </c>
      <c r="U107" s="11">
        <v>0</v>
      </c>
      <c r="V107" s="11">
        <v>9</v>
      </c>
      <c r="W107" s="11">
        <v>10</v>
      </c>
      <c r="X107" s="11">
        <v>0</v>
      </c>
      <c r="Y107" s="11">
        <v>0</v>
      </c>
      <c r="Z107" s="11">
        <v>2</v>
      </c>
      <c r="AA107" s="11">
        <v>0</v>
      </c>
      <c r="AB107" s="11">
        <v>0</v>
      </c>
      <c r="AC107" s="11">
        <v>0</v>
      </c>
      <c r="AD107" s="11">
        <v>0</v>
      </c>
      <c r="AE107" s="11">
        <v>2</v>
      </c>
      <c r="AF107" s="11">
        <v>7</v>
      </c>
    </row>
    <row r="108" spans="1:32">
      <c r="A108" t="s">
        <v>71</v>
      </c>
      <c r="B108">
        <v>2021</v>
      </c>
      <c r="C108" t="str">
        <f t="shared" si="4"/>
        <v>2021-Q3</v>
      </c>
      <c r="D108" t="s">
        <v>65</v>
      </c>
      <c r="E108" t="str">
        <f t="shared" si="3"/>
        <v>South South</v>
      </c>
      <c r="F108" s="5">
        <v>8</v>
      </c>
      <c r="G108" s="5">
        <v>17</v>
      </c>
      <c r="H108" s="5">
        <v>6</v>
      </c>
      <c r="I108" s="5">
        <v>31</v>
      </c>
      <c r="J108" s="5">
        <v>88</v>
      </c>
      <c r="K108" s="5">
        <v>23</v>
      </c>
      <c r="L108" s="5">
        <v>111</v>
      </c>
      <c r="M108" s="5">
        <v>208</v>
      </c>
      <c r="N108" s="6">
        <f t="shared" si="5"/>
        <v>0.2072072072072072</v>
      </c>
      <c r="O108" s="11">
        <v>16</v>
      </c>
      <c r="P108" s="11">
        <v>0</v>
      </c>
      <c r="Q108" s="11">
        <v>2</v>
      </c>
      <c r="R108" s="11">
        <v>0</v>
      </c>
      <c r="S108" s="11">
        <v>2</v>
      </c>
      <c r="T108" s="11">
        <v>0</v>
      </c>
      <c r="U108" s="11">
        <v>0</v>
      </c>
      <c r="V108" s="11">
        <v>6</v>
      </c>
      <c r="W108" s="11">
        <v>4</v>
      </c>
      <c r="X108" s="11">
        <v>0</v>
      </c>
      <c r="Y108" s="11">
        <v>5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1</v>
      </c>
    </row>
    <row r="109" spans="1:32">
      <c r="A109" t="s">
        <v>71</v>
      </c>
      <c r="B109">
        <v>2021</v>
      </c>
      <c r="C109" t="str">
        <f t="shared" si="4"/>
        <v>2021-Q3</v>
      </c>
      <c r="D109" t="s">
        <v>66</v>
      </c>
      <c r="E109" t="str">
        <f t="shared" si="3"/>
        <v>North West</v>
      </c>
      <c r="F109" s="5">
        <v>10</v>
      </c>
      <c r="G109" s="5">
        <v>14</v>
      </c>
      <c r="H109" s="5">
        <v>3</v>
      </c>
      <c r="I109" s="5">
        <v>27</v>
      </c>
      <c r="J109" s="5">
        <v>78</v>
      </c>
      <c r="K109" s="5">
        <v>15</v>
      </c>
      <c r="L109" s="5">
        <v>93</v>
      </c>
      <c r="M109" s="5">
        <v>175</v>
      </c>
      <c r="N109" s="6">
        <f t="shared" si="5"/>
        <v>0.16129032258064516</v>
      </c>
      <c r="O109" s="11">
        <v>26</v>
      </c>
      <c r="P109" s="11">
        <v>0</v>
      </c>
      <c r="Q109" s="11">
        <v>2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3</v>
      </c>
      <c r="X109" s="11">
        <v>0</v>
      </c>
      <c r="Y109" s="11">
        <v>1</v>
      </c>
      <c r="Z109" s="11">
        <v>1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1</v>
      </c>
    </row>
    <row r="110" spans="1:32">
      <c r="A110" t="s">
        <v>71</v>
      </c>
      <c r="B110">
        <v>2021</v>
      </c>
      <c r="C110" t="str">
        <f t="shared" si="4"/>
        <v>2021-Q3</v>
      </c>
      <c r="D110" t="s">
        <v>67</v>
      </c>
      <c r="E110" t="str">
        <f t="shared" si="3"/>
        <v>North East</v>
      </c>
      <c r="F110" s="5">
        <v>2</v>
      </c>
      <c r="G110" s="5">
        <v>43</v>
      </c>
      <c r="H110" s="5">
        <v>0</v>
      </c>
      <c r="I110" s="5">
        <v>45</v>
      </c>
      <c r="J110" s="5">
        <v>128</v>
      </c>
      <c r="K110" s="5">
        <v>3</v>
      </c>
      <c r="L110" s="5">
        <v>131</v>
      </c>
      <c r="M110" s="5">
        <v>211</v>
      </c>
      <c r="N110" s="6">
        <f t="shared" si="5"/>
        <v>2.2900763358778626E-2</v>
      </c>
      <c r="O110" s="11">
        <v>18</v>
      </c>
      <c r="P110" s="11">
        <v>0</v>
      </c>
      <c r="Q110" s="11">
        <v>0</v>
      </c>
      <c r="R110" s="11">
        <v>0</v>
      </c>
      <c r="S110" s="11">
        <v>0</v>
      </c>
      <c r="T110" s="11">
        <v>1</v>
      </c>
      <c r="U110" s="11">
        <v>0</v>
      </c>
      <c r="V110" s="11">
        <v>6</v>
      </c>
      <c r="W110" s="11">
        <v>15</v>
      </c>
      <c r="X110" s="11">
        <v>0</v>
      </c>
      <c r="Y110" s="11">
        <v>2</v>
      </c>
      <c r="Z110" s="11">
        <v>0</v>
      </c>
      <c r="AA110" s="11">
        <v>4</v>
      </c>
      <c r="AB110" s="11">
        <v>0</v>
      </c>
      <c r="AC110" s="11">
        <v>0</v>
      </c>
      <c r="AD110" s="11">
        <v>0</v>
      </c>
      <c r="AE110" s="11">
        <v>20</v>
      </c>
      <c r="AF110" s="11">
        <v>0</v>
      </c>
    </row>
    <row r="111" spans="1:32">
      <c r="A111" t="s">
        <v>71</v>
      </c>
      <c r="B111">
        <v>2021</v>
      </c>
      <c r="C111" t="str">
        <f t="shared" si="4"/>
        <v>2021-Q3</v>
      </c>
      <c r="D111" t="s">
        <v>68</v>
      </c>
      <c r="E111" t="str">
        <f t="shared" si="3"/>
        <v>North East</v>
      </c>
      <c r="F111" s="5">
        <v>21</v>
      </c>
      <c r="G111" s="5">
        <v>29</v>
      </c>
      <c r="H111" s="5">
        <v>5</v>
      </c>
      <c r="I111" s="5">
        <v>55</v>
      </c>
      <c r="J111" s="5">
        <v>292</v>
      </c>
      <c r="K111" s="5">
        <v>41</v>
      </c>
      <c r="L111" s="5">
        <v>333</v>
      </c>
      <c r="M111" s="5">
        <v>502</v>
      </c>
      <c r="N111" s="6">
        <f t="shared" si="5"/>
        <v>0.12312312312312312</v>
      </c>
      <c r="O111" s="11">
        <v>33</v>
      </c>
      <c r="P111" s="11">
        <v>0</v>
      </c>
      <c r="Q111" s="11">
        <v>14</v>
      </c>
      <c r="R111" s="11">
        <v>0</v>
      </c>
      <c r="S111" s="11">
        <v>0</v>
      </c>
      <c r="T111" s="11">
        <v>2</v>
      </c>
      <c r="U111" s="11">
        <v>0</v>
      </c>
      <c r="V111" s="11">
        <v>8</v>
      </c>
      <c r="W111" s="11">
        <v>7</v>
      </c>
      <c r="X111" s="11">
        <v>0</v>
      </c>
      <c r="Y111" s="11">
        <v>1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1</v>
      </c>
      <c r="AF111" s="11">
        <v>0</v>
      </c>
    </row>
    <row r="112" spans="1:32">
      <c r="A112" t="s">
        <v>71</v>
      </c>
      <c r="B112">
        <v>2021</v>
      </c>
      <c r="C112" t="str">
        <f t="shared" si="4"/>
        <v>2021-Q3</v>
      </c>
      <c r="D112" t="s">
        <v>69</v>
      </c>
      <c r="E112" t="str">
        <f t="shared" si="3"/>
        <v>North West</v>
      </c>
      <c r="F112" s="5">
        <v>7</v>
      </c>
      <c r="G112" s="5">
        <v>13</v>
      </c>
      <c r="H112" s="5">
        <v>1</v>
      </c>
      <c r="I112" s="5">
        <v>21</v>
      </c>
      <c r="J112" s="5">
        <v>56</v>
      </c>
      <c r="K112" s="5">
        <v>19</v>
      </c>
      <c r="L112" s="5">
        <v>75</v>
      </c>
      <c r="M112" s="5">
        <v>110</v>
      </c>
      <c r="N112" s="6">
        <f t="shared" si="5"/>
        <v>0.25333333333333335</v>
      </c>
      <c r="O112" s="11">
        <v>9</v>
      </c>
      <c r="P112" s="11">
        <v>0</v>
      </c>
      <c r="Q112" s="11">
        <v>2</v>
      </c>
      <c r="R112" s="11">
        <v>0</v>
      </c>
      <c r="S112" s="11">
        <v>0</v>
      </c>
      <c r="T112" s="11">
        <v>0</v>
      </c>
      <c r="U112" s="11">
        <v>0</v>
      </c>
      <c r="V112" s="11">
        <v>4</v>
      </c>
      <c r="W112" s="11">
        <v>0</v>
      </c>
      <c r="X112" s="11">
        <v>0</v>
      </c>
      <c r="Y112" s="11">
        <v>4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2</v>
      </c>
      <c r="AF112" s="11">
        <v>0</v>
      </c>
    </row>
    <row r="113" spans="1:32">
      <c r="A113" t="s">
        <v>72</v>
      </c>
      <c r="B113">
        <v>2021</v>
      </c>
      <c r="C113" t="str">
        <f t="shared" si="4"/>
        <v>2021-Q4</v>
      </c>
      <c r="D113" t="s">
        <v>33</v>
      </c>
      <c r="E113" t="str">
        <f t="shared" si="3"/>
        <v>South East</v>
      </c>
      <c r="F113" s="5">
        <v>3</v>
      </c>
      <c r="G113" s="5">
        <v>12</v>
      </c>
      <c r="H113" s="5">
        <v>6</v>
      </c>
      <c r="I113" s="5">
        <v>21</v>
      </c>
      <c r="J113" s="5">
        <v>57</v>
      </c>
      <c r="K113" s="5">
        <v>3</v>
      </c>
      <c r="L113" s="5">
        <v>60</v>
      </c>
      <c r="M113" s="5">
        <v>177</v>
      </c>
      <c r="N113" s="6">
        <f t="shared" si="5"/>
        <v>0.05</v>
      </c>
      <c r="O113" s="11">
        <v>8</v>
      </c>
      <c r="P113" s="11">
        <v>0</v>
      </c>
      <c r="Q113" s="11">
        <v>2</v>
      </c>
      <c r="R113" s="11">
        <v>0</v>
      </c>
      <c r="S113" s="11">
        <v>7</v>
      </c>
      <c r="T113" s="11">
        <v>0</v>
      </c>
      <c r="U113" s="11">
        <v>0</v>
      </c>
      <c r="V113" s="11">
        <v>2</v>
      </c>
      <c r="W113" s="11">
        <v>1</v>
      </c>
      <c r="X113" s="11">
        <v>0</v>
      </c>
      <c r="Y113" s="11">
        <v>2</v>
      </c>
      <c r="Z113" s="11">
        <v>0</v>
      </c>
      <c r="AA113" s="11">
        <v>0</v>
      </c>
      <c r="AB113" s="11">
        <v>0</v>
      </c>
      <c r="AC113" s="11">
        <v>0</v>
      </c>
      <c r="AD113" s="11">
        <v>2</v>
      </c>
      <c r="AE113" s="11">
        <v>0</v>
      </c>
      <c r="AF113" s="11">
        <v>3</v>
      </c>
    </row>
    <row r="114" spans="1:32">
      <c r="A114" t="s">
        <v>72</v>
      </c>
      <c r="B114">
        <v>2021</v>
      </c>
      <c r="C114" t="str">
        <f t="shared" si="4"/>
        <v>2021-Q4</v>
      </c>
      <c r="D114" t="s">
        <v>34</v>
      </c>
      <c r="E114" t="str">
        <f t="shared" si="3"/>
        <v>North East</v>
      </c>
      <c r="F114" s="5">
        <v>17</v>
      </c>
      <c r="G114" s="5">
        <v>54</v>
      </c>
      <c r="H114" s="5">
        <v>5</v>
      </c>
      <c r="I114" s="5">
        <v>76</v>
      </c>
      <c r="J114" s="5">
        <v>191</v>
      </c>
      <c r="K114" s="5">
        <v>25</v>
      </c>
      <c r="L114" s="5">
        <v>216</v>
      </c>
      <c r="M114" s="5">
        <v>423</v>
      </c>
      <c r="N114" s="6">
        <f t="shared" si="5"/>
        <v>0.11574074074074074</v>
      </c>
      <c r="O114" s="11">
        <v>62</v>
      </c>
      <c r="P114" s="11">
        <v>0</v>
      </c>
      <c r="Q114" s="11">
        <v>4</v>
      </c>
      <c r="R114" s="11">
        <v>0</v>
      </c>
      <c r="S114" s="11">
        <v>0</v>
      </c>
      <c r="T114" s="11">
        <v>0</v>
      </c>
      <c r="U114" s="11">
        <v>0</v>
      </c>
      <c r="V114" s="11">
        <v>10</v>
      </c>
      <c r="W114" s="11">
        <v>0</v>
      </c>
      <c r="X114" s="11">
        <v>0</v>
      </c>
      <c r="Y114" s="11">
        <v>3</v>
      </c>
      <c r="Z114" s="11">
        <v>13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</row>
    <row r="115" spans="1:32">
      <c r="A115" t="s">
        <v>72</v>
      </c>
      <c r="B115">
        <v>2021</v>
      </c>
      <c r="C115" t="str">
        <f t="shared" si="4"/>
        <v>2021-Q4</v>
      </c>
      <c r="D115" t="s">
        <v>35</v>
      </c>
      <c r="E115" t="str">
        <f t="shared" si="3"/>
        <v>South South</v>
      </c>
      <c r="F115" s="5">
        <v>7</v>
      </c>
      <c r="G115" s="5">
        <v>13</v>
      </c>
      <c r="H115" s="5">
        <v>2</v>
      </c>
      <c r="I115" s="5">
        <v>22</v>
      </c>
      <c r="J115" s="5">
        <v>39</v>
      </c>
      <c r="K115" s="5">
        <v>10</v>
      </c>
      <c r="L115" s="5">
        <v>49</v>
      </c>
      <c r="M115" s="5">
        <v>98</v>
      </c>
      <c r="N115" s="6">
        <f t="shared" si="5"/>
        <v>0.20408163265306123</v>
      </c>
      <c r="O115" s="11">
        <v>12</v>
      </c>
      <c r="P115" s="11">
        <v>0</v>
      </c>
      <c r="Q115" s="11">
        <v>1</v>
      </c>
      <c r="R115" s="11">
        <v>3</v>
      </c>
      <c r="S115" s="11">
        <v>4</v>
      </c>
      <c r="T115" s="11">
        <v>0</v>
      </c>
      <c r="U115" s="11">
        <v>1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2</v>
      </c>
    </row>
    <row r="116" spans="1:32">
      <c r="A116" t="s">
        <v>72</v>
      </c>
      <c r="B116">
        <v>2021</v>
      </c>
      <c r="C116" t="str">
        <f t="shared" si="4"/>
        <v>2021-Q4</v>
      </c>
      <c r="D116" t="s">
        <v>36</v>
      </c>
      <c r="E116" t="str">
        <f t="shared" si="3"/>
        <v>South East</v>
      </c>
      <c r="F116" s="5">
        <v>24</v>
      </c>
      <c r="G116" s="5">
        <v>25</v>
      </c>
      <c r="H116" s="5">
        <v>10</v>
      </c>
      <c r="I116" s="5">
        <v>59</v>
      </c>
      <c r="J116" s="5">
        <v>156</v>
      </c>
      <c r="K116" s="5">
        <v>45</v>
      </c>
      <c r="L116" s="5">
        <v>201</v>
      </c>
      <c r="M116" s="5">
        <v>577</v>
      </c>
      <c r="N116" s="6">
        <f t="shared" si="5"/>
        <v>0.22388059701492538</v>
      </c>
      <c r="O116" s="11">
        <v>24</v>
      </c>
      <c r="P116" s="11">
        <v>0</v>
      </c>
      <c r="Q116" s="11">
        <v>1</v>
      </c>
      <c r="R116" s="11">
        <v>3</v>
      </c>
      <c r="S116" s="11">
        <v>12</v>
      </c>
      <c r="T116" s="11">
        <v>0</v>
      </c>
      <c r="U116" s="11">
        <v>0</v>
      </c>
      <c r="V116" s="11">
        <v>8</v>
      </c>
      <c r="W116" s="11">
        <v>0</v>
      </c>
      <c r="X116" s="11">
        <v>3</v>
      </c>
      <c r="Y116" s="11">
        <v>6</v>
      </c>
      <c r="Z116" s="11">
        <v>2</v>
      </c>
      <c r="AA116" s="11">
        <v>0</v>
      </c>
      <c r="AB116" s="11">
        <v>1</v>
      </c>
      <c r="AC116" s="11">
        <v>0</v>
      </c>
      <c r="AD116" s="11">
        <v>1</v>
      </c>
      <c r="AE116" s="11">
        <v>0</v>
      </c>
      <c r="AF116" s="11">
        <v>3</v>
      </c>
    </row>
    <row r="117" spans="1:32">
      <c r="A117" t="s">
        <v>72</v>
      </c>
      <c r="B117">
        <v>2021</v>
      </c>
      <c r="C117" t="str">
        <f t="shared" si="4"/>
        <v>2021-Q4</v>
      </c>
      <c r="D117" t="s">
        <v>37</v>
      </c>
      <c r="E117" t="str">
        <f t="shared" si="3"/>
        <v>North East</v>
      </c>
      <c r="F117" s="5">
        <v>64</v>
      </c>
      <c r="G117" s="5">
        <v>149</v>
      </c>
      <c r="H117" s="5">
        <v>4</v>
      </c>
      <c r="I117" s="5">
        <v>217</v>
      </c>
      <c r="J117" s="5">
        <v>882</v>
      </c>
      <c r="K117" s="5">
        <v>156</v>
      </c>
      <c r="L117" s="5">
        <v>1038</v>
      </c>
      <c r="M117" s="5">
        <v>1600</v>
      </c>
      <c r="N117" s="6">
        <f t="shared" si="5"/>
        <v>0.15028901734104047</v>
      </c>
      <c r="O117" s="11">
        <v>124</v>
      </c>
      <c r="P117" s="11">
        <v>2</v>
      </c>
      <c r="Q117" s="11">
        <v>18</v>
      </c>
      <c r="R117" s="11">
        <v>2</v>
      </c>
      <c r="S117" s="11">
        <v>0</v>
      </c>
      <c r="T117" s="11">
        <v>9</v>
      </c>
      <c r="U117" s="11">
        <v>1</v>
      </c>
      <c r="V117" s="11">
        <v>29</v>
      </c>
      <c r="W117" s="11">
        <v>21</v>
      </c>
      <c r="X117" s="11">
        <v>5</v>
      </c>
      <c r="Y117" s="11">
        <v>9</v>
      </c>
      <c r="Z117" s="11">
        <v>9</v>
      </c>
      <c r="AA117" s="11">
        <v>2</v>
      </c>
      <c r="AB117" s="11">
        <v>0</v>
      </c>
      <c r="AC117" s="11">
        <v>0</v>
      </c>
      <c r="AD117" s="11">
        <v>1</v>
      </c>
      <c r="AE117" s="11">
        <v>8</v>
      </c>
      <c r="AF117" s="11">
        <v>7</v>
      </c>
    </row>
    <row r="118" spans="1:32">
      <c r="A118" t="s">
        <v>72</v>
      </c>
      <c r="B118">
        <v>2021</v>
      </c>
      <c r="C118" t="str">
        <f t="shared" si="4"/>
        <v>2021-Q4</v>
      </c>
      <c r="D118" t="s">
        <v>38</v>
      </c>
      <c r="E118" t="str">
        <f t="shared" si="3"/>
        <v>South South</v>
      </c>
      <c r="F118" s="5">
        <v>3</v>
      </c>
      <c r="G118" s="5">
        <v>9</v>
      </c>
      <c r="H118" s="5">
        <v>0</v>
      </c>
      <c r="I118" s="5">
        <v>12</v>
      </c>
      <c r="J118" s="5">
        <v>37</v>
      </c>
      <c r="K118" s="5">
        <v>24</v>
      </c>
      <c r="L118" s="5">
        <v>61</v>
      </c>
      <c r="M118" s="5">
        <v>80</v>
      </c>
      <c r="N118" s="6">
        <f t="shared" si="5"/>
        <v>0.39344262295081966</v>
      </c>
      <c r="O118" s="11">
        <v>16</v>
      </c>
      <c r="P118" s="11">
        <v>0</v>
      </c>
      <c r="Q118" s="11">
        <v>1</v>
      </c>
      <c r="R118" s="11">
        <v>1</v>
      </c>
      <c r="S118" s="11">
        <v>0</v>
      </c>
      <c r="T118" s="11">
        <v>0</v>
      </c>
      <c r="U118" s="11">
        <v>0</v>
      </c>
      <c r="V118" s="11">
        <v>1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</row>
    <row r="119" spans="1:32">
      <c r="A119" t="s">
        <v>72</v>
      </c>
      <c r="B119">
        <v>2021</v>
      </c>
      <c r="C119" t="str">
        <f t="shared" si="4"/>
        <v>2021-Q4</v>
      </c>
      <c r="D119" t="s">
        <v>39</v>
      </c>
      <c r="E119" t="str">
        <f t="shared" si="3"/>
        <v>North Central</v>
      </c>
      <c r="F119" s="5">
        <v>6</v>
      </c>
      <c r="G119" s="5">
        <v>44</v>
      </c>
      <c r="H119" s="5">
        <v>3</v>
      </c>
      <c r="I119" s="5">
        <v>53</v>
      </c>
      <c r="J119" s="5">
        <v>123</v>
      </c>
      <c r="K119" s="5">
        <v>9</v>
      </c>
      <c r="L119" s="5">
        <v>132</v>
      </c>
      <c r="M119" s="5">
        <v>165</v>
      </c>
      <c r="N119" s="6">
        <f t="shared" si="5"/>
        <v>6.8181818181818177E-2</v>
      </c>
      <c r="O119" s="11">
        <v>34</v>
      </c>
      <c r="P119" s="11">
        <v>1</v>
      </c>
      <c r="Q119" s="11">
        <v>2</v>
      </c>
      <c r="R119" s="11">
        <v>0</v>
      </c>
      <c r="S119" s="11">
        <v>0</v>
      </c>
      <c r="T119" s="11">
        <v>0</v>
      </c>
      <c r="U119" s="11">
        <v>0</v>
      </c>
      <c r="V119" s="11">
        <v>3</v>
      </c>
      <c r="W119" s="11">
        <v>4</v>
      </c>
      <c r="X119" s="11">
        <v>1</v>
      </c>
      <c r="Y119" s="11">
        <v>1</v>
      </c>
      <c r="Z119" s="11">
        <v>0</v>
      </c>
      <c r="AA119" s="11">
        <v>0</v>
      </c>
      <c r="AB119" s="11">
        <v>1</v>
      </c>
      <c r="AC119" s="11">
        <v>0</v>
      </c>
      <c r="AD119" s="11">
        <v>0</v>
      </c>
      <c r="AE119" s="11">
        <v>0</v>
      </c>
      <c r="AF119" s="11">
        <v>4</v>
      </c>
    </row>
    <row r="120" spans="1:32">
      <c r="A120" t="s">
        <v>72</v>
      </c>
      <c r="B120">
        <v>2021</v>
      </c>
      <c r="C120" t="str">
        <f t="shared" si="4"/>
        <v>2021-Q4</v>
      </c>
      <c r="D120" t="s">
        <v>40</v>
      </c>
      <c r="E120" t="str">
        <f t="shared" si="3"/>
        <v>North East</v>
      </c>
      <c r="F120" s="5">
        <v>4</v>
      </c>
      <c r="G120" s="5">
        <v>17</v>
      </c>
      <c r="H120" s="5">
        <v>0</v>
      </c>
      <c r="I120" s="5">
        <v>21</v>
      </c>
      <c r="J120" s="5">
        <v>70</v>
      </c>
      <c r="K120" s="5">
        <v>5</v>
      </c>
      <c r="L120" s="5">
        <v>75</v>
      </c>
      <c r="M120" s="5">
        <v>152</v>
      </c>
      <c r="N120" s="6">
        <f t="shared" si="5"/>
        <v>6.6666666666666666E-2</v>
      </c>
      <c r="O120" s="11">
        <v>13</v>
      </c>
      <c r="P120" s="11">
        <v>0</v>
      </c>
      <c r="Q120" s="11">
        <v>1</v>
      </c>
      <c r="R120" s="11">
        <v>1</v>
      </c>
      <c r="S120" s="11">
        <v>0</v>
      </c>
      <c r="T120" s="11">
        <v>1</v>
      </c>
      <c r="U120" s="11">
        <v>0</v>
      </c>
      <c r="V120" s="11">
        <v>2</v>
      </c>
      <c r="W120" s="11">
        <v>1</v>
      </c>
      <c r="X120" s="11">
        <v>0</v>
      </c>
      <c r="Y120" s="11">
        <v>1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1</v>
      </c>
      <c r="AF120" s="11">
        <v>0</v>
      </c>
    </row>
    <row r="121" spans="1:32">
      <c r="A121" t="s">
        <v>72</v>
      </c>
      <c r="B121">
        <v>2021</v>
      </c>
      <c r="C121" t="str">
        <f t="shared" si="4"/>
        <v>2021-Q4</v>
      </c>
      <c r="D121" t="s">
        <v>41</v>
      </c>
      <c r="E121" t="str">
        <f t="shared" si="3"/>
        <v>South South</v>
      </c>
      <c r="F121" s="5">
        <v>15</v>
      </c>
      <c r="G121" s="5">
        <v>31</v>
      </c>
      <c r="H121" s="5">
        <v>8</v>
      </c>
      <c r="I121" s="5">
        <v>54</v>
      </c>
      <c r="J121" s="5">
        <v>133</v>
      </c>
      <c r="K121" s="5">
        <v>20</v>
      </c>
      <c r="L121" s="5">
        <v>153</v>
      </c>
      <c r="M121" s="5">
        <v>248</v>
      </c>
      <c r="N121" s="6">
        <f t="shared" si="5"/>
        <v>0.13071895424836602</v>
      </c>
      <c r="O121" s="11">
        <v>48</v>
      </c>
      <c r="P121" s="11">
        <v>0</v>
      </c>
      <c r="Q121" s="11">
        <v>2</v>
      </c>
      <c r="R121" s="11">
        <v>1</v>
      </c>
      <c r="S121" s="11">
        <v>3</v>
      </c>
      <c r="T121" s="11">
        <v>2</v>
      </c>
      <c r="U121" s="11">
        <v>0</v>
      </c>
      <c r="V121" s="11">
        <v>6</v>
      </c>
      <c r="W121" s="11">
        <v>3</v>
      </c>
      <c r="X121" s="11">
        <v>0</v>
      </c>
      <c r="Y121" s="11">
        <v>2</v>
      </c>
      <c r="Z121" s="11">
        <v>2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1</v>
      </c>
    </row>
    <row r="122" spans="1:32">
      <c r="A122" t="s">
        <v>72</v>
      </c>
      <c r="B122">
        <v>2021</v>
      </c>
      <c r="C122" t="str">
        <f t="shared" si="4"/>
        <v>2021-Q4</v>
      </c>
      <c r="D122" t="s">
        <v>42</v>
      </c>
      <c r="E122" t="str">
        <f t="shared" si="3"/>
        <v>South South</v>
      </c>
      <c r="F122" s="5">
        <v>21</v>
      </c>
      <c r="G122" s="5">
        <v>28</v>
      </c>
      <c r="H122" s="5">
        <v>9</v>
      </c>
      <c r="I122" s="5">
        <v>58</v>
      </c>
      <c r="J122" s="5">
        <v>172</v>
      </c>
      <c r="K122" s="5">
        <v>30</v>
      </c>
      <c r="L122" s="5">
        <v>202</v>
      </c>
      <c r="M122" s="5">
        <v>452</v>
      </c>
      <c r="N122" s="6">
        <f t="shared" si="5"/>
        <v>0.14851485148514851</v>
      </c>
      <c r="O122" s="11">
        <v>29</v>
      </c>
      <c r="P122" s="11">
        <v>0</v>
      </c>
      <c r="Q122" s="11">
        <v>7</v>
      </c>
      <c r="R122" s="11">
        <v>4</v>
      </c>
      <c r="S122" s="11">
        <v>1</v>
      </c>
      <c r="T122" s="11">
        <v>1</v>
      </c>
      <c r="U122" s="11">
        <v>0</v>
      </c>
      <c r="V122" s="11">
        <v>1</v>
      </c>
      <c r="W122" s="11">
        <v>3</v>
      </c>
      <c r="X122" s="11">
        <v>0</v>
      </c>
      <c r="Y122" s="11">
        <v>6</v>
      </c>
      <c r="Z122" s="11">
        <v>0</v>
      </c>
      <c r="AA122" s="11">
        <v>2</v>
      </c>
      <c r="AB122" s="11">
        <v>0</v>
      </c>
      <c r="AC122" s="11">
        <v>0</v>
      </c>
      <c r="AD122" s="11">
        <v>0</v>
      </c>
      <c r="AE122" s="11">
        <v>17</v>
      </c>
      <c r="AF122" s="11">
        <v>0</v>
      </c>
    </row>
    <row r="123" spans="1:32">
      <c r="A123" t="s">
        <v>72</v>
      </c>
      <c r="B123">
        <v>2021</v>
      </c>
      <c r="C123" t="str">
        <f t="shared" si="4"/>
        <v>2021-Q4</v>
      </c>
      <c r="D123" t="s">
        <v>43</v>
      </c>
      <c r="E123" t="str">
        <f t="shared" si="3"/>
        <v>South East</v>
      </c>
      <c r="F123" s="5">
        <v>14</v>
      </c>
      <c r="G123" s="5">
        <v>13</v>
      </c>
      <c r="H123" s="5">
        <v>3</v>
      </c>
      <c r="I123" s="5">
        <v>30</v>
      </c>
      <c r="J123" s="5">
        <v>87</v>
      </c>
      <c r="K123" s="5">
        <v>29</v>
      </c>
      <c r="L123" s="5">
        <v>116</v>
      </c>
      <c r="M123" s="5">
        <v>171</v>
      </c>
      <c r="N123" s="6">
        <f t="shared" si="5"/>
        <v>0.25</v>
      </c>
      <c r="O123" s="11">
        <v>16</v>
      </c>
      <c r="P123" s="11">
        <v>0</v>
      </c>
      <c r="Q123" s="11">
        <v>2</v>
      </c>
      <c r="R123" s="11">
        <v>0</v>
      </c>
      <c r="S123" s="11">
        <v>1</v>
      </c>
      <c r="T123" s="11">
        <v>0</v>
      </c>
      <c r="U123" s="11">
        <v>0</v>
      </c>
      <c r="V123" s="11">
        <v>4</v>
      </c>
      <c r="W123" s="11">
        <v>4</v>
      </c>
      <c r="X123" s="11">
        <v>0</v>
      </c>
      <c r="Y123" s="11">
        <v>2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1</v>
      </c>
      <c r="AF123" s="11">
        <v>3</v>
      </c>
    </row>
    <row r="124" spans="1:32">
      <c r="A124" t="s">
        <v>72</v>
      </c>
      <c r="B124">
        <v>2021</v>
      </c>
      <c r="C124" t="str">
        <f t="shared" si="4"/>
        <v>2021-Q4</v>
      </c>
      <c r="D124" t="s">
        <v>44</v>
      </c>
      <c r="E124" t="str">
        <f t="shared" si="3"/>
        <v>South South</v>
      </c>
      <c r="F124" s="5">
        <v>24</v>
      </c>
      <c r="G124" s="5">
        <v>31</v>
      </c>
      <c r="H124" s="5">
        <v>8</v>
      </c>
      <c r="I124" s="5">
        <v>63</v>
      </c>
      <c r="J124" s="5">
        <v>125</v>
      </c>
      <c r="K124" s="5">
        <v>40</v>
      </c>
      <c r="L124" s="5">
        <v>165</v>
      </c>
      <c r="M124" s="5">
        <v>397</v>
      </c>
      <c r="N124" s="6">
        <f t="shared" si="5"/>
        <v>0.24242424242424243</v>
      </c>
      <c r="O124" s="11">
        <v>61</v>
      </c>
      <c r="P124" s="11">
        <v>0</v>
      </c>
      <c r="Q124" s="11">
        <v>1</v>
      </c>
      <c r="R124" s="11">
        <v>0</v>
      </c>
      <c r="S124" s="11">
        <v>6</v>
      </c>
      <c r="T124" s="11">
        <v>0</v>
      </c>
      <c r="U124" s="11">
        <v>0</v>
      </c>
      <c r="V124" s="11">
        <v>3</v>
      </c>
      <c r="W124" s="11">
        <v>2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14</v>
      </c>
      <c r="AF124" s="11">
        <v>0</v>
      </c>
    </row>
    <row r="125" spans="1:32">
      <c r="A125" t="s">
        <v>72</v>
      </c>
      <c r="B125">
        <v>2021</v>
      </c>
      <c r="C125" t="str">
        <f t="shared" si="4"/>
        <v>2021-Q4</v>
      </c>
      <c r="D125" t="s">
        <v>45</v>
      </c>
      <c r="E125" t="str">
        <f t="shared" si="3"/>
        <v>South West</v>
      </c>
      <c r="F125" s="5">
        <v>3</v>
      </c>
      <c r="G125" s="5">
        <v>17</v>
      </c>
      <c r="H125" s="5">
        <v>7</v>
      </c>
      <c r="I125" s="5">
        <v>27</v>
      </c>
      <c r="J125" s="5">
        <v>62</v>
      </c>
      <c r="K125" s="5">
        <v>5</v>
      </c>
      <c r="L125" s="5">
        <v>67</v>
      </c>
      <c r="M125" s="5">
        <v>178</v>
      </c>
      <c r="N125" s="6">
        <f t="shared" si="5"/>
        <v>7.4626865671641784E-2</v>
      </c>
      <c r="O125" s="11">
        <v>18</v>
      </c>
      <c r="P125" s="11">
        <v>0</v>
      </c>
      <c r="Q125" s="11">
        <v>0</v>
      </c>
      <c r="R125" s="11">
        <v>0</v>
      </c>
      <c r="S125" s="11">
        <v>5</v>
      </c>
      <c r="T125" s="11">
        <v>0</v>
      </c>
      <c r="U125" s="11">
        <v>0</v>
      </c>
      <c r="V125" s="11">
        <v>1</v>
      </c>
      <c r="W125" s="11">
        <v>0</v>
      </c>
      <c r="X125" s="11">
        <v>0</v>
      </c>
      <c r="Y125" s="11">
        <v>5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9</v>
      </c>
      <c r="AF125" s="11">
        <v>0</v>
      </c>
    </row>
    <row r="126" spans="1:32">
      <c r="A126" t="s">
        <v>72</v>
      </c>
      <c r="B126">
        <v>2021</v>
      </c>
      <c r="C126" t="str">
        <f t="shared" si="4"/>
        <v>2021-Q4</v>
      </c>
      <c r="D126" t="s">
        <v>46</v>
      </c>
      <c r="E126" t="str">
        <f t="shared" si="3"/>
        <v>South East</v>
      </c>
      <c r="F126" s="5">
        <v>16</v>
      </c>
      <c r="G126" s="5">
        <v>29</v>
      </c>
      <c r="H126" s="5">
        <v>11</v>
      </c>
      <c r="I126" s="5">
        <v>56</v>
      </c>
      <c r="J126" s="5">
        <v>134</v>
      </c>
      <c r="K126" s="5">
        <v>21</v>
      </c>
      <c r="L126" s="5">
        <v>155</v>
      </c>
      <c r="M126" s="5">
        <v>348</v>
      </c>
      <c r="N126" s="6">
        <f t="shared" si="5"/>
        <v>0.13548387096774195</v>
      </c>
      <c r="O126" s="11">
        <v>24</v>
      </c>
      <c r="P126" s="11">
        <v>0</v>
      </c>
      <c r="Q126" s="11">
        <v>8</v>
      </c>
      <c r="R126" s="11">
        <v>0</v>
      </c>
      <c r="S126" s="11">
        <v>14</v>
      </c>
      <c r="T126" s="11">
        <v>0</v>
      </c>
      <c r="U126" s="11">
        <v>0</v>
      </c>
      <c r="V126" s="11">
        <v>2</v>
      </c>
      <c r="W126" s="11">
        <v>1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13</v>
      </c>
      <c r="AF126" s="11">
        <v>1</v>
      </c>
    </row>
    <row r="127" spans="1:32">
      <c r="A127" t="s">
        <v>72</v>
      </c>
      <c r="B127">
        <v>2021</v>
      </c>
      <c r="C127" t="str">
        <f t="shared" si="4"/>
        <v>2021-Q4</v>
      </c>
      <c r="D127" t="s">
        <v>47</v>
      </c>
      <c r="E127" t="str">
        <f t="shared" si="3"/>
        <v>North Central</v>
      </c>
      <c r="F127" s="5">
        <v>50</v>
      </c>
      <c r="G127" s="5">
        <v>190</v>
      </c>
      <c r="H127" s="5">
        <v>40</v>
      </c>
      <c r="I127" s="5">
        <v>280</v>
      </c>
      <c r="J127" s="5">
        <v>621</v>
      </c>
      <c r="K127" s="5">
        <v>66</v>
      </c>
      <c r="L127" s="5">
        <v>687</v>
      </c>
      <c r="M127" s="5">
        <v>1424</v>
      </c>
      <c r="N127" s="6">
        <f t="shared" si="5"/>
        <v>9.606986899563319E-2</v>
      </c>
      <c r="O127" s="11">
        <v>172</v>
      </c>
      <c r="P127" s="11">
        <v>0</v>
      </c>
      <c r="Q127" s="11">
        <v>8</v>
      </c>
      <c r="R127" s="11">
        <v>3</v>
      </c>
      <c r="S127" s="11">
        <v>4</v>
      </c>
      <c r="T127" s="11">
        <v>0</v>
      </c>
      <c r="U127" s="11">
        <v>3</v>
      </c>
      <c r="V127" s="11">
        <v>6</v>
      </c>
      <c r="W127" s="11">
        <v>31</v>
      </c>
      <c r="X127" s="11">
        <v>0</v>
      </c>
      <c r="Y127" s="11">
        <v>15</v>
      </c>
      <c r="Z127" s="11">
        <v>5</v>
      </c>
      <c r="AA127" s="11">
        <v>2</v>
      </c>
      <c r="AB127" s="11">
        <v>0</v>
      </c>
      <c r="AC127" s="11">
        <v>0</v>
      </c>
      <c r="AD127" s="11">
        <v>0</v>
      </c>
      <c r="AE127" s="11">
        <v>74</v>
      </c>
      <c r="AF127" s="11">
        <v>5</v>
      </c>
    </row>
    <row r="128" spans="1:32">
      <c r="A128" t="s">
        <v>72</v>
      </c>
      <c r="B128">
        <v>2021</v>
      </c>
      <c r="C128" t="str">
        <f t="shared" si="4"/>
        <v>2021-Q4</v>
      </c>
      <c r="D128" t="s">
        <v>48</v>
      </c>
      <c r="E128" t="str">
        <f t="shared" si="3"/>
        <v>North East</v>
      </c>
      <c r="F128" s="5">
        <v>17</v>
      </c>
      <c r="G128" s="5">
        <v>71</v>
      </c>
      <c r="H128" s="5">
        <v>2</v>
      </c>
      <c r="I128" s="5">
        <v>90</v>
      </c>
      <c r="J128" s="5">
        <v>256</v>
      </c>
      <c r="K128" s="5">
        <v>30</v>
      </c>
      <c r="L128" s="5">
        <v>286</v>
      </c>
      <c r="M128" s="5">
        <v>472</v>
      </c>
      <c r="N128" s="6">
        <f t="shared" si="5"/>
        <v>0.1048951048951049</v>
      </c>
      <c r="O128" s="11">
        <v>44</v>
      </c>
      <c r="P128" s="11">
        <v>5</v>
      </c>
      <c r="Q128" s="11">
        <v>7</v>
      </c>
      <c r="R128" s="11">
        <v>0</v>
      </c>
      <c r="S128" s="11">
        <v>0</v>
      </c>
      <c r="T128" s="11">
        <v>5</v>
      </c>
      <c r="U128" s="11">
        <v>0</v>
      </c>
      <c r="V128" s="11">
        <v>5</v>
      </c>
      <c r="W128" s="11">
        <v>27</v>
      </c>
      <c r="X128" s="11">
        <v>1</v>
      </c>
      <c r="Y128" s="11">
        <v>2</v>
      </c>
      <c r="Z128" s="11">
        <v>4</v>
      </c>
      <c r="AA128" s="11">
        <v>0</v>
      </c>
      <c r="AB128" s="11">
        <v>0</v>
      </c>
      <c r="AC128" s="11">
        <v>0</v>
      </c>
      <c r="AD128" s="11">
        <v>0</v>
      </c>
      <c r="AE128" s="11">
        <v>12</v>
      </c>
      <c r="AF128" s="11">
        <v>0</v>
      </c>
    </row>
    <row r="129" spans="1:32">
      <c r="A129" t="s">
        <v>72</v>
      </c>
      <c r="B129">
        <v>2021</v>
      </c>
      <c r="C129" t="str">
        <f t="shared" si="4"/>
        <v>2021-Q4</v>
      </c>
      <c r="D129" t="s">
        <v>49</v>
      </c>
      <c r="E129" t="str">
        <f t="shared" si="3"/>
        <v>South East</v>
      </c>
      <c r="F129" s="5">
        <v>11</v>
      </c>
      <c r="G129" s="5">
        <v>25</v>
      </c>
      <c r="H129" s="5">
        <v>1</v>
      </c>
      <c r="I129" s="5">
        <v>37</v>
      </c>
      <c r="J129" s="5">
        <v>130</v>
      </c>
      <c r="K129" s="5">
        <v>22</v>
      </c>
      <c r="L129" s="5">
        <v>152</v>
      </c>
      <c r="M129" s="5">
        <v>328</v>
      </c>
      <c r="N129" s="6">
        <f t="shared" si="5"/>
        <v>0.14473684210526316</v>
      </c>
      <c r="O129" s="11">
        <v>20</v>
      </c>
      <c r="P129" s="11">
        <v>0</v>
      </c>
      <c r="Q129" s="11">
        <v>2</v>
      </c>
      <c r="R129" s="11">
        <v>0</v>
      </c>
      <c r="S129" s="11">
        <v>5</v>
      </c>
      <c r="T129" s="11">
        <v>0</v>
      </c>
      <c r="U129" s="11">
        <v>0</v>
      </c>
      <c r="V129" s="11">
        <v>3</v>
      </c>
      <c r="W129" s="11">
        <v>5</v>
      </c>
      <c r="X129" s="11">
        <v>1</v>
      </c>
      <c r="Y129" s="11">
        <v>2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</row>
    <row r="130" spans="1:32">
      <c r="A130" t="s">
        <v>72</v>
      </c>
      <c r="B130">
        <v>2021</v>
      </c>
      <c r="C130" t="str">
        <f t="shared" si="4"/>
        <v>2021-Q4</v>
      </c>
      <c r="D130" t="s">
        <v>50</v>
      </c>
      <c r="E130" t="str">
        <f t="shared" ref="E130:E193" si="6">IF(OR(D130="Adamawa", D130="Bauchi", D130="Borno", D130="Gombe", D130="Taraba", D130="Yobe"), "North East",
IF(OR(D130="Jigawa", D130="Kaduna", D130="Kano", D130="Katsina", D130="Kebbi", D130="Sokoto", D130="Zamfara"), "North West",
IF(OR(D130="Benue", D130="Kogi", D130="Kwara", D130="Nasarawa", D130="Niger", D130="Plateau", D130="FCT"), "North Central",
IF(OR(D130="Abia", D130="Anambra", D130="Ebonyi", D130="Enugu", D130="Imo"), "South East",
IF(OR(D130="Akwa Ibom", D130="Bayelsa", D130="Cross River", D130="Delta", D130="Edo", D130="Rivers"), "South South",
IF(OR(D130="Ekiti", D130="Lagos", D130="Ogun", D130="Ondo", D130="Osun", D130="Oyo"), "South West",
"Zone Not Found"))))))</f>
        <v>North West</v>
      </c>
      <c r="F130" s="5">
        <v>34</v>
      </c>
      <c r="G130" s="5">
        <v>94</v>
      </c>
      <c r="H130" s="5">
        <v>1</v>
      </c>
      <c r="I130" s="5">
        <v>129</v>
      </c>
      <c r="J130" s="5">
        <v>510</v>
      </c>
      <c r="K130" s="5">
        <v>62</v>
      </c>
      <c r="L130" s="5">
        <v>572</v>
      </c>
      <c r="M130" s="5">
        <v>858</v>
      </c>
      <c r="N130" s="6">
        <f t="shared" si="5"/>
        <v>0.10839160839160839</v>
      </c>
      <c r="O130" s="11">
        <v>142</v>
      </c>
      <c r="P130" s="11">
        <v>2</v>
      </c>
      <c r="Q130" s="11">
        <v>14</v>
      </c>
      <c r="R130" s="11">
        <v>0</v>
      </c>
      <c r="S130" s="11">
        <v>0</v>
      </c>
      <c r="T130" s="11">
        <v>9</v>
      </c>
      <c r="U130" s="11">
        <v>2</v>
      </c>
      <c r="V130" s="11">
        <v>7</v>
      </c>
      <c r="W130" s="11">
        <v>4</v>
      </c>
      <c r="X130" s="11">
        <v>1</v>
      </c>
      <c r="Y130" s="11">
        <v>10</v>
      </c>
      <c r="Z130" s="11">
        <v>9</v>
      </c>
      <c r="AA130" s="11">
        <v>0</v>
      </c>
      <c r="AB130" s="11">
        <v>0</v>
      </c>
      <c r="AC130" s="11">
        <v>0</v>
      </c>
      <c r="AD130" s="11">
        <v>0</v>
      </c>
      <c r="AE130" s="11">
        <v>12</v>
      </c>
      <c r="AF130" s="11">
        <v>9</v>
      </c>
    </row>
    <row r="131" spans="1:32">
      <c r="A131" t="s">
        <v>72</v>
      </c>
      <c r="B131">
        <v>2021</v>
      </c>
      <c r="C131" t="str">
        <f t="shared" ref="C131:C194" si="7">B131&amp;"-"&amp;A131</f>
        <v>2021-Q4</v>
      </c>
      <c r="D131" t="s">
        <v>51</v>
      </c>
      <c r="E131" t="str">
        <f t="shared" si="6"/>
        <v>North West</v>
      </c>
      <c r="F131" s="5">
        <v>60</v>
      </c>
      <c r="G131" s="5">
        <v>112</v>
      </c>
      <c r="H131" s="5">
        <v>5</v>
      </c>
      <c r="I131" s="5">
        <v>177</v>
      </c>
      <c r="J131" s="5">
        <v>691</v>
      </c>
      <c r="K131" s="5">
        <v>120</v>
      </c>
      <c r="L131" s="5">
        <v>811</v>
      </c>
      <c r="M131" s="5">
        <v>1436</v>
      </c>
      <c r="N131" s="6">
        <f t="shared" ref="N131:N194" si="8">K131/L131</f>
        <v>0.14796547472256474</v>
      </c>
      <c r="O131" s="11">
        <v>121</v>
      </c>
      <c r="P131" s="11">
        <v>0</v>
      </c>
      <c r="Q131" s="11">
        <v>8</v>
      </c>
      <c r="R131" s="11">
        <v>2</v>
      </c>
      <c r="S131" s="11">
        <v>2</v>
      </c>
      <c r="T131" s="11">
        <v>1</v>
      </c>
      <c r="U131" s="11">
        <v>3</v>
      </c>
      <c r="V131" s="11">
        <v>16</v>
      </c>
      <c r="W131" s="11">
        <v>9</v>
      </c>
      <c r="X131" s="11">
        <v>4</v>
      </c>
      <c r="Y131" s="11">
        <v>10</v>
      </c>
      <c r="Z131" s="11">
        <v>1</v>
      </c>
      <c r="AA131" s="11">
        <v>0</v>
      </c>
      <c r="AB131" s="11">
        <v>0</v>
      </c>
      <c r="AC131" s="11">
        <v>0</v>
      </c>
      <c r="AD131" s="11">
        <v>5</v>
      </c>
      <c r="AE131" s="11">
        <v>0</v>
      </c>
      <c r="AF131" s="11">
        <v>6</v>
      </c>
    </row>
    <row r="132" spans="1:32">
      <c r="A132" t="s">
        <v>72</v>
      </c>
      <c r="B132">
        <v>2021</v>
      </c>
      <c r="C132" t="str">
        <f t="shared" si="7"/>
        <v>2021-Q4</v>
      </c>
      <c r="D132" t="s">
        <v>52</v>
      </c>
      <c r="E132" t="str">
        <f t="shared" si="6"/>
        <v>North West</v>
      </c>
      <c r="F132" s="5">
        <v>21</v>
      </c>
      <c r="G132" s="5">
        <v>19</v>
      </c>
      <c r="H132" s="5">
        <v>0</v>
      </c>
      <c r="I132" s="5">
        <v>40</v>
      </c>
      <c r="J132" s="5">
        <v>190</v>
      </c>
      <c r="K132" s="5">
        <v>40</v>
      </c>
      <c r="L132" s="5">
        <v>230</v>
      </c>
      <c r="M132" s="5">
        <v>385</v>
      </c>
      <c r="N132" s="6">
        <f t="shared" si="8"/>
        <v>0.17391304347826086</v>
      </c>
      <c r="O132" s="11">
        <v>30</v>
      </c>
      <c r="P132" s="11">
        <v>0</v>
      </c>
      <c r="Q132" s="11">
        <v>1</v>
      </c>
      <c r="R132" s="11">
        <v>1</v>
      </c>
      <c r="S132" s="11">
        <v>0</v>
      </c>
      <c r="T132" s="11">
        <v>1</v>
      </c>
      <c r="U132" s="11">
        <v>1</v>
      </c>
      <c r="V132" s="11">
        <v>3</v>
      </c>
      <c r="W132" s="11">
        <v>3</v>
      </c>
      <c r="X132" s="11">
        <v>0</v>
      </c>
      <c r="Y132" s="11">
        <v>6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5</v>
      </c>
      <c r="AF132" s="11">
        <v>0</v>
      </c>
    </row>
    <row r="133" spans="1:32">
      <c r="A133" t="s">
        <v>72</v>
      </c>
      <c r="B133">
        <v>2021</v>
      </c>
      <c r="C133" t="str">
        <f t="shared" si="7"/>
        <v>2021-Q4</v>
      </c>
      <c r="D133" t="s">
        <v>53</v>
      </c>
      <c r="E133" t="str">
        <f t="shared" si="6"/>
        <v>North West</v>
      </c>
      <c r="F133" s="5">
        <v>6</v>
      </c>
      <c r="G133" s="5">
        <v>4</v>
      </c>
      <c r="H133" s="5">
        <v>0</v>
      </c>
      <c r="I133" s="5">
        <v>10</v>
      </c>
      <c r="J133" s="5">
        <v>38</v>
      </c>
      <c r="K133" s="5">
        <v>13</v>
      </c>
      <c r="L133" s="5">
        <v>51</v>
      </c>
      <c r="M133" s="5">
        <v>73</v>
      </c>
      <c r="N133" s="6">
        <f t="shared" si="8"/>
        <v>0.25490196078431371</v>
      </c>
      <c r="O133" s="11">
        <v>11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1</v>
      </c>
      <c r="W133" s="11">
        <v>3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2</v>
      </c>
    </row>
    <row r="134" spans="1:32">
      <c r="A134" t="s">
        <v>72</v>
      </c>
      <c r="B134">
        <v>2021</v>
      </c>
      <c r="C134" t="str">
        <f t="shared" si="7"/>
        <v>2021-Q4</v>
      </c>
      <c r="D134" t="s">
        <v>54</v>
      </c>
      <c r="E134" t="str">
        <f t="shared" si="6"/>
        <v>North West</v>
      </c>
      <c r="F134" s="5">
        <v>16</v>
      </c>
      <c r="G134" s="5">
        <v>44</v>
      </c>
      <c r="H134" s="5">
        <v>2</v>
      </c>
      <c r="I134" s="5">
        <v>62</v>
      </c>
      <c r="J134" s="5">
        <v>248</v>
      </c>
      <c r="K134" s="5">
        <v>28</v>
      </c>
      <c r="L134" s="5">
        <v>276</v>
      </c>
      <c r="M134" s="5">
        <v>378</v>
      </c>
      <c r="N134" s="6">
        <f t="shared" si="8"/>
        <v>0.10144927536231885</v>
      </c>
      <c r="O134" s="11">
        <v>47</v>
      </c>
      <c r="P134" s="11">
        <v>1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8</v>
      </c>
      <c r="W134" s="11">
        <v>5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1</v>
      </c>
      <c r="AF134" s="11">
        <v>2</v>
      </c>
    </row>
    <row r="135" spans="1:32">
      <c r="A135" t="s">
        <v>72</v>
      </c>
      <c r="B135">
        <v>2021</v>
      </c>
      <c r="C135" t="str">
        <f t="shared" si="7"/>
        <v>2021-Q4</v>
      </c>
      <c r="D135" t="s">
        <v>55</v>
      </c>
      <c r="E135" t="str">
        <f t="shared" si="6"/>
        <v>North Central</v>
      </c>
      <c r="F135" s="5">
        <v>36</v>
      </c>
      <c r="G135" s="5">
        <v>84</v>
      </c>
      <c r="H135" s="5">
        <v>17</v>
      </c>
      <c r="I135" s="5">
        <v>137</v>
      </c>
      <c r="J135" s="5">
        <v>428</v>
      </c>
      <c r="K135" s="5">
        <v>68</v>
      </c>
      <c r="L135" s="5">
        <v>496</v>
      </c>
      <c r="M135" s="5">
        <v>1207</v>
      </c>
      <c r="N135" s="6">
        <f t="shared" si="8"/>
        <v>0.13709677419354838</v>
      </c>
      <c r="O135" s="11">
        <v>105</v>
      </c>
      <c r="P135" s="11">
        <v>0</v>
      </c>
      <c r="Q135" s="11">
        <v>5</v>
      </c>
      <c r="R135" s="11">
        <v>7</v>
      </c>
      <c r="S135" s="11">
        <v>15</v>
      </c>
      <c r="T135" s="11">
        <v>1</v>
      </c>
      <c r="U135" s="11">
        <v>0</v>
      </c>
      <c r="V135" s="11">
        <v>20</v>
      </c>
      <c r="W135" s="11">
        <v>7</v>
      </c>
      <c r="X135" s="11">
        <v>0</v>
      </c>
      <c r="Y135" s="11">
        <v>16</v>
      </c>
      <c r="Z135" s="11">
        <v>3</v>
      </c>
      <c r="AA135" s="11">
        <v>5</v>
      </c>
      <c r="AB135" s="11">
        <v>1</v>
      </c>
      <c r="AC135" s="11">
        <v>0</v>
      </c>
      <c r="AD135" s="11">
        <v>0</v>
      </c>
      <c r="AE135" s="11">
        <v>39</v>
      </c>
      <c r="AF135" s="11">
        <v>8</v>
      </c>
    </row>
    <row r="136" spans="1:32">
      <c r="A136" t="s">
        <v>72</v>
      </c>
      <c r="B136">
        <v>2021</v>
      </c>
      <c r="C136" t="str">
        <f t="shared" si="7"/>
        <v>2021-Q4</v>
      </c>
      <c r="D136" t="s">
        <v>56</v>
      </c>
      <c r="E136" t="str">
        <f t="shared" si="6"/>
        <v>North Central</v>
      </c>
      <c r="F136" s="5">
        <v>35</v>
      </c>
      <c r="G136" s="5">
        <v>63</v>
      </c>
      <c r="H136" s="5">
        <v>10</v>
      </c>
      <c r="I136" s="5">
        <v>108</v>
      </c>
      <c r="J136" s="5">
        <v>365</v>
      </c>
      <c r="K136" s="5">
        <v>76</v>
      </c>
      <c r="L136" s="5">
        <v>441</v>
      </c>
      <c r="M136" s="5">
        <v>782</v>
      </c>
      <c r="N136" s="6">
        <f t="shared" si="8"/>
        <v>0.17233560090702948</v>
      </c>
      <c r="O136" s="11">
        <v>64</v>
      </c>
      <c r="P136" s="11">
        <v>0</v>
      </c>
      <c r="Q136" s="11">
        <v>4</v>
      </c>
      <c r="R136" s="11">
        <v>6</v>
      </c>
      <c r="S136" s="11">
        <v>2</v>
      </c>
      <c r="T136" s="11">
        <v>0</v>
      </c>
      <c r="U136" s="11">
        <v>0</v>
      </c>
      <c r="V136" s="11">
        <v>18</v>
      </c>
      <c r="W136" s="11">
        <v>9</v>
      </c>
      <c r="X136" s="11">
        <v>0</v>
      </c>
      <c r="Y136" s="11">
        <v>3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26</v>
      </c>
      <c r="AF136" s="11">
        <v>4</v>
      </c>
    </row>
    <row r="137" spans="1:32">
      <c r="A137" t="s">
        <v>72</v>
      </c>
      <c r="B137">
        <v>2021</v>
      </c>
      <c r="C137" t="str">
        <f t="shared" si="7"/>
        <v>2021-Q4</v>
      </c>
      <c r="D137" t="s">
        <v>57</v>
      </c>
      <c r="E137" t="str">
        <f t="shared" si="6"/>
        <v>South West</v>
      </c>
      <c r="F137" s="5">
        <v>24</v>
      </c>
      <c r="G137" s="5">
        <v>84</v>
      </c>
      <c r="H137" s="5">
        <v>51</v>
      </c>
      <c r="I137" s="5">
        <v>159</v>
      </c>
      <c r="J137" s="5">
        <v>262</v>
      </c>
      <c r="K137" s="5">
        <v>43</v>
      </c>
      <c r="L137" s="5">
        <v>305</v>
      </c>
      <c r="M137" s="5">
        <v>751</v>
      </c>
      <c r="N137" s="6">
        <f t="shared" si="8"/>
        <v>0.14098360655737704</v>
      </c>
      <c r="O137" s="11">
        <v>84</v>
      </c>
      <c r="P137" s="11">
        <v>0</v>
      </c>
      <c r="Q137" s="11">
        <v>4</v>
      </c>
      <c r="R137" s="11">
        <v>17</v>
      </c>
      <c r="S137" s="11">
        <v>6</v>
      </c>
      <c r="T137" s="11">
        <v>0</v>
      </c>
      <c r="U137" s="11">
        <v>0</v>
      </c>
      <c r="V137" s="11">
        <v>12</v>
      </c>
      <c r="W137" s="11">
        <v>13</v>
      </c>
      <c r="X137" s="11">
        <v>1</v>
      </c>
      <c r="Y137" s="11">
        <v>5</v>
      </c>
      <c r="Z137" s="11">
        <v>1</v>
      </c>
      <c r="AA137" s="11">
        <v>0</v>
      </c>
      <c r="AB137" s="11">
        <v>2</v>
      </c>
      <c r="AC137" s="11">
        <v>0</v>
      </c>
      <c r="AD137" s="11">
        <v>3</v>
      </c>
      <c r="AE137" s="11">
        <v>1</v>
      </c>
      <c r="AF137" s="11">
        <v>7</v>
      </c>
    </row>
    <row r="138" spans="1:32">
      <c r="A138" t="s">
        <v>72</v>
      </c>
      <c r="B138">
        <v>2021</v>
      </c>
      <c r="C138" t="str">
        <f t="shared" si="7"/>
        <v>2021-Q4</v>
      </c>
      <c r="D138" t="s">
        <v>58</v>
      </c>
      <c r="E138" t="str">
        <f t="shared" si="6"/>
        <v>North Central</v>
      </c>
      <c r="F138" s="5">
        <v>44</v>
      </c>
      <c r="G138" s="5">
        <v>207</v>
      </c>
      <c r="H138" s="5">
        <v>12</v>
      </c>
      <c r="I138" s="5">
        <v>263</v>
      </c>
      <c r="J138" s="5">
        <v>686</v>
      </c>
      <c r="K138" s="5">
        <v>59</v>
      </c>
      <c r="L138" s="5">
        <v>745</v>
      </c>
      <c r="M138" s="5">
        <v>1417</v>
      </c>
      <c r="N138" s="6">
        <f t="shared" si="8"/>
        <v>7.9194630872483227E-2</v>
      </c>
      <c r="O138" s="11">
        <v>92</v>
      </c>
      <c r="P138" s="11">
        <v>1</v>
      </c>
      <c r="Q138" s="11">
        <v>4</v>
      </c>
      <c r="R138" s="11">
        <v>25</v>
      </c>
      <c r="S138" s="11">
        <v>9</v>
      </c>
      <c r="T138" s="11">
        <v>4</v>
      </c>
      <c r="U138" s="11">
        <v>8</v>
      </c>
      <c r="V138" s="11">
        <v>22</v>
      </c>
      <c r="W138" s="11">
        <v>20</v>
      </c>
      <c r="X138" s="11">
        <v>22</v>
      </c>
      <c r="Y138" s="11">
        <v>4</v>
      </c>
      <c r="Z138" s="11">
        <v>6</v>
      </c>
      <c r="AA138" s="11">
        <v>0</v>
      </c>
      <c r="AB138" s="11">
        <v>3</v>
      </c>
      <c r="AC138" s="11">
        <v>0</v>
      </c>
      <c r="AD138" s="11">
        <v>0</v>
      </c>
      <c r="AE138" s="11">
        <v>33</v>
      </c>
      <c r="AF138" s="11">
        <v>48</v>
      </c>
    </row>
    <row r="139" spans="1:32">
      <c r="A139" t="s">
        <v>72</v>
      </c>
      <c r="B139">
        <v>2021</v>
      </c>
      <c r="C139" t="str">
        <f t="shared" si="7"/>
        <v>2021-Q4</v>
      </c>
      <c r="D139" t="s">
        <v>59</v>
      </c>
      <c r="E139" t="str">
        <f t="shared" si="6"/>
        <v>North Central</v>
      </c>
      <c r="F139" s="5">
        <v>50</v>
      </c>
      <c r="G139" s="5">
        <v>129</v>
      </c>
      <c r="H139" s="5">
        <v>1</v>
      </c>
      <c r="I139" s="5">
        <v>180</v>
      </c>
      <c r="J139" s="5">
        <v>759</v>
      </c>
      <c r="K139" s="5">
        <v>108</v>
      </c>
      <c r="L139" s="5">
        <v>867</v>
      </c>
      <c r="M139" s="5">
        <v>1377</v>
      </c>
      <c r="N139" s="6">
        <f t="shared" si="8"/>
        <v>0.1245674740484429</v>
      </c>
      <c r="O139" s="11">
        <v>154</v>
      </c>
      <c r="P139" s="11">
        <v>0</v>
      </c>
      <c r="Q139" s="11">
        <v>7</v>
      </c>
      <c r="R139" s="11">
        <v>2</v>
      </c>
      <c r="S139" s="11">
        <v>7</v>
      </c>
      <c r="T139" s="11">
        <v>2</v>
      </c>
      <c r="U139" s="11">
        <v>0</v>
      </c>
      <c r="V139" s="11">
        <v>21</v>
      </c>
      <c r="W139" s="11">
        <v>6</v>
      </c>
      <c r="X139" s="11">
        <v>1</v>
      </c>
      <c r="Y139" s="11">
        <v>6</v>
      </c>
      <c r="Z139" s="11">
        <v>3</v>
      </c>
      <c r="AA139" s="11">
        <v>0</v>
      </c>
      <c r="AB139" s="11">
        <v>0</v>
      </c>
      <c r="AC139" s="11">
        <v>0</v>
      </c>
      <c r="AD139" s="11">
        <v>3</v>
      </c>
      <c r="AE139" s="11">
        <v>9</v>
      </c>
      <c r="AF139" s="11">
        <v>4</v>
      </c>
    </row>
    <row r="140" spans="1:32">
      <c r="A140" t="s">
        <v>72</v>
      </c>
      <c r="B140">
        <v>2021</v>
      </c>
      <c r="C140" t="str">
        <f t="shared" si="7"/>
        <v>2021-Q4</v>
      </c>
      <c r="D140" t="s">
        <v>60</v>
      </c>
      <c r="E140" t="str">
        <f t="shared" si="6"/>
        <v>South West</v>
      </c>
      <c r="F140" s="5">
        <v>71</v>
      </c>
      <c r="G140" s="5">
        <v>169</v>
      </c>
      <c r="H140" s="5">
        <v>46</v>
      </c>
      <c r="I140" s="5">
        <v>286</v>
      </c>
      <c r="J140" s="5">
        <v>633</v>
      </c>
      <c r="K140" s="5">
        <v>129</v>
      </c>
      <c r="L140" s="5">
        <v>762</v>
      </c>
      <c r="M140" s="5">
        <v>1920</v>
      </c>
      <c r="N140" s="6">
        <f t="shared" si="8"/>
        <v>0.16929133858267717</v>
      </c>
      <c r="O140" s="11">
        <v>239</v>
      </c>
      <c r="P140" s="11">
        <v>1</v>
      </c>
      <c r="Q140" s="11">
        <v>0</v>
      </c>
      <c r="R140" s="11">
        <v>17</v>
      </c>
      <c r="S140" s="11">
        <v>0</v>
      </c>
      <c r="T140" s="11">
        <v>0</v>
      </c>
      <c r="U140" s="11">
        <v>0</v>
      </c>
      <c r="V140" s="11">
        <v>18</v>
      </c>
      <c r="W140" s="11">
        <v>9</v>
      </c>
      <c r="X140" s="11">
        <v>0</v>
      </c>
      <c r="Y140" s="11">
        <v>11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4</v>
      </c>
    </row>
    <row r="141" spans="1:32">
      <c r="A141" t="s">
        <v>72</v>
      </c>
      <c r="B141">
        <v>2021</v>
      </c>
      <c r="C141" t="str">
        <f t="shared" si="7"/>
        <v>2021-Q4</v>
      </c>
      <c r="D141" t="s">
        <v>61</v>
      </c>
      <c r="E141" t="str">
        <f t="shared" si="6"/>
        <v>South West</v>
      </c>
      <c r="F141" s="5">
        <v>39</v>
      </c>
      <c r="G141" s="5">
        <v>78</v>
      </c>
      <c r="H141" s="5">
        <v>17</v>
      </c>
      <c r="I141" s="5">
        <v>134</v>
      </c>
      <c r="J141" s="5">
        <v>247</v>
      </c>
      <c r="K141" s="5">
        <v>62</v>
      </c>
      <c r="L141" s="5">
        <v>309</v>
      </c>
      <c r="M141" s="5">
        <v>797</v>
      </c>
      <c r="N141" s="6">
        <f t="shared" si="8"/>
        <v>0.20064724919093851</v>
      </c>
      <c r="O141" s="11">
        <v>95</v>
      </c>
      <c r="P141" s="11">
        <v>1</v>
      </c>
      <c r="Q141" s="11">
        <v>6</v>
      </c>
      <c r="R141" s="11">
        <v>1</v>
      </c>
      <c r="S141" s="11">
        <v>9</v>
      </c>
      <c r="T141" s="11">
        <v>1</v>
      </c>
      <c r="U141" s="11">
        <v>0</v>
      </c>
      <c r="V141" s="11">
        <v>10</v>
      </c>
      <c r="W141" s="11">
        <v>29</v>
      </c>
      <c r="X141" s="11">
        <v>5</v>
      </c>
      <c r="Y141" s="11">
        <v>2</v>
      </c>
      <c r="Z141" s="11">
        <v>0</v>
      </c>
      <c r="AA141" s="11">
        <v>0</v>
      </c>
      <c r="AB141" s="11">
        <v>0</v>
      </c>
      <c r="AC141" s="11">
        <v>0</v>
      </c>
      <c r="AD141" s="11">
        <v>2</v>
      </c>
      <c r="AE141" s="11">
        <v>1</v>
      </c>
      <c r="AF141" s="11">
        <v>0</v>
      </c>
    </row>
    <row r="142" spans="1:32">
      <c r="A142" t="s">
        <v>72</v>
      </c>
      <c r="B142">
        <v>2021</v>
      </c>
      <c r="C142" t="str">
        <f t="shared" si="7"/>
        <v>2021-Q4</v>
      </c>
      <c r="D142" t="s">
        <v>62</v>
      </c>
      <c r="E142" t="str">
        <f t="shared" si="6"/>
        <v>South West</v>
      </c>
      <c r="F142" s="5">
        <v>27</v>
      </c>
      <c r="G142" s="5">
        <v>64</v>
      </c>
      <c r="H142" s="5">
        <v>16</v>
      </c>
      <c r="I142" s="5">
        <v>107</v>
      </c>
      <c r="J142" s="5">
        <v>302</v>
      </c>
      <c r="K142" s="5">
        <v>63</v>
      </c>
      <c r="L142" s="5">
        <v>365</v>
      </c>
      <c r="M142" s="5">
        <v>813</v>
      </c>
      <c r="N142" s="6">
        <f t="shared" si="8"/>
        <v>0.17260273972602741</v>
      </c>
      <c r="O142" s="11">
        <v>73</v>
      </c>
      <c r="P142" s="11">
        <v>0</v>
      </c>
      <c r="Q142" s="11">
        <v>9</v>
      </c>
      <c r="R142" s="11">
        <v>5</v>
      </c>
      <c r="S142" s="11">
        <v>6</v>
      </c>
      <c r="T142" s="11">
        <v>0</v>
      </c>
      <c r="U142" s="11">
        <v>2</v>
      </c>
      <c r="V142" s="11">
        <v>11</v>
      </c>
      <c r="W142" s="11">
        <v>6</v>
      </c>
      <c r="X142" s="11">
        <v>1</v>
      </c>
      <c r="Y142" s="11">
        <v>19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2</v>
      </c>
    </row>
    <row r="143" spans="1:32">
      <c r="A143" t="s">
        <v>72</v>
      </c>
      <c r="B143">
        <v>2021</v>
      </c>
      <c r="C143" t="str">
        <f t="shared" si="7"/>
        <v>2021-Q4</v>
      </c>
      <c r="D143" t="s">
        <v>63</v>
      </c>
      <c r="E143" t="str">
        <f t="shared" si="6"/>
        <v>South West</v>
      </c>
      <c r="F143" s="5">
        <v>53</v>
      </c>
      <c r="G143" s="5">
        <v>98</v>
      </c>
      <c r="H143" s="5">
        <v>12</v>
      </c>
      <c r="I143" s="5">
        <v>163</v>
      </c>
      <c r="J143" s="5">
        <v>494</v>
      </c>
      <c r="K143" s="5">
        <v>93</v>
      </c>
      <c r="L143" s="5">
        <v>587</v>
      </c>
      <c r="M143" s="5">
        <v>1213</v>
      </c>
      <c r="N143" s="6">
        <f t="shared" si="8"/>
        <v>0.15843270868824533</v>
      </c>
      <c r="O143" s="11">
        <v>101</v>
      </c>
      <c r="P143" s="11">
        <v>1</v>
      </c>
      <c r="Q143" s="11">
        <v>12</v>
      </c>
      <c r="R143" s="11">
        <v>7</v>
      </c>
      <c r="S143" s="11">
        <v>8</v>
      </c>
      <c r="T143" s="11">
        <v>2</v>
      </c>
      <c r="U143" s="11">
        <v>2</v>
      </c>
      <c r="V143" s="11">
        <v>15</v>
      </c>
      <c r="W143" s="11">
        <v>17</v>
      </c>
      <c r="X143" s="11">
        <v>2</v>
      </c>
      <c r="Y143" s="11">
        <v>10</v>
      </c>
      <c r="Z143" s="11">
        <v>0</v>
      </c>
      <c r="AA143" s="11">
        <v>1</v>
      </c>
      <c r="AB143" s="11">
        <v>1</v>
      </c>
      <c r="AC143" s="11">
        <v>0</v>
      </c>
      <c r="AD143" s="11">
        <v>5</v>
      </c>
      <c r="AE143" s="11">
        <v>1</v>
      </c>
      <c r="AF143" s="11">
        <v>0</v>
      </c>
    </row>
    <row r="144" spans="1:32">
      <c r="A144" t="s">
        <v>72</v>
      </c>
      <c r="B144">
        <v>2021</v>
      </c>
      <c r="C144" t="str">
        <f t="shared" si="7"/>
        <v>2021-Q4</v>
      </c>
      <c r="D144" t="s">
        <v>64</v>
      </c>
      <c r="E144" t="str">
        <f t="shared" si="6"/>
        <v>North Central</v>
      </c>
      <c r="F144" s="5">
        <v>17</v>
      </c>
      <c r="G144" s="5">
        <v>51</v>
      </c>
      <c r="H144" s="5">
        <v>6</v>
      </c>
      <c r="I144" s="5">
        <v>74</v>
      </c>
      <c r="J144" s="5">
        <v>261</v>
      </c>
      <c r="K144" s="5">
        <v>34</v>
      </c>
      <c r="L144" s="5">
        <v>295</v>
      </c>
      <c r="M144" s="5">
        <v>529</v>
      </c>
      <c r="N144" s="6">
        <f t="shared" si="8"/>
        <v>0.11525423728813559</v>
      </c>
      <c r="O144" s="11">
        <v>31</v>
      </c>
      <c r="P144" s="11">
        <v>0</v>
      </c>
      <c r="Q144" s="11">
        <v>2</v>
      </c>
      <c r="R144" s="11">
        <v>5</v>
      </c>
      <c r="S144" s="11">
        <v>21</v>
      </c>
      <c r="T144" s="11">
        <v>0</v>
      </c>
      <c r="U144" s="11">
        <v>0</v>
      </c>
      <c r="V144" s="11">
        <v>5</v>
      </c>
      <c r="W144" s="11">
        <v>6</v>
      </c>
      <c r="X144" s="11">
        <v>0</v>
      </c>
      <c r="Y144" s="11">
        <v>0</v>
      </c>
      <c r="Z144" s="11">
        <v>0</v>
      </c>
      <c r="AA144" s="11">
        <v>0</v>
      </c>
      <c r="AB144" s="11">
        <v>2</v>
      </c>
      <c r="AC144" s="11">
        <v>0</v>
      </c>
      <c r="AD144" s="11">
        <v>0</v>
      </c>
      <c r="AE144" s="11">
        <v>2</v>
      </c>
      <c r="AF144" s="11">
        <v>6</v>
      </c>
    </row>
    <row r="145" spans="1:32">
      <c r="A145" t="s">
        <v>72</v>
      </c>
      <c r="B145">
        <v>2021</v>
      </c>
      <c r="C145" t="str">
        <f t="shared" si="7"/>
        <v>2021-Q4</v>
      </c>
      <c r="D145" t="s">
        <v>65</v>
      </c>
      <c r="E145" t="str">
        <f t="shared" si="6"/>
        <v>South South</v>
      </c>
      <c r="F145" s="5">
        <v>11</v>
      </c>
      <c r="G145" s="5">
        <v>12</v>
      </c>
      <c r="H145" s="5">
        <v>4</v>
      </c>
      <c r="I145" s="5">
        <v>27</v>
      </c>
      <c r="J145" s="5">
        <v>135</v>
      </c>
      <c r="K145" s="5">
        <v>23</v>
      </c>
      <c r="L145" s="5">
        <v>158</v>
      </c>
      <c r="M145" s="5">
        <v>239</v>
      </c>
      <c r="N145" s="6">
        <f t="shared" si="8"/>
        <v>0.14556962025316456</v>
      </c>
      <c r="O145" s="11">
        <v>14</v>
      </c>
      <c r="P145" s="11">
        <v>0</v>
      </c>
      <c r="Q145" s="11">
        <v>5</v>
      </c>
      <c r="R145" s="11">
        <v>0</v>
      </c>
      <c r="S145" s="11">
        <v>6</v>
      </c>
      <c r="T145" s="11">
        <v>0</v>
      </c>
      <c r="U145" s="11">
        <v>2</v>
      </c>
      <c r="V145" s="11">
        <v>4</v>
      </c>
      <c r="W145" s="11">
        <v>3</v>
      </c>
      <c r="X145" s="11">
        <v>0</v>
      </c>
      <c r="Y145" s="11">
        <v>2</v>
      </c>
      <c r="Z145" s="11">
        <v>1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</row>
    <row r="146" spans="1:32">
      <c r="A146" t="s">
        <v>72</v>
      </c>
      <c r="B146">
        <v>2021</v>
      </c>
      <c r="C146" t="str">
        <f t="shared" si="7"/>
        <v>2021-Q4</v>
      </c>
      <c r="D146" t="s">
        <v>66</v>
      </c>
      <c r="E146" t="str">
        <f t="shared" si="6"/>
        <v>North West</v>
      </c>
      <c r="F146" s="5">
        <v>13</v>
      </c>
      <c r="G146" s="5">
        <v>22</v>
      </c>
      <c r="H146" s="5">
        <v>0</v>
      </c>
      <c r="I146" s="5">
        <v>35</v>
      </c>
      <c r="J146" s="5">
        <v>146</v>
      </c>
      <c r="K146" s="5">
        <v>25</v>
      </c>
      <c r="L146" s="5">
        <v>171</v>
      </c>
      <c r="M146" s="5">
        <v>224</v>
      </c>
      <c r="N146" s="6">
        <f t="shared" si="8"/>
        <v>0.14619883040935672</v>
      </c>
      <c r="O146" s="11">
        <v>61</v>
      </c>
      <c r="P146" s="11">
        <v>0</v>
      </c>
      <c r="Q146" s="11">
        <v>2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1</v>
      </c>
      <c r="X146" s="11">
        <v>0</v>
      </c>
      <c r="Y146" s="11">
        <v>1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</row>
    <row r="147" spans="1:32">
      <c r="A147" t="s">
        <v>72</v>
      </c>
      <c r="B147">
        <v>2021</v>
      </c>
      <c r="C147" t="str">
        <f t="shared" si="7"/>
        <v>2021-Q4</v>
      </c>
      <c r="D147" t="s">
        <v>67</v>
      </c>
      <c r="E147" t="str">
        <f t="shared" si="6"/>
        <v>North East</v>
      </c>
      <c r="F147" s="5">
        <v>9</v>
      </c>
      <c r="G147" s="5">
        <v>61</v>
      </c>
      <c r="H147" s="5">
        <v>0</v>
      </c>
      <c r="I147" s="5">
        <v>70</v>
      </c>
      <c r="J147" s="5">
        <v>178</v>
      </c>
      <c r="K147" s="5">
        <v>9</v>
      </c>
      <c r="L147" s="5">
        <v>187</v>
      </c>
      <c r="M147" s="5">
        <v>320</v>
      </c>
      <c r="N147" s="6">
        <f t="shared" si="8"/>
        <v>4.8128342245989303E-2</v>
      </c>
      <c r="O147" s="11">
        <v>25</v>
      </c>
      <c r="P147" s="11">
        <v>0</v>
      </c>
      <c r="Q147" s="11">
        <v>2</v>
      </c>
      <c r="R147" s="11">
        <v>0</v>
      </c>
      <c r="S147" s="11">
        <v>0</v>
      </c>
      <c r="T147" s="11">
        <v>6</v>
      </c>
      <c r="U147" s="11">
        <v>0</v>
      </c>
      <c r="V147" s="11">
        <v>3</v>
      </c>
      <c r="W147" s="11">
        <v>11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31</v>
      </c>
      <c r="AF147" s="11">
        <v>0</v>
      </c>
    </row>
    <row r="148" spans="1:32">
      <c r="A148" t="s">
        <v>72</v>
      </c>
      <c r="B148">
        <v>2021</v>
      </c>
      <c r="C148" t="str">
        <f t="shared" si="7"/>
        <v>2021-Q4</v>
      </c>
      <c r="D148" t="s">
        <v>68</v>
      </c>
      <c r="E148" t="str">
        <f t="shared" si="6"/>
        <v>North East</v>
      </c>
      <c r="F148" s="5">
        <v>14</v>
      </c>
      <c r="G148" s="5">
        <v>30</v>
      </c>
      <c r="H148" s="5">
        <v>1</v>
      </c>
      <c r="I148" s="5">
        <v>45</v>
      </c>
      <c r="J148" s="5">
        <v>188</v>
      </c>
      <c r="K148" s="5">
        <v>25</v>
      </c>
      <c r="L148" s="5">
        <v>213</v>
      </c>
      <c r="M148" s="5">
        <v>332</v>
      </c>
      <c r="N148" s="6">
        <f t="shared" si="8"/>
        <v>0.11737089201877934</v>
      </c>
      <c r="O148" s="11">
        <v>29</v>
      </c>
      <c r="P148" s="11">
        <v>0</v>
      </c>
      <c r="Q148" s="11">
        <v>10</v>
      </c>
      <c r="R148" s="11">
        <v>2</v>
      </c>
      <c r="S148" s="11">
        <v>0</v>
      </c>
      <c r="T148" s="11">
        <v>1</v>
      </c>
      <c r="U148" s="11">
        <v>1</v>
      </c>
      <c r="V148" s="11">
        <v>2</v>
      </c>
      <c r="W148" s="11">
        <v>10</v>
      </c>
      <c r="X148" s="11">
        <v>1</v>
      </c>
      <c r="Y148" s="11">
        <v>0</v>
      </c>
      <c r="Z148" s="11">
        <v>2</v>
      </c>
      <c r="AA148" s="11">
        <v>0</v>
      </c>
      <c r="AB148" s="11">
        <v>0</v>
      </c>
      <c r="AC148" s="11">
        <v>0</v>
      </c>
      <c r="AD148" s="11">
        <v>0</v>
      </c>
      <c r="AE148" s="11">
        <v>1</v>
      </c>
      <c r="AF148" s="11">
        <v>0</v>
      </c>
    </row>
    <row r="149" spans="1:32">
      <c r="A149" t="s">
        <v>72</v>
      </c>
      <c r="B149">
        <v>2021</v>
      </c>
      <c r="C149" t="str">
        <f t="shared" si="7"/>
        <v>2021-Q4</v>
      </c>
      <c r="D149" t="s">
        <v>69</v>
      </c>
      <c r="E149" t="str">
        <f t="shared" si="6"/>
        <v>North West</v>
      </c>
      <c r="F149" s="5">
        <v>9</v>
      </c>
      <c r="G149" s="5">
        <v>16</v>
      </c>
      <c r="H149" s="5">
        <v>0</v>
      </c>
      <c r="I149" s="5">
        <v>25</v>
      </c>
      <c r="J149" s="5">
        <v>135</v>
      </c>
      <c r="K149" s="5">
        <v>32</v>
      </c>
      <c r="L149" s="5">
        <v>167</v>
      </c>
      <c r="M149" s="5">
        <v>249</v>
      </c>
      <c r="N149" s="6">
        <f t="shared" si="8"/>
        <v>0.19161676646706588</v>
      </c>
      <c r="O149" s="11">
        <v>22</v>
      </c>
      <c r="P149" s="11">
        <v>0</v>
      </c>
      <c r="Q149" s="11">
        <v>2</v>
      </c>
      <c r="R149" s="11">
        <v>0</v>
      </c>
      <c r="S149" s="11">
        <v>0</v>
      </c>
      <c r="T149" s="11">
        <v>0</v>
      </c>
      <c r="U149" s="11">
        <v>0</v>
      </c>
      <c r="V149" s="11">
        <v>5</v>
      </c>
      <c r="W149" s="11">
        <v>1</v>
      </c>
      <c r="X149" s="11">
        <v>1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1</v>
      </c>
      <c r="AF149" s="11">
        <v>0</v>
      </c>
    </row>
    <row r="150" spans="1:32">
      <c r="A150" t="s">
        <v>32</v>
      </c>
      <c r="B150">
        <v>2022</v>
      </c>
      <c r="C150" t="str">
        <f t="shared" si="7"/>
        <v>2022-Q1</v>
      </c>
      <c r="D150" t="s">
        <v>33</v>
      </c>
      <c r="E150" t="str">
        <f t="shared" si="6"/>
        <v>South East</v>
      </c>
      <c r="F150" s="5">
        <v>8</v>
      </c>
      <c r="G150" s="5">
        <v>20</v>
      </c>
      <c r="H150" s="5">
        <v>5</v>
      </c>
      <c r="I150" s="5">
        <v>33</v>
      </c>
      <c r="J150" s="5">
        <v>144</v>
      </c>
      <c r="K150" s="5">
        <v>13</v>
      </c>
      <c r="L150" s="5">
        <v>157</v>
      </c>
      <c r="M150" s="5">
        <v>260</v>
      </c>
      <c r="N150" s="6">
        <f t="shared" si="8"/>
        <v>8.2802547770700632E-2</v>
      </c>
      <c r="O150" s="11">
        <v>20</v>
      </c>
      <c r="P150" s="11">
        <v>0</v>
      </c>
      <c r="Q150" s="11">
        <v>5</v>
      </c>
      <c r="R150" s="11">
        <v>1</v>
      </c>
      <c r="S150" s="11">
        <v>8</v>
      </c>
      <c r="T150" s="11">
        <v>0</v>
      </c>
      <c r="U150" s="11">
        <v>0</v>
      </c>
      <c r="V150" s="11">
        <v>3</v>
      </c>
      <c r="W150" s="11">
        <v>0</v>
      </c>
      <c r="X150" s="11">
        <v>0</v>
      </c>
      <c r="Y150" s="11">
        <v>2</v>
      </c>
      <c r="Z150" s="11">
        <v>1</v>
      </c>
      <c r="AA150" s="11">
        <v>0</v>
      </c>
      <c r="AB150" s="11">
        <v>1</v>
      </c>
      <c r="AC150" s="11">
        <v>0</v>
      </c>
      <c r="AD150" s="11">
        <v>0</v>
      </c>
      <c r="AE150" s="11">
        <v>0</v>
      </c>
      <c r="AF150" s="11">
        <v>0</v>
      </c>
    </row>
    <row r="151" spans="1:32">
      <c r="A151" t="s">
        <v>32</v>
      </c>
      <c r="B151">
        <v>2022</v>
      </c>
      <c r="C151" t="str">
        <f t="shared" si="7"/>
        <v>2022-Q1</v>
      </c>
      <c r="D151" t="s">
        <v>34</v>
      </c>
      <c r="E151" t="str">
        <f t="shared" si="6"/>
        <v>North East</v>
      </c>
      <c r="F151" s="5">
        <v>17</v>
      </c>
      <c r="G151" s="5">
        <v>61</v>
      </c>
      <c r="H151" s="5">
        <v>1</v>
      </c>
      <c r="I151" s="5">
        <v>79</v>
      </c>
      <c r="J151" s="5">
        <v>245</v>
      </c>
      <c r="K151" s="5">
        <v>61</v>
      </c>
      <c r="L151" s="5">
        <v>306</v>
      </c>
      <c r="M151" s="5">
        <v>488</v>
      </c>
      <c r="N151" s="6">
        <f t="shared" si="8"/>
        <v>0.19934640522875818</v>
      </c>
      <c r="O151" s="11">
        <v>75</v>
      </c>
      <c r="P151" s="11">
        <v>0</v>
      </c>
      <c r="Q151" s="11">
        <v>2</v>
      </c>
      <c r="R151" s="11">
        <v>2</v>
      </c>
      <c r="S151" s="11">
        <v>0</v>
      </c>
      <c r="T151" s="11">
        <v>0</v>
      </c>
      <c r="U151" s="11">
        <v>0</v>
      </c>
      <c r="V151" s="11">
        <v>15</v>
      </c>
      <c r="W151" s="11">
        <v>1</v>
      </c>
      <c r="X151" s="11">
        <v>1</v>
      </c>
      <c r="Y151" s="11">
        <v>2</v>
      </c>
      <c r="Z151" s="11">
        <v>3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</row>
    <row r="152" spans="1:32">
      <c r="A152" t="s">
        <v>32</v>
      </c>
      <c r="B152">
        <v>2022</v>
      </c>
      <c r="C152" t="str">
        <f t="shared" si="7"/>
        <v>2022-Q1</v>
      </c>
      <c r="D152" t="s">
        <v>35</v>
      </c>
      <c r="E152" t="str">
        <f t="shared" si="6"/>
        <v>South South</v>
      </c>
      <c r="F152" s="5">
        <v>7</v>
      </c>
      <c r="G152" s="5">
        <v>8</v>
      </c>
      <c r="H152" s="5">
        <v>1</v>
      </c>
      <c r="I152" s="5">
        <v>16</v>
      </c>
      <c r="J152" s="5">
        <v>35</v>
      </c>
      <c r="K152" s="5">
        <v>7</v>
      </c>
      <c r="L152" s="5">
        <v>42</v>
      </c>
      <c r="M152" s="5">
        <v>84</v>
      </c>
      <c r="N152" s="6">
        <f t="shared" si="8"/>
        <v>0.16666666666666666</v>
      </c>
      <c r="O152" s="11">
        <v>12</v>
      </c>
      <c r="P152" s="11">
        <v>1</v>
      </c>
      <c r="Q152" s="11">
        <v>0</v>
      </c>
      <c r="R152" s="11">
        <v>1</v>
      </c>
      <c r="S152" s="11">
        <v>0</v>
      </c>
      <c r="T152" s="11">
        <v>0</v>
      </c>
      <c r="U152" s="11">
        <v>0</v>
      </c>
      <c r="V152" s="11">
        <v>1</v>
      </c>
      <c r="W152" s="11">
        <v>0</v>
      </c>
      <c r="X152" s="11">
        <v>0</v>
      </c>
      <c r="Y152" s="11">
        <v>1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</row>
    <row r="153" spans="1:32">
      <c r="A153" t="s">
        <v>32</v>
      </c>
      <c r="B153">
        <v>2022</v>
      </c>
      <c r="C153" t="str">
        <f t="shared" si="7"/>
        <v>2022-Q1</v>
      </c>
      <c r="D153" t="s">
        <v>36</v>
      </c>
      <c r="E153" t="str">
        <f t="shared" si="6"/>
        <v>South East</v>
      </c>
      <c r="F153" s="5">
        <v>15</v>
      </c>
      <c r="G153" s="5">
        <v>20</v>
      </c>
      <c r="H153" s="5">
        <v>3</v>
      </c>
      <c r="I153" s="5">
        <v>38</v>
      </c>
      <c r="J153" s="5">
        <v>103</v>
      </c>
      <c r="K153" s="5">
        <v>22</v>
      </c>
      <c r="L153" s="5">
        <v>125</v>
      </c>
      <c r="M153" s="5">
        <v>376</v>
      </c>
      <c r="N153" s="6">
        <f t="shared" si="8"/>
        <v>0.17599999999999999</v>
      </c>
      <c r="O153" s="11">
        <v>24</v>
      </c>
      <c r="P153" s="11">
        <v>0</v>
      </c>
      <c r="Q153" s="11">
        <v>1</v>
      </c>
      <c r="R153" s="11">
        <v>0</v>
      </c>
      <c r="S153" s="11">
        <v>7</v>
      </c>
      <c r="T153" s="11">
        <v>0</v>
      </c>
      <c r="U153" s="11">
        <v>0</v>
      </c>
      <c r="V153" s="11">
        <v>8</v>
      </c>
      <c r="W153" s="11">
        <v>0</v>
      </c>
      <c r="X153" s="11">
        <v>0</v>
      </c>
      <c r="Y153" s="11">
        <v>2</v>
      </c>
      <c r="Z153" s="11">
        <v>3</v>
      </c>
      <c r="AA153" s="11">
        <v>0</v>
      </c>
      <c r="AB153" s="11">
        <v>0</v>
      </c>
      <c r="AC153" s="11">
        <v>0</v>
      </c>
      <c r="AD153" s="11">
        <v>1</v>
      </c>
      <c r="AE153" s="11">
        <v>0</v>
      </c>
      <c r="AF153" s="11">
        <v>0</v>
      </c>
    </row>
    <row r="154" spans="1:32">
      <c r="A154" t="s">
        <v>32</v>
      </c>
      <c r="B154">
        <v>2022</v>
      </c>
      <c r="C154" t="str">
        <f t="shared" si="7"/>
        <v>2022-Q1</v>
      </c>
      <c r="D154" t="s">
        <v>37</v>
      </c>
      <c r="E154" t="str">
        <f t="shared" si="6"/>
        <v>North East</v>
      </c>
      <c r="F154" s="5">
        <v>40</v>
      </c>
      <c r="G154" s="5">
        <v>99</v>
      </c>
      <c r="H154" s="5">
        <v>1</v>
      </c>
      <c r="I154" s="5">
        <v>140</v>
      </c>
      <c r="J154" s="5">
        <v>499</v>
      </c>
      <c r="K154" s="5">
        <v>73</v>
      </c>
      <c r="L154" s="5">
        <v>572</v>
      </c>
      <c r="M154" s="5">
        <v>1105</v>
      </c>
      <c r="N154" s="6">
        <f t="shared" si="8"/>
        <v>0.12762237762237763</v>
      </c>
      <c r="O154" s="11">
        <v>90</v>
      </c>
      <c r="P154" s="11">
        <v>0</v>
      </c>
      <c r="Q154" s="11">
        <v>8</v>
      </c>
      <c r="R154" s="11">
        <v>2</v>
      </c>
      <c r="S154" s="11">
        <v>0</v>
      </c>
      <c r="T154" s="11">
        <v>2</v>
      </c>
      <c r="U154" s="11">
        <v>0</v>
      </c>
      <c r="V154" s="11">
        <v>19</v>
      </c>
      <c r="W154" s="11">
        <v>17</v>
      </c>
      <c r="X154" s="11">
        <v>5</v>
      </c>
      <c r="Y154" s="11">
        <v>11</v>
      </c>
      <c r="Z154" s="11">
        <v>3</v>
      </c>
      <c r="AA154" s="11">
        <v>0</v>
      </c>
      <c r="AB154" s="11">
        <v>0</v>
      </c>
      <c r="AC154" s="11">
        <v>0</v>
      </c>
      <c r="AD154" s="11">
        <v>0</v>
      </c>
      <c r="AE154" s="11">
        <v>7</v>
      </c>
      <c r="AF154" s="11">
        <v>1</v>
      </c>
    </row>
    <row r="155" spans="1:32">
      <c r="A155" t="s">
        <v>32</v>
      </c>
      <c r="B155">
        <v>2022</v>
      </c>
      <c r="C155" t="str">
        <f t="shared" si="7"/>
        <v>2022-Q1</v>
      </c>
      <c r="D155" t="s">
        <v>38</v>
      </c>
      <c r="E155" t="str">
        <f t="shared" si="6"/>
        <v>South South</v>
      </c>
      <c r="F155" s="5">
        <v>2</v>
      </c>
      <c r="G155" s="5">
        <v>16</v>
      </c>
      <c r="H155" s="5">
        <v>5</v>
      </c>
      <c r="I155" s="5">
        <v>23</v>
      </c>
      <c r="J155" s="5">
        <v>61</v>
      </c>
      <c r="K155" s="5">
        <v>2</v>
      </c>
      <c r="L155" s="5">
        <v>63</v>
      </c>
      <c r="M155" s="5">
        <v>140</v>
      </c>
      <c r="N155" s="6">
        <f t="shared" si="8"/>
        <v>3.1746031746031744E-2</v>
      </c>
      <c r="O155" s="11">
        <v>29</v>
      </c>
      <c r="P155" s="11">
        <v>0</v>
      </c>
      <c r="Q155" s="11">
        <v>0</v>
      </c>
      <c r="R155" s="11">
        <v>0</v>
      </c>
      <c r="S155" s="11">
        <v>0</v>
      </c>
      <c r="T155" s="11">
        <v>1</v>
      </c>
      <c r="U155" s="11">
        <v>0</v>
      </c>
      <c r="V155" s="11">
        <v>5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</row>
    <row r="156" spans="1:32">
      <c r="A156" t="s">
        <v>32</v>
      </c>
      <c r="B156">
        <v>2022</v>
      </c>
      <c r="C156" t="str">
        <f t="shared" si="7"/>
        <v>2022-Q1</v>
      </c>
      <c r="D156" t="s">
        <v>39</v>
      </c>
      <c r="E156" t="str">
        <f t="shared" si="6"/>
        <v>North Central</v>
      </c>
      <c r="F156" s="5">
        <v>18</v>
      </c>
      <c r="G156" s="5">
        <v>52</v>
      </c>
      <c r="H156" s="5">
        <v>4</v>
      </c>
      <c r="I156" s="5">
        <v>74</v>
      </c>
      <c r="J156" s="5">
        <v>221</v>
      </c>
      <c r="K156" s="5">
        <v>27</v>
      </c>
      <c r="L156" s="5">
        <v>248</v>
      </c>
      <c r="M156" s="5">
        <v>461</v>
      </c>
      <c r="N156" s="6">
        <f t="shared" si="8"/>
        <v>0.10887096774193548</v>
      </c>
      <c r="O156" s="11">
        <v>55</v>
      </c>
      <c r="P156" s="11">
        <v>2</v>
      </c>
      <c r="Q156" s="11">
        <v>2</v>
      </c>
      <c r="R156" s="11">
        <v>3</v>
      </c>
      <c r="S156" s="11">
        <v>3</v>
      </c>
      <c r="T156" s="11">
        <v>0</v>
      </c>
      <c r="U156" s="11">
        <v>0</v>
      </c>
      <c r="V156" s="11">
        <v>4</v>
      </c>
      <c r="W156" s="11">
        <v>4</v>
      </c>
      <c r="X156" s="11">
        <v>1</v>
      </c>
      <c r="Y156" s="11">
        <v>2</v>
      </c>
      <c r="Z156" s="11">
        <v>2</v>
      </c>
      <c r="AA156" s="11">
        <v>1</v>
      </c>
      <c r="AB156" s="11">
        <v>0</v>
      </c>
      <c r="AC156" s="11">
        <v>0</v>
      </c>
      <c r="AD156" s="11">
        <v>0</v>
      </c>
      <c r="AE156" s="11">
        <v>0</v>
      </c>
      <c r="AF156" s="11">
        <v>1</v>
      </c>
    </row>
    <row r="157" spans="1:32">
      <c r="A157" t="s">
        <v>32</v>
      </c>
      <c r="B157">
        <v>2022</v>
      </c>
      <c r="C157" t="str">
        <f t="shared" si="7"/>
        <v>2022-Q1</v>
      </c>
      <c r="D157" t="s">
        <v>40</v>
      </c>
      <c r="E157" t="str">
        <f t="shared" si="6"/>
        <v>North East</v>
      </c>
      <c r="F157" s="5">
        <v>9</v>
      </c>
      <c r="G157" s="5">
        <v>16</v>
      </c>
      <c r="H157" s="5">
        <v>0</v>
      </c>
      <c r="I157" s="5">
        <v>25</v>
      </c>
      <c r="J157" s="5">
        <v>114</v>
      </c>
      <c r="K157" s="5">
        <v>25</v>
      </c>
      <c r="L157" s="5">
        <v>139</v>
      </c>
      <c r="M157" s="5">
        <v>187</v>
      </c>
      <c r="N157" s="6">
        <f t="shared" si="8"/>
        <v>0.17985611510791366</v>
      </c>
      <c r="O157" s="11">
        <v>15</v>
      </c>
      <c r="P157" s="11">
        <v>0</v>
      </c>
      <c r="Q157" s="11">
        <v>4</v>
      </c>
      <c r="R157" s="11">
        <v>1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6</v>
      </c>
      <c r="AF157" s="11">
        <v>0</v>
      </c>
    </row>
    <row r="158" spans="1:32">
      <c r="A158" t="s">
        <v>32</v>
      </c>
      <c r="B158">
        <v>2022</v>
      </c>
      <c r="C158" t="str">
        <f t="shared" si="7"/>
        <v>2022-Q1</v>
      </c>
      <c r="D158" t="s">
        <v>41</v>
      </c>
      <c r="E158" t="str">
        <f t="shared" si="6"/>
        <v>South South</v>
      </c>
      <c r="F158" s="5">
        <v>5</v>
      </c>
      <c r="G158" s="5">
        <v>13</v>
      </c>
      <c r="H158" s="5">
        <v>3</v>
      </c>
      <c r="I158" s="5">
        <v>21</v>
      </c>
      <c r="J158" s="5">
        <v>71</v>
      </c>
      <c r="K158" s="5">
        <v>8</v>
      </c>
      <c r="L158" s="5">
        <v>79</v>
      </c>
      <c r="M158" s="5">
        <v>135</v>
      </c>
      <c r="N158" s="6">
        <f t="shared" si="8"/>
        <v>0.10126582278481013</v>
      </c>
      <c r="O158" s="11">
        <v>13</v>
      </c>
      <c r="P158" s="11">
        <v>0</v>
      </c>
      <c r="Q158" s="11">
        <v>1</v>
      </c>
      <c r="R158" s="11">
        <v>0</v>
      </c>
      <c r="S158" s="11">
        <v>2</v>
      </c>
      <c r="T158" s="11">
        <v>0</v>
      </c>
      <c r="U158" s="11">
        <v>0</v>
      </c>
      <c r="V158" s="11">
        <v>1</v>
      </c>
      <c r="W158" s="11">
        <v>1</v>
      </c>
      <c r="X158" s="11">
        <v>0</v>
      </c>
      <c r="Y158" s="11">
        <v>1</v>
      </c>
      <c r="Z158" s="11">
        <v>2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2</v>
      </c>
    </row>
    <row r="159" spans="1:32">
      <c r="A159" t="s">
        <v>32</v>
      </c>
      <c r="B159">
        <v>2022</v>
      </c>
      <c r="C159" t="str">
        <f t="shared" si="7"/>
        <v>2022-Q1</v>
      </c>
      <c r="D159" t="s">
        <v>42</v>
      </c>
      <c r="E159" t="str">
        <f t="shared" si="6"/>
        <v>South South</v>
      </c>
      <c r="F159" s="5">
        <v>30</v>
      </c>
      <c r="G159" s="5">
        <v>44</v>
      </c>
      <c r="H159" s="5">
        <v>7</v>
      </c>
      <c r="I159" s="5">
        <v>81</v>
      </c>
      <c r="J159" s="5">
        <v>227</v>
      </c>
      <c r="K159" s="5">
        <v>62</v>
      </c>
      <c r="L159" s="5">
        <v>289</v>
      </c>
      <c r="M159" s="5">
        <v>568</v>
      </c>
      <c r="N159" s="6">
        <f t="shared" si="8"/>
        <v>0.21453287197231835</v>
      </c>
      <c r="O159" s="11">
        <v>51</v>
      </c>
      <c r="P159" s="11">
        <v>0</v>
      </c>
      <c r="Q159" s="11">
        <v>13</v>
      </c>
      <c r="R159" s="11">
        <v>4</v>
      </c>
      <c r="S159" s="11">
        <v>6</v>
      </c>
      <c r="T159" s="11">
        <v>1</v>
      </c>
      <c r="U159" s="11">
        <v>0</v>
      </c>
      <c r="V159" s="11">
        <v>6</v>
      </c>
      <c r="W159" s="11">
        <v>2</v>
      </c>
      <c r="X159" s="11">
        <v>0</v>
      </c>
      <c r="Y159" s="11">
        <v>2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21</v>
      </c>
      <c r="AF159" s="11">
        <v>0</v>
      </c>
    </row>
    <row r="160" spans="1:32">
      <c r="A160" t="s">
        <v>32</v>
      </c>
      <c r="B160">
        <v>2022</v>
      </c>
      <c r="C160" t="str">
        <f t="shared" si="7"/>
        <v>2022-Q1</v>
      </c>
      <c r="D160" t="s">
        <v>43</v>
      </c>
      <c r="E160" t="str">
        <f t="shared" si="6"/>
        <v>South East</v>
      </c>
      <c r="F160" s="5">
        <v>11</v>
      </c>
      <c r="G160" s="5">
        <v>17</v>
      </c>
      <c r="H160" s="5">
        <v>5</v>
      </c>
      <c r="I160" s="5">
        <v>33</v>
      </c>
      <c r="J160" s="5">
        <v>87</v>
      </c>
      <c r="K160" s="5">
        <v>22</v>
      </c>
      <c r="L160" s="5">
        <v>109</v>
      </c>
      <c r="M160" s="5">
        <v>217</v>
      </c>
      <c r="N160" s="6">
        <f t="shared" si="8"/>
        <v>0.20183486238532111</v>
      </c>
      <c r="O160" s="11">
        <v>20</v>
      </c>
      <c r="P160" s="11">
        <v>0</v>
      </c>
      <c r="Q160" s="11">
        <v>2</v>
      </c>
      <c r="R160" s="11">
        <v>0</v>
      </c>
      <c r="S160" s="11">
        <v>0</v>
      </c>
      <c r="T160" s="11">
        <v>0</v>
      </c>
      <c r="U160" s="11">
        <v>0</v>
      </c>
      <c r="V160" s="11">
        <v>12</v>
      </c>
      <c r="W160" s="11">
        <v>2</v>
      </c>
      <c r="X160" s="11">
        <v>0</v>
      </c>
      <c r="Y160" s="11">
        <v>1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3</v>
      </c>
      <c r="AF160" s="11">
        <v>0</v>
      </c>
    </row>
    <row r="161" spans="1:32">
      <c r="A161" t="s">
        <v>32</v>
      </c>
      <c r="B161">
        <v>2022</v>
      </c>
      <c r="C161" t="str">
        <f t="shared" si="7"/>
        <v>2022-Q1</v>
      </c>
      <c r="D161" t="s">
        <v>44</v>
      </c>
      <c r="E161" t="str">
        <f t="shared" si="6"/>
        <v>South South</v>
      </c>
      <c r="F161" s="5">
        <v>21</v>
      </c>
      <c r="G161" s="5">
        <v>42</v>
      </c>
      <c r="H161" s="5">
        <v>14</v>
      </c>
      <c r="I161" s="5">
        <v>77</v>
      </c>
      <c r="J161" s="5">
        <v>176</v>
      </c>
      <c r="K161" s="5">
        <v>54</v>
      </c>
      <c r="L161" s="5">
        <v>230</v>
      </c>
      <c r="M161" s="5">
        <v>569</v>
      </c>
      <c r="N161" s="6">
        <f t="shared" si="8"/>
        <v>0.23478260869565218</v>
      </c>
      <c r="O161" s="11">
        <v>80</v>
      </c>
      <c r="P161" s="11">
        <v>0</v>
      </c>
      <c r="Q161" s="11">
        <v>4</v>
      </c>
      <c r="R161" s="11">
        <v>2</v>
      </c>
      <c r="S161" s="11">
        <v>16</v>
      </c>
      <c r="T161" s="11">
        <v>0</v>
      </c>
      <c r="U161" s="11">
        <v>0</v>
      </c>
      <c r="V161" s="11">
        <v>9</v>
      </c>
      <c r="W161" s="11">
        <v>0</v>
      </c>
      <c r="X161" s="11">
        <v>0</v>
      </c>
      <c r="Y161" s="11">
        <v>2</v>
      </c>
      <c r="Z161" s="11">
        <v>1</v>
      </c>
      <c r="AA161" s="11">
        <v>0</v>
      </c>
      <c r="AB161" s="11">
        <v>0</v>
      </c>
      <c r="AC161" s="11">
        <v>0</v>
      </c>
      <c r="AD161" s="11">
        <v>0</v>
      </c>
      <c r="AE161" s="11">
        <v>7</v>
      </c>
      <c r="AF161" s="11">
        <v>0</v>
      </c>
    </row>
    <row r="162" spans="1:32">
      <c r="A162" t="s">
        <v>32</v>
      </c>
      <c r="B162">
        <v>2022</v>
      </c>
      <c r="C162" t="str">
        <f t="shared" si="7"/>
        <v>2022-Q1</v>
      </c>
      <c r="D162" t="s">
        <v>45</v>
      </c>
      <c r="E162" t="str">
        <f t="shared" si="6"/>
        <v>South West</v>
      </c>
      <c r="F162" s="5">
        <v>3</v>
      </c>
      <c r="G162" s="5">
        <v>14</v>
      </c>
      <c r="H162" s="5">
        <v>2</v>
      </c>
      <c r="I162" s="5">
        <v>19</v>
      </c>
      <c r="J162" s="5">
        <v>35</v>
      </c>
      <c r="K162" s="5">
        <v>3</v>
      </c>
      <c r="L162" s="5">
        <v>38</v>
      </c>
      <c r="M162" s="5">
        <v>74</v>
      </c>
      <c r="N162" s="6">
        <f t="shared" si="8"/>
        <v>7.8947368421052627E-2</v>
      </c>
      <c r="O162" s="11">
        <v>19</v>
      </c>
      <c r="P162" s="11">
        <v>0</v>
      </c>
      <c r="Q162" s="11">
        <v>0</v>
      </c>
      <c r="R162" s="11">
        <v>1</v>
      </c>
      <c r="S162" s="11">
        <v>2</v>
      </c>
      <c r="T162" s="11">
        <v>1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3</v>
      </c>
      <c r="AF162" s="11">
        <v>1</v>
      </c>
    </row>
    <row r="163" spans="1:32">
      <c r="A163" t="s">
        <v>32</v>
      </c>
      <c r="B163">
        <v>2022</v>
      </c>
      <c r="C163" t="str">
        <f t="shared" si="7"/>
        <v>2022-Q1</v>
      </c>
      <c r="D163" t="s">
        <v>46</v>
      </c>
      <c r="E163" t="str">
        <f t="shared" si="6"/>
        <v>South East</v>
      </c>
      <c r="F163" s="5">
        <v>21</v>
      </c>
      <c r="G163" s="5">
        <v>28</v>
      </c>
      <c r="H163" s="5">
        <v>8</v>
      </c>
      <c r="I163" s="5">
        <v>57</v>
      </c>
      <c r="J163" s="5">
        <v>211</v>
      </c>
      <c r="K163" s="5">
        <v>38</v>
      </c>
      <c r="L163" s="5">
        <v>249</v>
      </c>
      <c r="M163" s="5">
        <v>600</v>
      </c>
      <c r="N163" s="6">
        <f t="shared" si="8"/>
        <v>0.15261044176706828</v>
      </c>
      <c r="O163" s="11">
        <v>18</v>
      </c>
      <c r="P163" s="11">
        <v>0</v>
      </c>
      <c r="Q163" s="11">
        <v>1</v>
      </c>
      <c r="R163" s="11">
        <v>0</v>
      </c>
      <c r="S163" s="11">
        <v>17</v>
      </c>
      <c r="T163" s="11">
        <v>1</v>
      </c>
      <c r="U163" s="11">
        <v>0</v>
      </c>
      <c r="V163" s="11">
        <v>4</v>
      </c>
      <c r="W163" s="11">
        <v>0</v>
      </c>
      <c r="X163" s="11">
        <v>0</v>
      </c>
      <c r="Y163" s="11">
        <v>0</v>
      </c>
      <c r="Z163" s="11">
        <v>1</v>
      </c>
      <c r="AA163" s="11">
        <v>0</v>
      </c>
      <c r="AB163" s="11">
        <v>0</v>
      </c>
      <c r="AC163" s="11">
        <v>0</v>
      </c>
      <c r="AD163" s="11">
        <v>0</v>
      </c>
      <c r="AE163" s="11">
        <v>20</v>
      </c>
      <c r="AF163" s="11">
        <v>1</v>
      </c>
    </row>
    <row r="164" spans="1:32">
      <c r="A164" t="s">
        <v>32</v>
      </c>
      <c r="B164">
        <v>2022</v>
      </c>
      <c r="C164" t="str">
        <f t="shared" si="7"/>
        <v>2022-Q1</v>
      </c>
      <c r="D164" t="s">
        <v>47</v>
      </c>
      <c r="E164" t="str">
        <f t="shared" si="6"/>
        <v>North Central</v>
      </c>
      <c r="F164" s="5">
        <v>43</v>
      </c>
      <c r="G164" s="5">
        <v>186</v>
      </c>
      <c r="H164" s="5">
        <v>90</v>
      </c>
      <c r="I164" s="5">
        <v>319</v>
      </c>
      <c r="J164" s="5">
        <v>467</v>
      </c>
      <c r="K164" s="5">
        <v>56</v>
      </c>
      <c r="L164" s="5">
        <v>523</v>
      </c>
      <c r="M164" s="5">
        <v>1609</v>
      </c>
      <c r="N164" s="6">
        <f t="shared" si="8"/>
        <v>0.10707456978967496</v>
      </c>
      <c r="O164" s="11">
        <v>240</v>
      </c>
      <c r="P164" s="11">
        <v>0</v>
      </c>
      <c r="Q164" s="11">
        <v>27</v>
      </c>
      <c r="R164" s="11">
        <v>3</v>
      </c>
      <c r="S164" s="11">
        <v>4</v>
      </c>
      <c r="T164" s="11">
        <v>0</v>
      </c>
      <c r="U164" s="11">
        <v>0</v>
      </c>
      <c r="V164" s="11">
        <v>4</v>
      </c>
      <c r="W164" s="11">
        <v>33</v>
      </c>
      <c r="X164" s="11">
        <v>0</v>
      </c>
      <c r="Y164" s="11">
        <v>24</v>
      </c>
      <c r="Z164" s="11">
        <v>3</v>
      </c>
      <c r="AA164" s="11">
        <v>2</v>
      </c>
      <c r="AB164" s="11">
        <v>2</v>
      </c>
      <c r="AC164" s="11">
        <v>0</v>
      </c>
      <c r="AD164" s="11">
        <v>1</v>
      </c>
      <c r="AE164" s="11">
        <v>65</v>
      </c>
      <c r="AF164" s="11">
        <v>30</v>
      </c>
    </row>
    <row r="165" spans="1:32">
      <c r="A165" t="s">
        <v>32</v>
      </c>
      <c r="B165">
        <v>2022</v>
      </c>
      <c r="C165" t="str">
        <f t="shared" si="7"/>
        <v>2022-Q1</v>
      </c>
      <c r="D165" t="s">
        <v>48</v>
      </c>
      <c r="E165" t="str">
        <f t="shared" si="6"/>
        <v>North East</v>
      </c>
      <c r="F165" s="5">
        <v>10</v>
      </c>
      <c r="G165" s="5">
        <v>63</v>
      </c>
      <c r="H165" s="5">
        <v>0</v>
      </c>
      <c r="I165" s="5">
        <v>73</v>
      </c>
      <c r="J165" s="5">
        <v>274</v>
      </c>
      <c r="K165" s="5">
        <v>16</v>
      </c>
      <c r="L165" s="5">
        <v>290</v>
      </c>
      <c r="M165" s="5">
        <v>415</v>
      </c>
      <c r="N165" s="6">
        <f t="shared" si="8"/>
        <v>5.5172413793103448E-2</v>
      </c>
      <c r="O165" s="11">
        <v>53</v>
      </c>
      <c r="P165" s="11">
        <v>0</v>
      </c>
      <c r="Q165" s="11">
        <v>4</v>
      </c>
      <c r="R165" s="11">
        <v>3</v>
      </c>
      <c r="S165" s="11">
        <v>0</v>
      </c>
      <c r="T165" s="11">
        <v>0</v>
      </c>
      <c r="U165" s="11">
        <v>2</v>
      </c>
      <c r="V165" s="11">
        <v>9</v>
      </c>
      <c r="W165" s="11">
        <v>7</v>
      </c>
      <c r="X165" s="11">
        <v>2</v>
      </c>
      <c r="Y165" s="11">
        <v>3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14</v>
      </c>
      <c r="AF165" s="11">
        <v>0</v>
      </c>
    </row>
    <row r="166" spans="1:32">
      <c r="A166" t="s">
        <v>32</v>
      </c>
      <c r="B166">
        <v>2022</v>
      </c>
      <c r="C166" t="str">
        <f t="shared" si="7"/>
        <v>2022-Q1</v>
      </c>
      <c r="D166" t="s">
        <v>49</v>
      </c>
      <c r="E166" t="str">
        <f t="shared" si="6"/>
        <v>South East</v>
      </c>
      <c r="F166" s="5">
        <v>7</v>
      </c>
      <c r="G166" s="5">
        <v>16</v>
      </c>
      <c r="H166" s="5">
        <v>3</v>
      </c>
      <c r="I166" s="5">
        <v>26</v>
      </c>
      <c r="J166" s="5">
        <v>54</v>
      </c>
      <c r="K166" s="5">
        <v>17</v>
      </c>
      <c r="L166" s="5">
        <v>71</v>
      </c>
      <c r="M166" s="5">
        <v>134</v>
      </c>
      <c r="N166" s="6">
        <f t="shared" si="8"/>
        <v>0.23943661971830985</v>
      </c>
      <c r="O166" s="11">
        <v>5</v>
      </c>
      <c r="P166" s="11">
        <v>0</v>
      </c>
      <c r="Q166" s="11">
        <v>3</v>
      </c>
      <c r="R166" s="11">
        <v>0</v>
      </c>
      <c r="S166" s="11">
        <v>7</v>
      </c>
      <c r="T166" s="11">
        <v>0</v>
      </c>
      <c r="U166" s="11">
        <v>0</v>
      </c>
      <c r="V166" s="11">
        <v>1</v>
      </c>
      <c r="W166" s="11">
        <v>1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10</v>
      </c>
      <c r="AF166" s="11">
        <v>0</v>
      </c>
    </row>
    <row r="167" spans="1:32">
      <c r="A167" t="s">
        <v>32</v>
      </c>
      <c r="B167">
        <v>2022</v>
      </c>
      <c r="C167" t="str">
        <f t="shared" si="7"/>
        <v>2022-Q1</v>
      </c>
      <c r="D167" t="s">
        <v>50</v>
      </c>
      <c r="E167" t="str">
        <f t="shared" si="6"/>
        <v>North West</v>
      </c>
      <c r="F167" s="5">
        <v>18</v>
      </c>
      <c r="G167" s="5">
        <v>83</v>
      </c>
      <c r="H167" s="5">
        <v>1</v>
      </c>
      <c r="I167" s="5">
        <v>102</v>
      </c>
      <c r="J167" s="5">
        <v>417</v>
      </c>
      <c r="K167" s="5">
        <v>37</v>
      </c>
      <c r="L167" s="5">
        <v>454</v>
      </c>
      <c r="M167" s="5">
        <v>724</v>
      </c>
      <c r="N167" s="6">
        <f t="shared" si="8"/>
        <v>8.1497797356828189E-2</v>
      </c>
      <c r="O167" s="11">
        <v>168</v>
      </c>
      <c r="P167" s="11">
        <v>1</v>
      </c>
      <c r="Q167" s="11">
        <v>13</v>
      </c>
      <c r="R167" s="11">
        <v>0</v>
      </c>
      <c r="S167" s="11">
        <v>0</v>
      </c>
      <c r="T167" s="11">
        <v>11</v>
      </c>
      <c r="U167" s="11">
        <v>0</v>
      </c>
      <c r="V167" s="11">
        <v>6</v>
      </c>
      <c r="W167" s="11">
        <v>2</v>
      </c>
      <c r="X167" s="11">
        <v>0</v>
      </c>
      <c r="Y167" s="11">
        <v>3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</row>
    <row r="168" spans="1:32">
      <c r="A168" t="s">
        <v>32</v>
      </c>
      <c r="B168">
        <v>2022</v>
      </c>
      <c r="C168" t="str">
        <f t="shared" si="7"/>
        <v>2022-Q1</v>
      </c>
      <c r="D168" t="s">
        <v>51</v>
      </c>
      <c r="E168" t="str">
        <f t="shared" si="6"/>
        <v>North West</v>
      </c>
      <c r="F168" s="5">
        <v>82</v>
      </c>
      <c r="G168" s="5">
        <v>106</v>
      </c>
      <c r="H168" s="5">
        <v>9</v>
      </c>
      <c r="I168" s="5">
        <v>197</v>
      </c>
      <c r="J168" s="5">
        <v>887</v>
      </c>
      <c r="K168" s="5">
        <v>197</v>
      </c>
      <c r="L168" s="5">
        <v>1084</v>
      </c>
      <c r="M168" s="5">
        <v>1818</v>
      </c>
      <c r="N168" s="6">
        <f t="shared" si="8"/>
        <v>0.18173431734317344</v>
      </c>
      <c r="O168" s="11">
        <v>110</v>
      </c>
      <c r="P168" s="11">
        <v>0</v>
      </c>
      <c r="Q168" s="11">
        <v>13</v>
      </c>
      <c r="R168" s="11">
        <v>2</v>
      </c>
      <c r="S168" s="11">
        <v>1</v>
      </c>
      <c r="T168" s="11">
        <v>1</v>
      </c>
      <c r="U168" s="11">
        <v>1</v>
      </c>
      <c r="V168" s="11">
        <v>15</v>
      </c>
      <c r="W168" s="11">
        <v>19</v>
      </c>
      <c r="X168" s="11">
        <v>2</v>
      </c>
      <c r="Y168" s="11">
        <v>13</v>
      </c>
      <c r="Z168" s="11">
        <v>1</v>
      </c>
      <c r="AA168" s="11">
        <v>0</v>
      </c>
      <c r="AB168" s="11">
        <v>0</v>
      </c>
      <c r="AC168" s="11">
        <v>0</v>
      </c>
      <c r="AD168" s="11">
        <v>4</v>
      </c>
      <c r="AE168" s="11">
        <v>0</v>
      </c>
      <c r="AF168" s="11">
        <v>14</v>
      </c>
    </row>
    <row r="169" spans="1:32">
      <c r="A169" t="s">
        <v>32</v>
      </c>
      <c r="B169">
        <v>2022</v>
      </c>
      <c r="C169" t="str">
        <f t="shared" si="7"/>
        <v>2022-Q1</v>
      </c>
      <c r="D169" t="s">
        <v>52</v>
      </c>
      <c r="E169" t="str">
        <f t="shared" si="6"/>
        <v>North West</v>
      </c>
      <c r="F169" s="5">
        <v>42</v>
      </c>
      <c r="G169" s="5">
        <v>48</v>
      </c>
      <c r="H169" s="5">
        <v>2</v>
      </c>
      <c r="I169" s="5">
        <v>92</v>
      </c>
      <c r="J169" s="5">
        <v>417</v>
      </c>
      <c r="K169" s="5">
        <v>138</v>
      </c>
      <c r="L169" s="5">
        <v>555</v>
      </c>
      <c r="M169" s="5">
        <v>782</v>
      </c>
      <c r="N169" s="6">
        <f t="shared" si="8"/>
        <v>0.24864864864864866</v>
      </c>
      <c r="O169" s="11">
        <v>80</v>
      </c>
      <c r="P169" s="11">
        <v>0</v>
      </c>
      <c r="Q169" s="11">
        <v>5</v>
      </c>
      <c r="R169" s="11">
        <v>1</v>
      </c>
      <c r="S169" s="11">
        <v>2</v>
      </c>
      <c r="T169" s="11">
        <v>2</v>
      </c>
      <c r="U169" s="11">
        <v>0</v>
      </c>
      <c r="V169" s="11">
        <v>6</v>
      </c>
      <c r="W169" s="11">
        <v>7</v>
      </c>
      <c r="X169" s="11">
        <v>0</v>
      </c>
      <c r="Y169" s="11">
        <v>5</v>
      </c>
      <c r="Z169" s="11">
        <v>3</v>
      </c>
      <c r="AA169" s="11">
        <v>0</v>
      </c>
      <c r="AB169" s="11">
        <v>0</v>
      </c>
      <c r="AC169" s="11">
        <v>0</v>
      </c>
      <c r="AD169" s="11">
        <v>1</v>
      </c>
      <c r="AE169" s="11">
        <v>11</v>
      </c>
      <c r="AF169" s="11">
        <v>1</v>
      </c>
    </row>
    <row r="170" spans="1:32">
      <c r="A170" t="s">
        <v>32</v>
      </c>
      <c r="B170">
        <v>2022</v>
      </c>
      <c r="C170" t="str">
        <f t="shared" si="7"/>
        <v>2022-Q1</v>
      </c>
      <c r="D170" t="s">
        <v>53</v>
      </c>
      <c r="E170" t="str">
        <f t="shared" si="6"/>
        <v>North West</v>
      </c>
      <c r="F170" s="5">
        <v>12</v>
      </c>
      <c r="G170" s="5">
        <v>1</v>
      </c>
      <c r="H170" s="5">
        <v>0</v>
      </c>
      <c r="I170" s="5">
        <v>13</v>
      </c>
      <c r="J170" s="5">
        <v>76</v>
      </c>
      <c r="K170" s="5">
        <v>37</v>
      </c>
      <c r="L170" s="5">
        <v>113</v>
      </c>
      <c r="M170" s="5">
        <v>143</v>
      </c>
      <c r="N170" s="6">
        <f t="shared" si="8"/>
        <v>0.32743362831858408</v>
      </c>
      <c r="O170" s="11">
        <v>10</v>
      </c>
      <c r="P170" s="11">
        <v>0</v>
      </c>
      <c r="Q170" s="11">
        <v>2</v>
      </c>
      <c r="R170" s="11">
        <v>0</v>
      </c>
      <c r="S170" s="11">
        <v>0</v>
      </c>
      <c r="T170" s="11">
        <v>2</v>
      </c>
      <c r="U170" s="11">
        <v>0</v>
      </c>
      <c r="V170" s="11">
        <v>0</v>
      </c>
      <c r="W170" s="11">
        <v>2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2</v>
      </c>
      <c r="AF170" s="11">
        <v>0</v>
      </c>
    </row>
    <row r="171" spans="1:32">
      <c r="A171" t="s">
        <v>32</v>
      </c>
      <c r="B171">
        <v>2022</v>
      </c>
      <c r="C171" t="str">
        <f t="shared" si="7"/>
        <v>2022-Q1</v>
      </c>
      <c r="D171" t="s">
        <v>54</v>
      </c>
      <c r="E171" t="str">
        <f t="shared" si="6"/>
        <v>North West</v>
      </c>
      <c r="F171" s="5">
        <v>7</v>
      </c>
      <c r="G171" s="5">
        <v>46</v>
      </c>
      <c r="H171" s="5">
        <v>4</v>
      </c>
      <c r="I171" s="5">
        <v>57</v>
      </c>
      <c r="J171" s="5">
        <v>229</v>
      </c>
      <c r="K171" s="5">
        <v>22</v>
      </c>
      <c r="L171" s="5">
        <v>251</v>
      </c>
      <c r="M171" s="5">
        <v>350</v>
      </c>
      <c r="N171" s="6">
        <f t="shared" si="8"/>
        <v>8.7649402390438252E-2</v>
      </c>
      <c r="O171" s="11">
        <v>57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2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</row>
    <row r="172" spans="1:32">
      <c r="A172" t="s">
        <v>32</v>
      </c>
      <c r="B172">
        <v>2022</v>
      </c>
      <c r="C172" t="str">
        <f t="shared" si="7"/>
        <v>2022-Q1</v>
      </c>
      <c r="D172" t="s">
        <v>55</v>
      </c>
      <c r="E172" t="str">
        <f t="shared" si="6"/>
        <v>North Central</v>
      </c>
      <c r="F172" s="5">
        <v>41</v>
      </c>
      <c r="G172" s="5">
        <v>86</v>
      </c>
      <c r="H172" s="5">
        <v>15</v>
      </c>
      <c r="I172" s="5">
        <v>142</v>
      </c>
      <c r="J172" s="5">
        <v>474</v>
      </c>
      <c r="K172" s="5">
        <v>95</v>
      </c>
      <c r="L172" s="5">
        <v>569</v>
      </c>
      <c r="M172" s="5">
        <v>1449</v>
      </c>
      <c r="N172" s="6">
        <f t="shared" si="8"/>
        <v>0.16695957820738136</v>
      </c>
      <c r="O172" s="11">
        <v>132</v>
      </c>
      <c r="P172" s="11">
        <v>1</v>
      </c>
      <c r="Q172" s="11">
        <v>9</v>
      </c>
      <c r="R172" s="11">
        <v>5</v>
      </c>
      <c r="S172" s="11">
        <v>13</v>
      </c>
      <c r="T172" s="11">
        <v>2</v>
      </c>
      <c r="U172" s="11">
        <v>0</v>
      </c>
      <c r="V172" s="11">
        <v>20</v>
      </c>
      <c r="W172" s="11">
        <v>11</v>
      </c>
      <c r="X172" s="11">
        <v>0</v>
      </c>
      <c r="Y172" s="11">
        <v>6</v>
      </c>
      <c r="Z172" s="11">
        <v>2</v>
      </c>
      <c r="AA172" s="11">
        <v>10</v>
      </c>
      <c r="AB172" s="11">
        <v>0</v>
      </c>
      <c r="AC172" s="11">
        <v>0</v>
      </c>
      <c r="AD172" s="11">
        <v>1</v>
      </c>
      <c r="AE172" s="11">
        <v>2</v>
      </c>
      <c r="AF172" s="11">
        <v>8</v>
      </c>
    </row>
    <row r="173" spans="1:32">
      <c r="A173" t="s">
        <v>32</v>
      </c>
      <c r="B173">
        <v>2022</v>
      </c>
      <c r="C173" t="str">
        <f t="shared" si="7"/>
        <v>2022-Q1</v>
      </c>
      <c r="D173" t="s">
        <v>56</v>
      </c>
      <c r="E173" t="str">
        <f t="shared" si="6"/>
        <v>North Central</v>
      </c>
      <c r="F173" s="5">
        <v>32</v>
      </c>
      <c r="G173" s="5">
        <v>55</v>
      </c>
      <c r="H173" s="5">
        <v>7</v>
      </c>
      <c r="I173" s="5">
        <v>94</v>
      </c>
      <c r="J173" s="5">
        <v>315</v>
      </c>
      <c r="K173" s="5">
        <v>86</v>
      </c>
      <c r="L173" s="5">
        <v>401</v>
      </c>
      <c r="M173" s="5">
        <v>635</v>
      </c>
      <c r="N173" s="6">
        <f t="shared" si="8"/>
        <v>0.21446384039900249</v>
      </c>
      <c r="O173" s="11">
        <v>109</v>
      </c>
      <c r="P173" s="11">
        <v>1</v>
      </c>
      <c r="Q173" s="11">
        <v>10</v>
      </c>
      <c r="R173" s="11">
        <v>4</v>
      </c>
      <c r="S173" s="11">
        <v>5</v>
      </c>
      <c r="T173" s="11">
        <v>0</v>
      </c>
      <c r="U173" s="11">
        <v>0</v>
      </c>
      <c r="V173" s="11">
        <v>7</v>
      </c>
      <c r="W173" s="11">
        <v>4</v>
      </c>
      <c r="X173" s="11">
        <v>0</v>
      </c>
      <c r="Y173" s="11">
        <v>2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3</v>
      </c>
      <c r="AF173" s="11">
        <v>1</v>
      </c>
    </row>
    <row r="174" spans="1:32">
      <c r="A174" t="s">
        <v>32</v>
      </c>
      <c r="B174">
        <v>2022</v>
      </c>
      <c r="C174" t="str">
        <f t="shared" si="7"/>
        <v>2022-Q1</v>
      </c>
      <c r="D174" t="s">
        <v>57</v>
      </c>
      <c r="E174" t="str">
        <f t="shared" si="6"/>
        <v>South West</v>
      </c>
      <c r="F174" s="5">
        <v>25</v>
      </c>
      <c r="G174" s="5">
        <v>98</v>
      </c>
      <c r="H174" s="5">
        <v>75</v>
      </c>
      <c r="I174" s="5">
        <v>198</v>
      </c>
      <c r="J174" s="5">
        <v>276</v>
      </c>
      <c r="K174" s="5">
        <v>48</v>
      </c>
      <c r="L174" s="5">
        <v>324</v>
      </c>
      <c r="M174" s="5">
        <v>1118</v>
      </c>
      <c r="N174" s="6">
        <f t="shared" si="8"/>
        <v>0.14814814814814814</v>
      </c>
      <c r="O174" s="11">
        <v>88</v>
      </c>
      <c r="P174" s="11">
        <v>0</v>
      </c>
      <c r="Q174" s="11">
        <v>9</v>
      </c>
      <c r="R174" s="11">
        <v>9</v>
      </c>
      <c r="S174" s="11">
        <v>34</v>
      </c>
      <c r="T174" s="11">
        <v>0</v>
      </c>
      <c r="U174" s="11">
        <v>0</v>
      </c>
      <c r="V174" s="11">
        <v>6</v>
      </c>
      <c r="W174" s="11">
        <v>13</v>
      </c>
      <c r="X174" s="11">
        <v>0</v>
      </c>
      <c r="Y174" s="11">
        <v>14</v>
      </c>
      <c r="Z174" s="11">
        <v>0</v>
      </c>
      <c r="AA174" s="11">
        <v>0</v>
      </c>
      <c r="AB174" s="11">
        <v>3</v>
      </c>
      <c r="AC174" s="11">
        <v>0</v>
      </c>
      <c r="AD174" s="11">
        <v>6</v>
      </c>
      <c r="AE174" s="11">
        <v>0</v>
      </c>
      <c r="AF174" s="11">
        <v>16</v>
      </c>
    </row>
    <row r="175" spans="1:32">
      <c r="A175" t="s">
        <v>32</v>
      </c>
      <c r="B175">
        <v>2022</v>
      </c>
      <c r="C175" t="str">
        <f t="shared" si="7"/>
        <v>2022-Q1</v>
      </c>
      <c r="D175" t="s">
        <v>58</v>
      </c>
      <c r="E175" t="str">
        <f t="shared" si="6"/>
        <v>North Central</v>
      </c>
      <c r="F175" s="5">
        <v>47</v>
      </c>
      <c r="G175" s="5">
        <v>189</v>
      </c>
      <c r="H175" s="5">
        <v>11</v>
      </c>
      <c r="I175" s="5">
        <v>247</v>
      </c>
      <c r="J175" s="5">
        <v>556</v>
      </c>
      <c r="K175" s="5">
        <v>70</v>
      </c>
      <c r="L175" s="5">
        <v>626</v>
      </c>
      <c r="M175" s="5">
        <v>1225</v>
      </c>
      <c r="N175" s="6">
        <f t="shared" si="8"/>
        <v>0.11182108626198083</v>
      </c>
      <c r="O175" s="11">
        <v>183</v>
      </c>
      <c r="P175" s="11">
        <v>0</v>
      </c>
      <c r="Q175" s="11">
        <v>10</v>
      </c>
      <c r="R175" s="11">
        <v>6</v>
      </c>
      <c r="S175" s="11">
        <v>6</v>
      </c>
      <c r="T175" s="11">
        <v>3</v>
      </c>
      <c r="U175" s="11">
        <v>0</v>
      </c>
      <c r="V175" s="11">
        <v>18</v>
      </c>
      <c r="W175" s="11">
        <v>27</v>
      </c>
      <c r="X175" s="11">
        <v>0</v>
      </c>
      <c r="Y175" s="11">
        <v>17</v>
      </c>
      <c r="Z175" s="11">
        <v>5</v>
      </c>
      <c r="AA175" s="11">
        <v>0</v>
      </c>
      <c r="AB175" s="11">
        <v>0</v>
      </c>
      <c r="AC175" s="11">
        <v>0</v>
      </c>
      <c r="AD175" s="11">
        <v>0</v>
      </c>
      <c r="AE175" s="11">
        <v>44</v>
      </c>
      <c r="AF175" s="11">
        <v>13</v>
      </c>
    </row>
    <row r="176" spans="1:32">
      <c r="A176" t="s">
        <v>32</v>
      </c>
      <c r="B176">
        <v>2022</v>
      </c>
      <c r="C176" t="str">
        <f t="shared" si="7"/>
        <v>2022-Q1</v>
      </c>
      <c r="D176" t="s">
        <v>59</v>
      </c>
      <c r="E176" t="str">
        <f t="shared" si="6"/>
        <v>North Central</v>
      </c>
      <c r="F176" s="5">
        <v>62</v>
      </c>
      <c r="G176" s="5">
        <v>80</v>
      </c>
      <c r="H176" s="5">
        <v>4</v>
      </c>
      <c r="I176" s="5">
        <v>146</v>
      </c>
      <c r="J176" s="5">
        <v>754</v>
      </c>
      <c r="K176" s="5">
        <v>155</v>
      </c>
      <c r="L176" s="5">
        <v>909</v>
      </c>
      <c r="M176" s="5">
        <v>1580</v>
      </c>
      <c r="N176" s="6">
        <f t="shared" si="8"/>
        <v>0.17051705170517051</v>
      </c>
      <c r="O176" s="11">
        <v>124</v>
      </c>
      <c r="P176" s="11">
        <v>0</v>
      </c>
      <c r="Q176" s="11">
        <v>8</v>
      </c>
      <c r="R176" s="11">
        <v>0</v>
      </c>
      <c r="S176" s="11">
        <v>2</v>
      </c>
      <c r="T176" s="11">
        <v>2</v>
      </c>
      <c r="U176" s="11">
        <v>0</v>
      </c>
      <c r="V176" s="11">
        <v>22</v>
      </c>
      <c r="W176" s="11">
        <v>1</v>
      </c>
      <c r="X176" s="11">
        <v>2</v>
      </c>
      <c r="Y176" s="11">
        <v>3</v>
      </c>
      <c r="Z176" s="11">
        <v>1</v>
      </c>
      <c r="AA176" s="11">
        <v>0</v>
      </c>
      <c r="AB176" s="11">
        <v>0</v>
      </c>
      <c r="AC176" s="11">
        <v>0</v>
      </c>
      <c r="AD176" s="11">
        <v>21</v>
      </c>
      <c r="AE176" s="11">
        <v>4</v>
      </c>
      <c r="AF176" s="11">
        <v>7</v>
      </c>
    </row>
    <row r="177" spans="1:32">
      <c r="A177" t="s">
        <v>32</v>
      </c>
      <c r="B177">
        <v>2022</v>
      </c>
      <c r="C177" t="str">
        <f t="shared" si="7"/>
        <v>2022-Q1</v>
      </c>
      <c r="D177" t="s">
        <v>60</v>
      </c>
      <c r="E177" t="str">
        <f t="shared" si="6"/>
        <v>South West</v>
      </c>
      <c r="F177" s="5">
        <v>63</v>
      </c>
      <c r="G177" s="5">
        <v>158</v>
      </c>
      <c r="H177" s="5">
        <v>47</v>
      </c>
      <c r="I177" s="5">
        <v>268</v>
      </c>
      <c r="J177" s="5">
        <v>656</v>
      </c>
      <c r="K177" s="5">
        <v>126</v>
      </c>
      <c r="L177" s="5">
        <v>782</v>
      </c>
      <c r="M177" s="5">
        <v>1915</v>
      </c>
      <c r="N177" s="6">
        <f t="shared" si="8"/>
        <v>0.16112531969309463</v>
      </c>
      <c r="O177" s="11">
        <v>260</v>
      </c>
      <c r="P177" s="11">
        <v>0</v>
      </c>
      <c r="Q177" s="11">
        <v>7</v>
      </c>
      <c r="R177" s="11">
        <v>5</v>
      </c>
      <c r="S177" s="11">
        <v>7</v>
      </c>
      <c r="T177" s="11">
        <v>2</v>
      </c>
      <c r="U177" s="11">
        <v>0</v>
      </c>
      <c r="V177" s="11">
        <v>16</v>
      </c>
      <c r="W177" s="11">
        <v>7</v>
      </c>
      <c r="X177" s="11">
        <v>0</v>
      </c>
      <c r="Y177" s="11">
        <v>18</v>
      </c>
      <c r="Z177" s="11">
        <v>0</v>
      </c>
      <c r="AA177" s="11">
        <v>1</v>
      </c>
      <c r="AB177" s="11">
        <v>2</v>
      </c>
      <c r="AC177" s="11">
        <v>0</v>
      </c>
      <c r="AD177" s="11">
        <v>0</v>
      </c>
      <c r="AE177" s="11">
        <v>4</v>
      </c>
      <c r="AF177" s="11">
        <v>15</v>
      </c>
    </row>
    <row r="178" spans="1:32">
      <c r="A178" t="s">
        <v>32</v>
      </c>
      <c r="B178">
        <v>2022</v>
      </c>
      <c r="C178" t="str">
        <f t="shared" si="7"/>
        <v>2022-Q1</v>
      </c>
      <c r="D178" t="s">
        <v>61</v>
      </c>
      <c r="E178" t="str">
        <f t="shared" si="6"/>
        <v>South West</v>
      </c>
      <c r="F178" s="5">
        <v>33</v>
      </c>
      <c r="G178" s="5">
        <v>82</v>
      </c>
      <c r="H178" s="5">
        <v>12</v>
      </c>
      <c r="I178" s="5">
        <v>127</v>
      </c>
      <c r="J178" s="5">
        <v>355</v>
      </c>
      <c r="K178" s="5">
        <v>54</v>
      </c>
      <c r="L178" s="5">
        <v>409</v>
      </c>
      <c r="M178" s="5">
        <v>1038</v>
      </c>
      <c r="N178" s="6">
        <f t="shared" si="8"/>
        <v>0.13202933985330073</v>
      </c>
      <c r="O178" s="11">
        <v>95</v>
      </c>
      <c r="P178" s="11">
        <v>0</v>
      </c>
      <c r="Q178" s="11">
        <v>11</v>
      </c>
      <c r="R178" s="11">
        <v>3</v>
      </c>
      <c r="S178" s="11">
        <v>8</v>
      </c>
      <c r="T178" s="11">
        <v>2</v>
      </c>
      <c r="U178" s="11">
        <v>0</v>
      </c>
      <c r="V178" s="11">
        <v>9</v>
      </c>
      <c r="W178" s="11">
        <v>22</v>
      </c>
      <c r="X178" s="11">
        <v>0</v>
      </c>
      <c r="Y178" s="11">
        <v>7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</row>
    <row r="179" spans="1:32">
      <c r="A179" t="s">
        <v>32</v>
      </c>
      <c r="B179">
        <v>2022</v>
      </c>
      <c r="C179" t="str">
        <f t="shared" si="7"/>
        <v>2022-Q1</v>
      </c>
      <c r="D179" t="s">
        <v>62</v>
      </c>
      <c r="E179" t="str">
        <f t="shared" si="6"/>
        <v>South West</v>
      </c>
      <c r="F179" s="5">
        <v>23</v>
      </c>
      <c r="G179" s="5">
        <v>67</v>
      </c>
      <c r="H179" s="5">
        <v>12</v>
      </c>
      <c r="I179" s="5">
        <v>102</v>
      </c>
      <c r="J179" s="5">
        <v>376</v>
      </c>
      <c r="K179" s="5">
        <v>29</v>
      </c>
      <c r="L179" s="5">
        <v>405</v>
      </c>
      <c r="M179" s="5">
        <v>883</v>
      </c>
      <c r="N179" s="6">
        <f t="shared" si="8"/>
        <v>7.160493827160494E-2</v>
      </c>
      <c r="O179" s="11">
        <v>75</v>
      </c>
      <c r="P179" s="11">
        <v>0</v>
      </c>
      <c r="Q179" s="11">
        <v>18</v>
      </c>
      <c r="R179" s="11">
        <v>6</v>
      </c>
      <c r="S179" s="11">
        <v>4</v>
      </c>
      <c r="T179" s="11">
        <v>1</v>
      </c>
      <c r="U179" s="11">
        <v>1</v>
      </c>
      <c r="V179" s="11">
        <v>13</v>
      </c>
      <c r="W179" s="11">
        <v>2</v>
      </c>
      <c r="X179" s="11">
        <v>1</v>
      </c>
      <c r="Y179" s="11">
        <v>15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1</v>
      </c>
      <c r="AF179" s="11">
        <v>2</v>
      </c>
    </row>
    <row r="180" spans="1:32">
      <c r="A180" t="s">
        <v>32</v>
      </c>
      <c r="B180">
        <v>2022</v>
      </c>
      <c r="C180" t="str">
        <f t="shared" si="7"/>
        <v>2022-Q1</v>
      </c>
      <c r="D180" t="s">
        <v>63</v>
      </c>
      <c r="E180" t="str">
        <f t="shared" si="6"/>
        <v>South West</v>
      </c>
      <c r="F180" s="5">
        <v>46</v>
      </c>
      <c r="G180" s="5">
        <v>113</v>
      </c>
      <c r="H180" s="5">
        <v>14</v>
      </c>
      <c r="I180" s="5">
        <v>173</v>
      </c>
      <c r="J180" s="5">
        <v>540</v>
      </c>
      <c r="K180" s="5">
        <v>73</v>
      </c>
      <c r="L180" s="5">
        <v>613</v>
      </c>
      <c r="M180" s="5">
        <v>1337</v>
      </c>
      <c r="N180" s="6">
        <f t="shared" si="8"/>
        <v>0.11908646003262642</v>
      </c>
      <c r="O180" s="11">
        <v>124</v>
      </c>
      <c r="P180" s="11">
        <v>0</v>
      </c>
      <c r="Q180" s="11">
        <v>14</v>
      </c>
      <c r="R180" s="11">
        <v>5</v>
      </c>
      <c r="S180" s="11">
        <v>12</v>
      </c>
      <c r="T180" s="11">
        <v>2</v>
      </c>
      <c r="U180" s="11">
        <v>0</v>
      </c>
      <c r="V180" s="11">
        <v>14</v>
      </c>
      <c r="W180" s="11">
        <v>15</v>
      </c>
      <c r="X180" s="11">
        <v>0</v>
      </c>
      <c r="Y180" s="11">
        <v>10</v>
      </c>
      <c r="Z180" s="11">
        <v>1</v>
      </c>
      <c r="AA180" s="11">
        <v>0</v>
      </c>
      <c r="AB180" s="11">
        <v>0</v>
      </c>
      <c r="AC180" s="11">
        <v>0</v>
      </c>
      <c r="AD180" s="11">
        <v>4</v>
      </c>
      <c r="AE180" s="11">
        <v>0</v>
      </c>
      <c r="AF180" s="11">
        <v>4</v>
      </c>
    </row>
    <row r="181" spans="1:32">
      <c r="A181" t="s">
        <v>32</v>
      </c>
      <c r="B181">
        <v>2022</v>
      </c>
      <c r="C181" t="str">
        <f t="shared" si="7"/>
        <v>2022-Q1</v>
      </c>
      <c r="D181" t="s">
        <v>64</v>
      </c>
      <c r="E181" t="str">
        <f t="shared" si="6"/>
        <v>North Central</v>
      </c>
      <c r="F181" s="5">
        <v>22</v>
      </c>
      <c r="G181" s="5">
        <v>51</v>
      </c>
      <c r="H181" s="5">
        <v>0</v>
      </c>
      <c r="I181" s="5">
        <v>73</v>
      </c>
      <c r="J181" s="5">
        <v>270</v>
      </c>
      <c r="K181" s="5">
        <v>36</v>
      </c>
      <c r="L181" s="5">
        <v>306</v>
      </c>
      <c r="M181" s="5">
        <v>508</v>
      </c>
      <c r="N181" s="6">
        <f t="shared" si="8"/>
        <v>0.11764705882352941</v>
      </c>
      <c r="O181" s="11">
        <v>26</v>
      </c>
      <c r="P181" s="11">
        <v>0</v>
      </c>
      <c r="Q181" s="11">
        <v>0</v>
      </c>
      <c r="R181" s="11">
        <v>2</v>
      </c>
      <c r="S181" s="11">
        <v>18</v>
      </c>
      <c r="T181" s="11">
        <v>1</v>
      </c>
      <c r="U181" s="11">
        <v>0</v>
      </c>
      <c r="V181" s="11">
        <v>8</v>
      </c>
      <c r="W181" s="11">
        <v>6</v>
      </c>
      <c r="X181" s="11">
        <v>0</v>
      </c>
      <c r="Y181" s="11">
        <v>7</v>
      </c>
      <c r="Z181" s="11">
        <v>1</v>
      </c>
      <c r="AA181" s="11">
        <v>0</v>
      </c>
      <c r="AB181" s="11">
        <v>1</v>
      </c>
      <c r="AC181" s="11">
        <v>0</v>
      </c>
      <c r="AD181" s="11">
        <v>0</v>
      </c>
      <c r="AE181" s="11">
        <v>1</v>
      </c>
      <c r="AF181" s="11">
        <v>5</v>
      </c>
    </row>
    <row r="182" spans="1:32">
      <c r="A182" t="s">
        <v>32</v>
      </c>
      <c r="B182">
        <v>2022</v>
      </c>
      <c r="C182" t="str">
        <f t="shared" si="7"/>
        <v>2022-Q1</v>
      </c>
      <c r="D182" t="s">
        <v>65</v>
      </c>
      <c r="E182" t="str">
        <f t="shared" si="6"/>
        <v>South South</v>
      </c>
      <c r="F182" s="5">
        <v>5</v>
      </c>
      <c r="G182" s="5">
        <v>19</v>
      </c>
      <c r="H182" s="5">
        <v>5</v>
      </c>
      <c r="I182" s="5">
        <v>29</v>
      </c>
      <c r="J182" s="5">
        <v>58</v>
      </c>
      <c r="K182" s="5">
        <v>7</v>
      </c>
      <c r="L182" s="5">
        <v>65</v>
      </c>
      <c r="M182" s="5">
        <v>157</v>
      </c>
      <c r="N182" s="6">
        <f t="shared" si="8"/>
        <v>0.1076923076923077</v>
      </c>
      <c r="O182" s="11">
        <v>20</v>
      </c>
      <c r="P182" s="11">
        <v>0</v>
      </c>
      <c r="Q182" s="11">
        <v>4</v>
      </c>
      <c r="R182" s="11">
        <v>1</v>
      </c>
      <c r="S182" s="11">
        <v>3</v>
      </c>
      <c r="T182" s="11">
        <v>0</v>
      </c>
      <c r="U182" s="11">
        <v>0</v>
      </c>
      <c r="V182" s="11">
        <v>2</v>
      </c>
      <c r="W182" s="11">
        <v>3</v>
      </c>
      <c r="X182" s="11">
        <v>0</v>
      </c>
      <c r="Y182" s="11">
        <v>4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1</v>
      </c>
    </row>
    <row r="183" spans="1:32">
      <c r="A183" t="s">
        <v>32</v>
      </c>
      <c r="B183">
        <v>2022</v>
      </c>
      <c r="C183" t="str">
        <f t="shared" si="7"/>
        <v>2022-Q1</v>
      </c>
      <c r="D183" t="s">
        <v>66</v>
      </c>
      <c r="E183" t="str">
        <f t="shared" si="6"/>
        <v>North West</v>
      </c>
      <c r="F183" s="5">
        <v>8</v>
      </c>
      <c r="G183" s="5">
        <v>17</v>
      </c>
      <c r="H183" s="5">
        <v>2</v>
      </c>
      <c r="I183" s="5">
        <v>27</v>
      </c>
      <c r="J183" s="5">
        <v>103</v>
      </c>
      <c r="K183" s="5">
        <v>13</v>
      </c>
      <c r="L183" s="5">
        <v>116</v>
      </c>
      <c r="M183" s="5">
        <v>231</v>
      </c>
      <c r="N183" s="6">
        <f t="shared" si="8"/>
        <v>0.11206896551724138</v>
      </c>
      <c r="O183" s="11">
        <v>19</v>
      </c>
      <c r="P183" s="11">
        <v>0</v>
      </c>
      <c r="Q183" s="11">
        <v>3</v>
      </c>
      <c r="R183" s="11">
        <v>0</v>
      </c>
      <c r="S183" s="11">
        <v>1</v>
      </c>
      <c r="T183" s="11">
        <v>0</v>
      </c>
      <c r="U183" s="11">
        <v>1</v>
      </c>
      <c r="V183" s="11">
        <v>2</v>
      </c>
      <c r="W183" s="11">
        <v>1</v>
      </c>
      <c r="X183" s="11">
        <v>0</v>
      </c>
      <c r="Y183" s="11">
        <v>1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5</v>
      </c>
    </row>
    <row r="184" spans="1:32">
      <c r="A184" t="s">
        <v>32</v>
      </c>
      <c r="B184">
        <v>2022</v>
      </c>
      <c r="C184" t="str">
        <f t="shared" si="7"/>
        <v>2022-Q1</v>
      </c>
      <c r="D184" t="s">
        <v>67</v>
      </c>
      <c r="E184" t="str">
        <f t="shared" si="6"/>
        <v>North East</v>
      </c>
      <c r="F184" s="5">
        <v>14</v>
      </c>
      <c r="G184" s="5">
        <v>56</v>
      </c>
      <c r="H184" s="5">
        <v>1</v>
      </c>
      <c r="I184" s="5">
        <v>71</v>
      </c>
      <c r="J184" s="5">
        <v>248</v>
      </c>
      <c r="K184" s="5">
        <v>32</v>
      </c>
      <c r="L184" s="5">
        <v>280</v>
      </c>
      <c r="M184" s="5">
        <v>420</v>
      </c>
      <c r="N184" s="6">
        <f t="shared" si="8"/>
        <v>0.11428571428571428</v>
      </c>
      <c r="O184" s="11">
        <v>21</v>
      </c>
      <c r="P184" s="11">
        <v>0</v>
      </c>
      <c r="Q184" s="11">
        <v>5</v>
      </c>
      <c r="R184" s="11">
        <v>0</v>
      </c>
      <c r="S184" s="11">
        <v>0</v>
      </c>
      <c r="T184" s="11">
        <v>3</v>
      </c>
      <c r="U184" s="11">
        <v>0</v>
      </c>
      <c r="V184" s="11">
        <v>12</v>
      </c>
      <c r="W184" s="11">
        <v>16</v>
      </c>
      <c r="X184" s="11">
        <v>0</v>
      </c>
      <c r="Y184" s="11">
        <v>1</v>
      </c>
      <c r="Z184" s="11">
        <v>0</v>
      </c>
      <c r="AA184" s="11">
        <v>0</v>
      </c>
      <c r="AB184" s="11">
        <v>0</v>
      </c>
      <c r="AC184" s="11">
        <v>0</v>
      </c>
      <c r="AD184" s="11">
        <v>3</v>
      </c>
      <c r="AE184" s="11">
        <v>13</v>
      </c>
      <c r="AF184" s="11">
        <v>0</v>
      </c>
    </row>
    <row r="185" spans="1:32">
      <c r="A185" t="s">
        <v>32</v>
      </c>
      <c r="B185">
        <v>2022</v>
      </c>
      <c r="C185" t="str">
        <f t="shared" si="7"/>
        <v>2022-Q1</v>
      </c>
      <c r="D185" t="s">
        <v>68</v>
      </c>
      <c r="E185" t="str">
        <f t="shared" si="6"/>
        <v>North East</v>
      </c>
      <c r="F185" s="5">
        <v>17</v>
      </c>
      <c r="G185" s="5">
        <v>9</v>
      </c>
      <c r="H185" s="5">
        <v>0</v>
      </c>
      <c r="I185" s="5">
        <v>26</v>
      </c>
      <c r="J185" s="5">
        <v>133</v>
      </c>
      <c r="K185" s="5">
        <v>63</v>
      </c>
      <c r="L185" s="5">
        <v>196</v>
      </c>
      <c r="M185" s="5">
        <v>272</v>
      </c>
      <c r="N185" s="6">
        <f t="shared" si="8"/>
        <v>0.32142857142857145</v>
      </c>
      <c r="O185" s="11">
        <v>21</v>
      </c>
      <c r="P185" s="11">
        <v>0</v>
      </c>
      <c r="Q185" s="11">
        <v>5</v>
      </c>
      <c r="R185" s="11">
        <v>0</v>
      </c>
      <c r="S185" s="11">
        <v>0</v>
      </c>
      <c r="T185" s="11">
        <v>1</v>
      </c>
      <c r="U185" s="11">
        <v>0</v>
      </c>
      <c r="V185" s="11">
        <v>3</v>
      </c>
      <c r="W185" s="11">
        <v>3</v>
      </c>
      <c r="X185" s="11">
        <v>0</v>
      </c>
      <c r="Y185" s="11">
        <v>4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1</v>
      </c>
    </row>
    <row r="186" spans="1:32">
      <c r="A186" t="s">
        <v>32</v>
      </c>
      <c r="B186">
        <v>2022</v>
      </c>
      <c r="C186" t="str">
        <f t="shared" si="7"/>
        <v>2022-Q1</v>
      </c>
      <c r="D186" t="s">
        <v>69</v>
      </c>
      <c r="E186" t="str">
        <f t="shared" si="6"/>
        <v>North West</v>
      </c>
      <c r="F186" s="5">
        <v>5</v>
      </c>
      <c r="G186" s="5">
        <v>21</v>
      </c>
      <c r="H186" s="5">
        <v>1</v>
      </c>
      <c r="I186" s="5">
        <v>27</v>
      </c>
      <c r="J186" s="5">
        <v>130</v>
      </c>
      <c r="K186" s="5">
        <v>10</v>
      </c>
      <c r="L186" s="5">
        <v>140</v>
      </c>
      <c r="M186" s="5">
        <v>185</v>
      </c>
      <c r="N186" s="6">
        <f t="shared" si="8"/>
        <v>7.1428571428571425E-2</v>
      </c>
      <c r="O186" s="11">
        <v>20</v>
      </c>
      <c r="P186" s="11">
        <v>0</v>
      </c>
      <c r="Q186" s="11">
        <v>0</v>
      </c>
      <c r="R186" s="11">
        <v>0</v>
      </c>
      <c r="S186" s="11">
        <v>0</v>
      </c>
      <c r="T186" s="11">
        <v>1</v>
      </c>
      <c r="U186" s="11">
        <v>0</v>
      </c>
      <c r="V186" s="11">
        <v>8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2</v>
      </c>
      <c r="AF186" s="11">
        <v>0</v>
      </c>
    </row>
    <row r="187" spans="1:32">
      <c r="A187" t="s">
        <v>70</v>
      </c>
      <c r="B187">
        <v>2022</v>
      </c>
      <c r="C187" t="str">
        <f t="shared" si="7"/>
        <v>2022-Q2</v>
      </c>
      <c r="D187" t="s">
        <v>33</v>
      </c>
      <c r="E187" t="str">
        <f t="shared" si="6"/>
        <v>South East</v>
      </c>
      <c r="F187" s="5">
        <v>10</v>
      </c>
      <c r="G187" s="5">
        <v>13</v>
      </c>
      <c r="H187" s="5">
        <v>6</v>
      </c>
      <c r="I187" s="5">
        <v>29</v>
      </c>
      <c r="J187" s="5">
        <v>107</v>
      </c>
      <c r="K187" s="5">
        <v>23</v>
      </c>
      <c r="L187" s="5">
        <v>130</v>
      </c>
      <c r="M187" s="5">
        <v>224</v>
      </c>
      <c r="N187" s="6">
        <f t="shared" si="8"/>
        <v>0.17692307692307693</v>
      </c>
      <c r="O187" s="11">
        <v>21</v>
      </c>
      <c r="P187" s="11">
        <v>0</v>
      </c>
      <c r="Q187" s="11">
        <v>7</v>
      </c>
      <c r="R187" s="11">
        <v>0</v>
      </c>
      <c r="S187" s="11">
        <v>5</v>
      </c>
      <c r="T187" s="11">
        <v>0</v>
      </c>
      <c r="U187" s="11">
        <v>0</v>
      </c>
      <c r="V187" s="11">
        <v>1</v>
      </c>
      <c r="W187" s="11">
        <v>2</v>
      </c>
      <c r="X187" s="11">
        <v>0</v>
      </c>
      <c r="Y187" s="11">
        <v>0</v>
      </c>
      <c r="Z187" s="11">
        <v>1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5</v>
      </c>
    </row>
    <row r="188" spans="1:32">
      <c r="A188" t="s">
        <v>70</v>
      </c>
      <c r="B188">
        <v>2022</v>
      </c>
      <c r="C188" t="str">
        <f t="shared" si="7"/>
        <v>2022-Q2</v>
      </c>
      <c r="D188" t="s">
        <v>34</v>
      </c>
      <c r="E188" t="str">
        <f t="shared" si="6"/>
        <v>North East</v>
      </c>
      <c r="F188" s="5">
        <v>13</v>
      </c>
      <c r="G188" s="5">
        <v>50</v>
      </c>
      <c r="H188" s="5">
        <v>1</v>
      </c>
      <c r="I188" s="5">
        <v>64</v>
      </c>
      <c r="J188" s="5">
        <v>176</v>
      </c>
      <c r="K188" s="5">
        <v>25</v>
      </c>
      <c r="L188" s="5">
        <v>201</v>
      </c>
      <c r="M188" s="5">
        <v>345</v>
      </c>
      <c r="N188" s="6">
        <f t="shared" si="8"/>
        <v>0.12437810945273632</v>
      </c>
      <c r="O188" s="11">
        <v>50</v>
      </c>
      <c r="P188" s="11">
        <v>0</v>
      </c>
      <c r="Q188" s="11">
        <v>1</v>
      </c>
      <c r="R188" s="11">
        <v>1</v>
      </c>
      <c r="S188" s="11">
        <v>0</v>
      </c>
      <c r="T188" s="11">
        <v>1</v>
      </c>
      <c r="U188" s="11">
        <v>0</v>
      </c>
      <c r="V188" s="11">
        <v>11</v>
      </c>
      <c r="W188" s="11">
        <v>11</v>
      </c>
      <c r="X188" s="11">
        <v>0</v>
      </c>
      <c r="Y188" s="11">
        <v>2</v>
      </c>
      <c r="Z188" s="11">
        <v>6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2</v>
      </c>
    </row>
    <row r="189" spans="1:32">
      <c r="A189" t="s">
        <v>70</v>
      </c>
      <c r="B189">
        <v>2022</v>
      </c>
      <c r="C189" t="str">
        <f t="shared" si="7"/>
        <v>2022-Q2</v>
      </c>
      <c r="D189" t="s">
        <v>35</v>
      </c>
      <c r="E189" t="str">
        <f t="shared" si="6"/>
        <v>South South</v>
      </c>
      <c r="F189" s="5">
        <v>9</v>
      </c>
      <c r="G189" s="5">
        <v>15</v>
      </c>
      <c r="H189" s="5">
        <v>4</v>
      </c>
      <c r="I189" s="5">
        <v>28</v>
      </c>
      <c r="J189" s="5">
        <v>63</v>
      </c>
      <c r="K189" s="5">
        <v>12</v>
      </c>
      <c r="L189" s="5">
        <v>75</v>
      </c>
      <c r="M189" s="5">
        <v>125</v>
      </c>
      <c r="N189" s="6">
        <f t="shared" si="8"/>
        <v>0.16</v>
      </c>
      <c r="O189" s="11">
        <v>17</v>
      </c>
      <c r="P189" s="11">
        <v>1</v>
      </c>
      <c r="Q189" s="11">
        <v>0</v>
      </c>
      <c r="R189" s="11">
        <v>4</v>
      </c>
      <c r="S189" s="11">
        <v>3</v>
      </c>
      <c r="T189" s="11">
        <v>1</v>
      </c>
      <c r="U189" s="11">
        <v>0</v>
      </c>
      <c r="V189" s="11">
        <v>1</v>
      </c>
      <c r="W189" s="11">
        <v>0</v>
      </c>
      <c r="X189" s="11">
        <v>1</v>
      </c>
      <c r="Y189" s="11">
        <v>3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</row>
    <row r="190" spans="1:32">
      <c r="A190" t="s">
        <v>70</v>
      </c>
      <c r="B190">
        <v>2022</v>
      </c>
      <c r="C190" t="str">
        <f t="shared" si="7"/>
        <v>2022-Q2</v>
      </c>
      <c r="D190" t="s">
        <v>36</v>
      </c>
      <c r="E190" t="str">
        <f t="shared" si="6"/>
        <v>South East</v>
      </c>
      <c r="F190" s="5">
        <v>11</v>
      </c>
      <c r="G190" s="5">
        <v>11</v>
      </c>
      <c r="H190" s="5">
        <v>7</v>
      </c>
      <c r="I190" s="5">
        <v>29</v>
      </c>
      <c r="J190" s="5">
        <v>45</v>
      </c>
      <c r="K190" s="5">
        <v>18</v>
      </c>
      <c r="L190" s="5">
        <v>63</v>
      </c>
      <c r="M190" s="5">
        <v>160</v>
      </c>
      <c r="N190" s="6">
        <f t="shared" si="8"/>
        <v>0.2857142857142857</v>
      </c>
      <c r="O190" s="11">
        <v>7</v>
      </c>
      <c r="P190" s="11">
        <v>0</v>
      </c>
      <c r="Q190" s="11">
        <v>0</v>
      </c>
      <c r="R190" s="11">
        <v>1</v>
      </c>
      <c r="S190" s="11">
        <v>11</v>
      </c>
      <c r="T190" s="11">
        <v>0</v>
      </c>
      <c r="U190" s="11">
        <v>0</v>
      </c>
      <c r="V190" s="11">
        <v>3</v>
      </c>
      <c r="W190" s="11">
        <v>0</v>
      </c>
      <c r="X190" s="11">
        <v>0</v>
      </c>
      <c r="Y190" s="11">
        <v>2</v>
      </c>
      <c r="Z190" s="11">
        <v>1</v>
      </c>
      <c r="AA190" s="11">
        <v>0</v>
      </c>
      <c r="AB190" s="11">
        <v>0</v>
      </c>
      <c r="AC190" s="11">
        <v>0</v>
      </c>
      <c r="AD190" s="11">
        <v>0</v>
      </c>
      <c r="AE190" s="11">
        <v>5</v>
      </c>
      <c r="AF190" s="11">
        <v>0</v>
      </c>
    </row>
    <row r="191" spans="1:32">
      <c r="A191" t="s">
        <v>70</v>
      </c>
      <c r="B191">
        <v>2022</v>
      </c>
      <c r="C191" t="str">
        <f t="shared" si="7"/>
        <v>2022-Q2</v>
      </c>
      <c r="D191" t="s">
        <v>37</v>
      </c>
      <c r="E191" t="str">
        <f t="shared" si="6"/>
        <v>North East</v>
      </c>
      <c r="F191" s="5">
        <v>27</v>
      </c>
      <c r="G191" s="5">
        <v>61</v>
      </c>
      <c r="H191" s="5">
        <v>2</v>
      </c>
      <c r="I191" s="5">
        <v>90</v>
      </c>
      <c r="J191" s="5">
        <v>351</v>
      </c>
      <c r="K191" s="5">
        <v>79</v>
      </c>
      <c r="L191" s="5">
        <v>430</v>
      </c>
      <c r="M191" s="5">
        <v>652</v>
      </c>
      <c r="N191" s="6">
        <f t="shared" si="8"/>
        <v>0.18372093023255814</v>
      </c>
      <c r="O191" s="11">
        <v>62</v>
      </c>
      <c r="P191" s="11">
        <v>0</v>
      </c>
      <c r="Q191" s="11">
        <v>7</v>
      </c>
      <c r="R191" s="11">
        <v>3</v>
      </c>
      <c r="S191" s="11">
        <v>2</v>
      </c>
      <c r="T191" s="11">
        <v>0</v>
      </c>
      <c r="U191" s="11">
        <v>0</v>
      </c>
      <c r="V191" s="11">
        <v>6</v>
      </c>
      <c r="W191" s="11">
        <v>3</v>
      </c>
      <c r="X191" s="11">
        <v>7</v>
      </c>
      <c r="Y191" s="11">
        <v>4</v>
      </c>
      <c r="Z191" s="11">
        <v>1</v>
      </c>
      <c r="AA191" s="11">
        <v>0</v>
      </c>
      <c r="AB191" s="11">
        <v>0</v>
      </c>
      <c r="AC191" s="11">
        <v>0</v>
      </c>
      <c r="AD191" s="11">
        <v>0</v>
      </c>
      <c r="AE191" s="11">
        <v>9</v>
      </c>
      <c r="AF191" s="11">
        <v>3</v>
      </c>
    </row>
    <row r="192" spans="1:32">
      <c r="A192" t="s">
        <v>70</v>
      </c>
      <c r="B192">
        <v>2022</v>
      </c>
      <c r="C192" t="str">
        <f t="shared" si="7"/>
        <v>2022-Q2</v>
      </c>
      <c r="D192" t="s">
        <v>38</v>
      </c>
      <c r="E192" t="str">
        <f t="shared" si="6"/>
        <v>South South</v>
      </c>
      <c r="F192" s="5">
        <v>1</v>
      </c>
      <c r="G192" s="5">
        <v>11</v>
      </c>
      <c r="H192" s="5">
        <v>3</v>
      </c>
      <c r="I192" s="5">
        <v>15</v>
      </c>
      <c r="J192" s="5">
        <v>25</v>
      </c>
      <c r="K192" s="5">
        <v>4</v>
      </c>
      <c r="L192" s="5">
        <v>29</v>
      </c>
      <c r="M192" s="5">
        <v>82</v>
      </c>
      <c r="N192" s="6">
        <f t="shared" si="8"/>
        <v>0.13793103448275862</v>
      </c>
      <c r="O192" s="11">
        <v>21</v>
      </c>
      <c r="P192" s="11">
        <v>0</v>
      </c>
      <c r="Q192" s="11">
        <v>0</v>
      </c>
      <c r="R192" s="11">
        <v>0</v>
      </c>
      <c r="S192" s="11">
        <v>0</v>
      </c>
      <c r="T192" s="11">
        <v>1</v>
      </c>
      <c r="U192" s="11">
        <v>0</v>
      </c>
      <c r="V192" s="11">
        <v>0</v>
      </c>
      <c r="W192" s="11">
        <v>0</v>
      </c>
      <c r="X192" s="11">
        <v>0</v>
      </c>
      <c r="Y192" s="11">
        <v>1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</row>
    <row r="193" spans="1:32">
      <c r="A193" t="s">
        <v>70</v>
      </c>
      <c r="B193">
        <v>2022</v>
      </c>
      <c r="C193" t="str">
        <f t="shared" si="7"/>
        <v>2022-Q2</v>
      </c>
      <c r="D193" t="s">
        <v>39</v>
      </c>
      <c r="E193" t="str">
        <f t="shared" si="6"/>
        <v>North Central</v>
      </c>
      <c r="F193" s="5">
        <v>26</v>
      </c>
      <c r="G193" s="5">
        <v>58</v>
      </c>
      <c r="H193" s="5">
        <v>0</v>
      </c>
      <c r="I193" s="5">
        <v>84</v>
      </c>
      <c r="J193" s="5">
        <v>273</v>
      </c>
      <c r="K193" s="5">
        <v>51</v>
      </c>
      <c r="L193" s="5">
        <v>324</v>
      </c>
      <c r="M193" s="5">
        <v>559</v>
      </c>
      <c r="N193" s="6">
        <f t="shared" si="8"/>
        <v>0.15740740740740741</v>
      </c>
      <c r="O193" s="11">
        <v>51</v>
      </c>
      <c r="P193" s="11">
        <v>1</v>
      </c>
      <c r="Q193" s="11">
        <v>6</v>
      </c>
      <c r="R193" s="11">
        <v>1</v>
      </c>
      <c r="S193" s="11">
        <v>3</v>
      </c>
      <c r="T193" s="11">
        <v>0</v>
      </c>
      <c r="U193" s="11">
        <v>1</v>
      </c>
      <c r="V193" s="11">
        <v>11</v>
      </c>
      <c r="W193" s="11">
        <v>8</v>
      </c>
      <c r="X193" s="11">
        <v>0</v>
      </c>
      <c r="Y193" s="11">
        <v>0</v>
      </c>
      <c r="Z193" s="11">
        <v>1</v>
      </c>
      <c r="AA193" s="11">
        <v>0</v>
      </c>
      <c r="AB193" s="11">
        <v>1</v>
      </c>
      <c r="AC193" s="11">
        <v>0</v>
      </c>
      <c r="AD193" s="11">
        <v>0</v>
      </c>
      <c r="AE193" s="11">
        <v>0</v>
      </c>
      <c r="AF193" s="11">
        <v>6</v>
      </c>
    </row>
    <row r="194" spans="1:32">
      <c r="A194" t="s">
        <v>70</v>
      </c>
      <c r="B194">
        <v>2022</v>
      </c>
      <c r="C194" t="str">
        <f t="shared" si="7"/>
        <v>2022-Q2</v>
      </c>
      <c r="D194" t="s">
        <v>40</v>
      </c>
      <c r="E194" t="str">
        <f t="shared" ref="E194:E257" si="9">IF(OR(D194="Adamawa", D194="Bauchi", D194="Borno", D194="Gombe", D194="Taraba", D194="Yobe"), "North East",
IF(OR(D194="Jigawa", D194="Kaduna", D194="Kano", D194="Katsina", D194="Kebbi", D194="Sokoto", D194="Zamfara"), "North West",
IF(OR(D194="Benue", D194="Kogi", D194="Kwara", D194="Nasarawa", D194="Niger", D194="Plateau", D194="FCT"), "North Central",
IF(OR(D194="Abia", D194="Anambra", D194="Ebonyi", D194="Enugu", D194="Imo"), "South East",
IF(OR(D194="Akwa Ibom", D194="Bayelsa", D194="Cross River", D194="Delta", D194="Edo", D194="Rivers"), "South South",
IF(OR(D194="Ekiti", D194="Lagos", D194="Ogun", D194="Ondo", D194="Osun", D194="Oyo"), "South West",
"Zone Not Found"))))))</f>
        <v>North East</v>
      </c>
      <c r="F194" s="5">
        <v>3</v>
      </c>
      <c r="G194" s="5">
        <v>10</v>
      </c>
      <c r="H194" s="5">
        <v>0</v>
      </c>
      <c r="I194" s="5">
        <v>13</v>
      </c>
      <c r="J194" s="5">
        <v>57</v>
      </c>
      <c r="K194" s="5">
        <v>7</v>
      </c>
      <c r="L194" s="5">
        <v>64</v>
      </c>
      <c r="M194" s="5">
        <v>94</v>
      </c>
      <c r="N194" s="6">
        <f t="shared" si="8"/>
        <v>0.109375</v>
      </c>
      <c r="O194" s="11">
        <v>6</v>
      </c>
      <c r="P194" s="11">
        <v>0</v>
      </c>
      <c r="Q194" s="11">
        <v>1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5</v>
      </c>
      <c r="AF194" s="11">
        <v>0</v>
      </c>
    </row>
    <row r="195" spans="1:32">
      <c r="A195" t="s">
        <v>70</v>
      </c>
      <c r="B195">
        <v>2022</v>
      </c>
      <c r="C195" t="str">
        <f t="shared" ref="C195:C258" si="10">B195&amp;"-"&amp;A195</f>
        <v>2022-Q2</v>
      </c>
      <c r="D195" t="s">
        <v>41</v>
      </c>
      <c r="E195" t="str">
        <f t="shared" si="9"/>
        <v>South South</v>
      </c>
      <c r="F195" s="5">
        <v>14</v>
      </c>
      <c r="G195" s="5">
        <v>14</v>
      </c>
      <c r="H195" s="5">
        <v>1</v>
      </c>
      <c r="I195" s="5">
        <v>29</v>
      </c>
      <c r="J195" s="5">
        <v>60</v>
      </c>
      <c r="K195" s="5">
        <v>18</v>
      </c>
      <c r="L195" s="5">
        <v>78</v>
      </c>
      <c r="M195" s="5">
        <v>115</v>
      </c>
      <c r="N195" s="6">
        <f t="shared" ref="N195:N258" si="11">K195/L195</f>
        <v>0.23076923076923078</v>
      </c>
      <c r="O195" s="11">
        <v>20</v>
      </c>
      <c r="P195" s="11">
        <v>0</v>
      </c>
      <c r="Q195" s="11">
        <v>1</v>
      </c>
      <c r="R195" s="11">
        <v>0</v>
      </c>
      <c r="S195" s="11">
        <v>1</v>
      </c>
      <c r="T195" s="11">
        <v>0</v>
      </c>
      <c r="U195" s="11">
        <v>0</v>
      </c>
      <c r="V195" s="11">
        <v>10</v>
      </c>
      <c r="W195" s="11">
        <v>4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</row>
    <row r="196" spans="1:32">
      <c r="A196" t="s">
        <v>70</v>
      </c>
      <c r="B196">
        <v>2022</v>
      </c>
      <c r="C196" t="str">
        <f t="shared" si="10"/>
        <v>2022-Q2</v>
      </c>
      <c r="D196" t="s">
        <v>42</v>
      </c>
      <c r="E196" t="str">
        <f t="shared" si="9"/>
        <v>South South</v>
      </c>
      <c r="F196" s="5">
        <v>23</v>
      </c>
      <c r="G196" s="5">
        <v>30</v>
      </c>
      <c r="H196" s="5">
        <v>13</v>
      </c>
      <c r="I196" s="5">
        <v>66</v>
      </c>
      <c r="J196" s="5">
        <v>173</v>
      </c>
      <c r="K196" s="5">
        <v>32</v>
      </c>
      <c r="L196" s="5">
        <v>205</v>
      </c>
      <c r="M196" s="5">
        <v>390</v>
      </c>
      <c r="N196" s="6">
        <f t="shared" si="11"/>
        <v>0.15609756097560976</v>
      </c>
      <c r="O196" s="11">
        <v>35</v>
      </c>
      <c r="P196" s="11">
        <v>0</v>
      </c>
      <c r="Q196" s="11">
        <v>12</v>
      </c>
      <c r="R196" s="11">
        <v>5</v>
      </c>
      <c r="S196" s="11">
        <v>3</v>
      </c>
      <c r="T196" s="11">
        <v>0</v>
      </c>
      <c r="U196" s="11">
        <v>1</v>
      </c>
      <c r="V196" s="11">
        <v>6</v>
      </c>
      <c r="W196" s="11">
        <v>3</v>
      </c>
      <c r="X196" s="11">
        <v>0</v>
      </c>
      <c r="Y196" s="11">
        <v>2</v>
      </c>
      <c r="Z196" s="11">
        <v>0</v>
      </c>
      <c r="AA196" s="11">
        <v>1</v>
      </c>
      <c r="AB196" s="11">
        <v>1</v>
      </c>
      <c r="AC196" s="11">
        <v>0</v>
      </c>
      <c r="AD196" s="11">
        <v>2</v>
      </c>
      <c r="AE196" s="11">
        <v>24</v>
      </c>
      <c r="AF196" s="11">
        <v>1</v>
      </c>
    </row>
    <row r="197" spans="1:32">
      <c r="A197" t="s">
        <v>70</v>
      </c>
      <c r="B197">
        <v>2022</v>
      </c>
      <c r="C197" t="str">
        <f t="shared" si="10"/>
        <v>2022-Q2</v>
      </c>
      <c r="D197" t="s">
        <v>43</v>
      </c>
      <c r="E197" t="str">
        <f t="shared" si="9"/>
        <v>South East</v>
      </c>
      <c r="F197" s="5">
        <v>8</v>
      </c>
      <c r="G197" s="5">
        <v>15</v>
      </c>
      <c r="H197" s="5">
        <v>2</v>
      </c>
      <c r="I197" s="5">
        <v>25</v>
      </c>
      <c r="J197" s="5">
        <v>76</v>
      </c>
      <c r="K197" s="5">
        <v>10</v>
      </c>
      <c r="L197" s="5">
        <v>86</v>
      </c>
      <c r="M197" s="5">
        <v>171</v>
      </c>
      <c r="N197" s="6">
        <f t="shared" si="11"/>
        <v>0.11627906976744186</v>
      </c>
      <c r="O197" s="11">
        <v>11</v>
      </c>
      <c r="P197" s="11">
        <v>0</v>
      </c>
      <c r="Q197" s="11">
        <v>3</v>
      </c>
      <c r="R197" s="11">
        <v>0</v>
      </c>
      <c r="S197" s="11">
        <v>1</v>
      </c>
      <c r="T197" s="11">
        <v>0</v>
      </c>
      <c r="U197" s="11">
        <v>0</v>
      </c>
      <c r="V197" s="11">
        <v>5</v>
      </c>
      <c r="W197" s="11">
        <v>1</v>
      </c>
      <c r="X197" s="11">
        <v>0</v>
      </c>
      <c r="Y197" s="11">
        <v>1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1</v>
      </c>
      <c r="AF197" s="11">
        <v>3</v>
      </c>
    </row>
    <row r="198" spans="1:32">
      <c r="A198" t="s">
        <v>70</v>
      </c>
      <c r="B198">
        <v>2022</v>
      </c>
      <c r="C198" t="str">
        <f t="shared" si="10"/>
        <v>2022-Q2</v>
      </c>
      <c r="D198" t="s">
        <v>44</v>
      </c>
      <c r="E198" t="str">
        <f t="shared" si="9"/>
        <v>South South</v>
      </c>
      <c r="F198" s="5">
        <v>21</v>
      </c>
      <c r="G198" s="5">
        <v>31</v>
      </c>
      <c r="H198" s="5">
        <v>6</v>
      </c>
      <c r="I198" s="5">
        <v>58</v>
      </c>
      <c r="J198" s="5">
        <v>207</v>
      </c>
      <c r="K198" s="5">
        <v>36</v>
      </c>
      <c r="L198" s="5">
        <v>243</v>
      </c>
      <c r="M198" s="5">
        <v>447</v>
      </c>
      <c r="N198" s="6">
        <f t="shared" si="11"/>
        <v>0.14814814814814814</v>
      </c>
      <c r="O198" s="11">
        <v>55</v>
      </c>
      <c r="P198" s="11">
        <v>0</v>
      </c>
      <c r="Q198" s="11">
        <v>5</v>
      </c>
      <c r="R198" s="11">
        <v>1</v>
      </c>
      <c r="S198" s="11">
        <v>11</v>
      </c>
      <c r="T198" s="11">
        <v>0</v>
      </c>
      <c r="U198" s="11">
        <v>0</v>
      </c>
      <c r="V198" s="11">
        <v>5</v>
      </c>
      <c r="W198" s="11">
        <v>3</v>
      </c>
      <c r="X198" s="11">
        <v>0</v>
      </c>
      <c r="Y198" s="11">
        <v>3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7</v>
      </c>
      <c r="AF198" s="11">
        <v>0</v>
      </c>
    </row>
    <row r="199" spans="1:32">
      <c r="A199" t="s">
        <v>70</v>
      </c>
      <c r="B199">
        <v>2022</v>
      </c>
      <c r="C199" t="str">
        <f t="shared" si="10"/>
        <v>2022-Q2</v>
      </c>
      <c r="D199" t="s">
        <v>45</v>
      </c>
      <c r="E199" t="str">
        <f t="shared" si="9"/>
        <v>South West</v>
      </c>
      <c r="F199" s="5">
        <v>7</v>
      </c>
      <c r="G199" s="5">
        <v>17</v>
      </c>
      <c r="H199" s="5">
        <v>7</v>
      </c>
      <c r="I199" s="5">
        <v>31</v>
      </c>
      <c r="J199" s="5">
        <v>58</v>
      </c>
      <c r="K199" s="5">
        <v>13</v>
      </c>
      <c r="L199" s="5">
        <v>71</v>
      </c>
      <c r="M199" s="5">
        <v>174</v>
      </c>
      <c r="N199" s="6">
        <f t="shared" si="11"/>
        <v>0.18309859154929578</v>
      </c>
      <c r="O199" s="11">
        <v>54</v>
      </c>
      <c r="P199" s="11">
        <v>0</v>
      </c>
      <c r="Q199" s="11">
        <v>0</v>
      </c>
      <c r="R199" s="11">
        <v>0</v>
      </c>
      <c r="S199" s="11">
        <v>2</v>
      </c>
      <c r="T199" s="11">
        <v>0</v>
      </c>
      <c r="U199" s="11">
        <v>0</v>
      </c>
      <c r="V199" s="11">
        <v>2</v>
      </c>
      <c r="W199" s="11">
        <v>1</v>
      </c>
      <c r="X199" s="11">
        <v>0</v>
      </c>
      <c r="Y199" s="11">
        <v>0</v>
      </c>
      <c r="Z199" s="11">
        <v>0</v>
      </c>
      <c r="AA199" s="11">
        <v>0</v>
      </c>
      <c r="AB199" s="11">
        <v>1</v>
      </c>
      <c r="AC199" s="11">
        <v>0</v>
      </c>
      <c r="AD199" s="11">
        <v>0</v>
      </c>
      <c r="AE199" s="11">
        <v>1</v>
      </c>
      <c r="AF199" s="11">
        <v>0</v>
      </c>
    </row>
    <row r="200" spans="1:32">
      <c r="A200" t="s">
        <v>70</v>
      </c>
      <c r="B200">
        <v>2022</v>
      </c>
      <c r="C200" t="str">
        <f t="shared" si="10"/>
        <v>2022-Q2</v>
      </c>
      <c r="D200" t="s">
        <v>46</v>
      </c>
      <c r="E200" t="str">
        <f t="shared" si="9"/>
        <v>South East</v>
      </c>
      <c r="F200" s="5">
        <v>16</v>
      </c>
      <c r="G200" s="5">
        <v>43</v>
      </c>
      <c r="H200" s="5">
        <v>11</v>
      </c>
      <c r="I200" s="5">
        <v>70</v>
      </c>
      <c r="J200" s="5">
        <v>215</v>
      </c>
      <c r="K200" s="5">
        <v>24</v>
      </c>
      <c r="L200" s="5">
        <v>239</v>
      </c>
      <c r="M200" s="5">
        <v>491</v>
      </c>
      <c r="N200" s="6">
        <f t="shared" si="11"/>
        <v>0.100418410041841</v>
      </c>
      <c r="O200" s="11">
        <v>28</v>
      </c>
      <c r="P200" s="11">
        <v>0</v>
      </c>
      <c r="Q200" s="11">
        <v>1</v>
      </c>
      <c r="R200" s="11">
        <v>2</v>
      </c>
      <c r="S200" s="11">
        <v>9</v>
      </c>
      <c r="T200" s="11">
        <v>0</v>
      </c>
      <c r="U200" s="11">
        <v>0</v>
      </c>
      <c r="V200" s="11">
        <v>6</v>
      </c>
      <c r="W200" s="11">
        <v>6</v>
      </c>
      <c r="X200" s="11">
        <v>0</v>
      </c>
      <c r="Y200" s="11">
        <v>2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18</v>
      </c>
      <c r="AF200" s="11">
        <v>3</v>
      </c>
    </row>
    <row r="201" spans="1:32">
      <c r="A201" t="s">
        <v>70</v>
      </c>
      <c r="B201">
        <v>2022</v>
      </c>
      <c r="C201" t="str">
        <f t="shared" si="10"/>
        <v>2022-Q2</v>
      </c>
      <c r="D201" t="s">
        <v>47</v>
      </c>
      <c r="E201" t="str">
        <f t="shared" si="9"/>
        <v>North Central</v>
      </c>
      <c r="F201" s="5">
        <v>80</v>
      </c>
      <c r="G201" s="5">
        <v>353</v>
      </c>
      <c r="H201" s="5">
        <v>105</v>
      </c>
      <c r="I201" s="5">
        <v>538</v>
      </c>
      <c r="J201" s="5">
        <v>1028</v>
      </c>
      <c r="K201" s="5">
        <v>111</v>
      </c>
      <c r="L201" s="5">
        <v>1139</v>
      </c>
      <c r="M201" s="5">
        <v>2664</v>
      </c>
      <c r="N201" s="6">
        <f t="shared" si="11"/>
        <v>9.7453906935908691E-2</v>
      </c>
      <c r="O201" s="11">
        <v>425</v>
      </c>
      <c r="P201" s="11">
        <v>0</v>
      </c>
      <c r="Q201" s="11">
        <v>36</v>
      </c>
      <c r="R201" s="11">
        <v>16</v>
      </c>
      <c r="S201" s="11">
        <v>4</v>
      </c>
      <c r="T201" s="11">
        <v>3</v>
      </c>
      <c r="U201" s="11">
        <v>2</v>
      </c>
      <c r="V201" s="11">
        <v>18</v>
      </c>
      <c r="W201" s="11">
        <v>49</v>
      </c>
      <c r="X201" s="11">
        <v>0</v>
      </c>
      <c r="Y201" s="11">
        <v>75</v>
      </c>
      <c r="Z201" s="11">
        <v>3</v>
      </c>
      <c r="AA201" s="11">
        <v>0</v>
      </c>
      <c r="AB201" s="11">
        <v>1</v>
      </c>
      <c r="AC201" s="11">
        <v>0</v>
      </c>
      <c r="AD201" s="11">
        <v>2</v>
      </c>
      <c r="AE201" s="11">
        <v>188</v>
      </c>
      <c r="AF201" s="11">
        <v>20</v>
      </c>
    </row>
    <row r="202" spans="1:32">
      <c r="A202" t="s">
        <v>70</v>
      </c>
      <c r="B202">
        <v>2022</v>
      </c>
      <c r="C202" t="str">
        <f t="shared" si="10"/>
        <v>2022-Q2</v>
      </c>
      <c r="D202" t="s">
        <v>48</v>
      </c>
      <c r="E202" t="str">
        <f t="shared" si="9"/>
        <v>North East</v>
      </c>
      <c r="F202" s="5">
        <v>13</v>
      </c>
      <c r="G202" s="5">
        <v>67</v>
      </c>
      <c r="H202" s="5">
        <v>1</v>
      </c>
      <c r="I202" s="5">
        <v>81</v>
      </c>
      <c r="J202" s="5">
        <v>199</v>
      </c>
      <c r="K202" s="5">
        <v>35</v>
      </c>
      <c r="L202" s="5">
        <v>234</v>
      </c>
      <c r="M202" s="5">
        <v>357</v>
      </c>
      <c r="N202" s="6">
        <f t="shared" si="11"/>
        <v>0.14957264957264957</v>
      </c>
      <c r="O202" s="11">
        <v>43</v>
      </c>
      <c r="P202" s="11">
        <v>2</v>
      </c>
      <c r="Q202" s="11">
        <v>7</v>
      </c>
      <c r="R202" s="11">
        <v>2</v>
      </c>
      <c r="S202" s="11">
        <v>0</v>
      </c>
      <c r="T202" s="11">
        <v>5</v>
      </c>
      <c r="U202" s="11">
        <v>0</v>
      </c>
      <c r="V202" s="11">
        <v>3</v>
      </c>
      <c r="W202" s="11">
        <v>13</v>
      </c>
      <c r="X202" s="11">
        <v>0</v>
      </c>
      <c r="Y202" s="11">
        <v>2</v>
      </c>
      <c r="Z202" s="11">
        <v>1</v>
      </c>
      <c r="AA202" s="11">
        <v>0</v>
      </c>
      <c r="AB202" s="11">
        <v>0</v>
      </c>
      <c r="AC202" s="11">
        <v>0</v>
      </c>
      <c r="AD202" s="11">
        <v>0</v>
      </c>
      <c r="AE202" s="11">
        <v>16</v>
      </c>
      <c r="AF202" s="11">
        <v>0</v>
      </c>
    </row>
    <row r="203" spans="1:32">
      <c r="A203" t="s">
        <v>70</v>
      </c>
      <c r="B203">
        <v>2022</v>
      </c>
      <c r="C203" t="str">
        <f t="shared" si="10"/>
        <v>2022-Q2</v>
      </c>
      <c r="D203" t="s">
        <v>49</v>
      </c>
      <c r="E203" t="str">
        <f t="shared" si="9"/>
        <v>South East</v>
      </c>
      <c r="F203" s="5">
        <v>5</v>
      </c>
      <c r="G203" s="5">
        <v>13</v>
      </c>
      <c r="H203" s="5">
        <v>2</v>
      </c>
      <c r="I203" s="5">
        <v>20</v>
      </c>
      <c r="J203" s="5">
        <v>46</v>
      </c>
      <c r="K203" s="5">
        <v>9</v>
      </c>
      <c r="L203" s="5">
        <v>55</v>
      </c>
      <c r="M203" s="5">
        <v>94</v>
      </c>
      <c r="N203" s="6">
        <f t="shared" si="11"/>
        <v>0.16363636363636364</v>
      </c>
      <c r="O203" s="11">
        <v>6</v>
      </c>
      <c r="P203" s="11">
        <v>0</v>
      </c>
      <c r="Q203" s="11">
        <v>1</v>
      </c>
      <c r="R203" s="11">
        <v>0</v>
      </c>
      <c r="S203" s="11">
        <v>3</v>
      </c>
      <c r="T203" s="11">
        <v>0</v>
      </c>
      <c r="U203" s="11">
        <v>0</v>
      </c>
      <c r="V203" s="11">
        <v>0</v>
      </c>
      <c r="W203" s="11">
        <v>6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10</v>
      </c>
      <c r="AF203" s="11">
        <v>0</v>
      </c>
    </row>
    <row r="204" spans="1:32">
      <c r="A204" t="s">
        <v>70</v>
      </c>
      <c r="B204">
        <v>2022</v>
      </c>
      <c r="C204" t="str">
        <f t="shared" si="10"/>
        <v>2022-Q2</v>
      </c>
      <c r="D204" t="s">
        <v>50</v>
      </c>
      <c r="E204" t="str">
        <f t="shared" si="9"/>
        <v>North West</v>
      </c>
      <c r="F204" s="5">
        <v>13</v>
      </c>
      <c r="G204" s="5">
        <v>74</v>
      </c>
      <c r="H204" s="5">
        <v>1</v>
      </c>
      <c r="I204" s="5">
        <v>88</v>
      </c>
      <c r="J204" s="5">
        <v>333</v>
      </c>
      <c r="K204" s="5">
        <v>46</v>
      </c>
      <c r="L204" s="5">
        <v>379</v>
      </c>
      <c r="M204" s="5">
        <v>594</v>
      </c>
      <c r="N204" s="6">
        <f t="shared" si="11"/>
        <v>0.12137203166226913</v>
      </c>
      <c r="O204" s="11">
        <v>99</v>
      </c>
      <c r="P204" s="11">
        <v>0</v>
      </c>
      <c r="Q204" s="11">
        <v>11</v>
      </c>
      <c r="R204" s="11">
        <v>1</v>
      </c>
      <c r="S204" s="11">
        <v>0</v>
      </c>
      <c r="T204" s="11">
        <v>5</v>
      </c>
      <c r="U204" s="11">
        <v>0</v>
      </c>
      <c r="V204" s="11">
        <v>10</v>
      </c>
      <c r="W204" s="11">
        <v>3</v>
      </c>
      <c r="X204" s="11">
        <v>0</v>
      </c>
      <c r="Y204" s="11">
        <v>3</v>
      </c>
      <c r="Z204" s="11">
        <v>9</v>
      </c>
      <c r="AA204" s="11">
        <v>0</v>
      </c>
      <c r="AB204" s="11">
        <v>0</v>
      </c>
      <c r="AC204" s="11">
        <v>1</v>
      </c>
      <c r="AD204" s="11">
        <v>1</v>
      </c>
      <c r="AE204" s="11">
        <v>3</v>
      </c>
      <c r="AF204" s="11">
        <v>1</v>
      </c>
    </row>
    <row r="205" spans="1:32">
      <c r="A205" t="s">
        <v>70</v>
      </c>
      <c r="B205">
        <v>2022</v>
      </c>
      <c r="C205" t="str">
        <f t="shared" si="10"/>
        <v>2022-Q2</v>
      </c>
      <c r="D205" t="s">
        <v>51</v>
      </c>
      <c r="E205" t="str">
        <f t="shared" si="9"/>
        <v>North West</v>
      </c>
      <c r="F205" s="5">
        <v>73</v>
      </c>
      <c r="G205" s="5">
        <v>106</v>
      </c>
      <c r="H205" s="5">
        <v>2</v>
      </c>
      <c r="I205" s="5">
        <v>181</v>
      </c>
      <c r="J205" s="5">
        <v>717</v>
      </c>
      <c r="K205" s="5">
        <v>177</v>
      </c>
      <c r="L205" s="5">
        <v>894</v>
      </c>
      <c r="M205" s="5">
        <v>1586</v>
      </c>
      <c r="N205" s="6">
        <f t="shared" si="11"/>
        <v>0.19798657718120805</v>
      </c>
      <c r="O205" s="11">
        <v>99</v>
      </c>
      <c r="P205" s="11">
        <v>0</v>
      </c>
      <c r="Q205" s="11">
        <v>15</v>
      </c>
      <c r="R205" s="11">
        <v>9</v>
      </c>
      <c r="S205" s="11">
        <v>2</v>
      </c>
      <c r="T205" s="11">
        <v>0</v>
      </c>
      <c r="U205" s="11">
        <v>0</v>
      </c>
      <c r="V205" s="11">
        <v>23</v>
      </c>
      <c r="W205" s="11">
        <v>9</v>
      </c>
      <c r="X205" s="11">
        <v>1</v>
      </c>
      <c r="Y205" s="11">
        <v>10</v>
      </c>
      <c r="Z205" s="11">
        <v>3</v>
      </c>
      <c r="AA205" s="11">
        <v>0</v>
      </c>
      <c r="AB205" s="11">
        <v>0</v>
      </c>
      <c r="AC205" s="11">
        <v>0</v>
      </c>
      <c r="AD205" s="11">
        <v>6</v>
      </c>
      <c r="AE205" s="11">
        <v>1</v>
      </c>
      <c r="AF205" s="11">
        <v>3</v>
      </c>
    </row>
    <row r="206" spans="1:32">
      <c r="A206" t="s">
        <v>70</v>
      </c>
      <c r="B206">
        <v>2022</v>
      </c>
      <c r="C206" t="str">
        <f t="shared" si="10"/>
        <v>2022-Q2</v>
      </c>
      <c r="D206" t="s">
        <v>52</v>
      </c>
      <c r="E206" t="str">
        <f t="shared" si="9"/>
        <v>North West</v>
      </c>
      <c r="F206" s="5">
        <v>37</v>
      </c>
      <c r="G206" s="5">
        <v>53</v>
      </c>
      <c r="H206" s="5">
        <v>1</v>
      </c>
      <c r="I206" s="5">
        <v>91</v>
      </c>
      <c r="J206" s="5">
        <v>406</v>
      </c>
      <c r="K206" s="5">
        <v>74</v>
      </c>
      <c r="L206" s="5">
        <v>480</v>
      </c>
      <c r="M206" s="5">
        <v>683</v>
      </c>
      <c r="N206" s="6">
        <f t="shared" si="11"/>
        <v>0.15416666666666667</v>
      </c>
      <c r="O206" s="11">
        <v>71</v>
      </c>
      <c r="P206" s="11">
        <v>0</v>
      </c>
      <c r="Q206" s="11">
        <v>2</v>
      </c>
      <c r="R206" s="11">
        <v>2</v>
      </c>
      <c r="S206" s="11">
        <v>2</v>
      </c>
      <c r="T206" s="11">
        <v>2</v>
      </c>
      <c r="U206" s="11">
        <v>0</v>
      </c>
      <c r="V206" s="11">
        <v>6</v>
      </c>
      <c r="W206" s="11">
        <v>7</v>
      </c>
      <c r="X206" s="11">
        <v>0</v>
      </c>
      <c r="Y206" s="11">
        <v>7</v>
      </c>
      <c r="Z206" s="11">
        <v>1</v>
      </c>
      <c r="AA206" s="11">
        <v>0</v>
      </c>
      <c r="AB206" s="11">
        <v>0</v>
      </c>
      <c r="AC206" s="11">
        <v>0</v>
      </c>
      <c r="AD206" s="11">
        <v>0</v>
      </c>
      <c r="AE206" s="11">
        <v>6</v>
      </c>
      <c r="AF206" s="11">
        <v>1</v>
      </c>
    </row>
    <row r="207" spans="1:32">
      <c r="A207" t="s">
        <v>70</v>
      </c>
      <c r="B207">
        <v>2022</v>
      </c>
      <c r="C207" t="str">
        <f t="shared" si="10"/>
        <v>2022-Q2</v>
      </c>
      <c r="D207" t="s">
        <v>53</v>
      </c>
      <c r="E207" t="str">
        <f t="shared" si="9"/>
        <v>North West</v>
      </c>
      <c r="F207" s="5">
        <v>14</v>
      </c>
      <c r="G207" s="5">
        <v>12</v>
      </c>
      <c r="H207" s="5">
        <v>0</v>
      </c>
      <c r="I207" s="5">
        <v>26</v>
      </c>
      <c r="J207" s="5">
        <v>131</v>
      </c>
      <c r="K207" s="5">
        <v>22</v>
      </c>
      <c r="L207" s="5">
        <v>153</v>
      </c>
      <c r="M207" s="5">
        <v>197</v>
      </c>
      <c r="N207" s="6">
        <f t="shared" si="11"/>
        <v>0.1437908496732026</v>
      </c>
      <c r="O207" s="11">
        <v>21</v>
      </c>
      <c r="P207" s="11">
        <v>0</v>
      </c>
      <c r="Q207" s="11">
        <v>3</v>
      </c>
      <c r="R207" s="11">
        <v>0</v>
      </c>
      <c r="S207" s="11">
        <v>0</v>
      </c>
      <c r="T207" s="11">
        <v>1</v>
      </c>
      <c r="U207" s="11">
        <v>0</v>
      </c>
      <c r="V207" s="11">
        <v>0</v>
      </c>
      <c r="W207" s="11">
        <v>1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2</v>
      </c>
      <c r="AF207" s="11">
        <v>0</v>
      </c>
    </row>
    <row r="208" spans="1:32">
      <c r="A208" t="s">
        <v>70</v>
      </c>
      <c r="B208">
        <v>2022</v>
      </c>
      <c r="C208" t="str">
        <f t="shared" si="10"/>
        <v>2022-Q2</v>
      </c>
      <c r="D208" t="s">
        <v>54</v>
      </c>
      <c r="E208" t="str">
        <f t="shared" si="9"/>
        <v>North West</v>
      </c>
      <c r="F208" s="5">
        <v>10</v>
      </c>
      <c r="G208" s="5">
        <v>29</v>
      </c>
      <c r="H208" s="5">
        <v>0</v>
      </c>
      <c r="I208" s="5">
        <v>39</v>
      </c>
      <c r="J208" s="5">
        <v>138</v>
      </c>
      <c r="K208" s="5">
        <v>13</v>
      </c>
      <c r="L208" s="5">
        <v>151</v>
      </c>
      <c r="M208" s="5">
        <v>180</v>
      </c>
      <c r="N208" s="6">
        <f t="shared" si="11"/>
        <v>8.6092715231788075E-2</v>
      </c>
      <c r="O208" s="11">
        <v>33</v>
      </c>
      <c r="P208" s="11">
        <v>3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1</v>
      </c>
      <c r="W208" s="11">
        <v>2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</row>
    <row r="209" spans="1:32">
      <c r="A209" t="s">
        <v>70</v>
      </c>
      <c r="B209">
        <v>2022</v>
      </c>
      <c r="C209" t="str">
        <f t="shared" si="10"/>
        <v>2022-Q2</v>
      </c>
      <c r="D209" t="s">
        <v>55</v>
      </c>
      <c r="E209" t="str">
        <f t="shared" si="9"/>
        <v>North Central</v>
      </c>
      <c r="F209" s="5">
        <v>35</v>
      </c>
      <c r="G209" s="5">
        <v>83</v>
      </c>
      <c r="H209" s="5">
        <v>21</v>
      </c>
      <c r="I209" s="5">
        <v>139</v>
      </c>
      <c r="J209" s="5">
        <v>395</v>
      </c>
      <c r="K209" s="5">
        <v>81</v>
      </c>
      <c r="L209" s="5">
        <v>476</v>
      </c>
      <c r="M209" s="5">
        <v>1242</v>
      </c>
      <c r="N209" s="6">
        <f t="shared" si="11"/>
        <v>0.17016806722689076</v>
      </c>
      <c r="O209" s="11">
        <v>131</v>
      </c>
      <c r="P209" s="11">
        <v>0</v>
      </c>
      <c r="Q209" s="11">
        <v>9</v>
      </c>
      <c r="R209" s="11">
        <v>9</v>
      </c>
      <c r="S209" s="11">
        <v>17</v>
      </c>
      <c r="T209" s="11">
        <v>0</v>
      </c>
      <c r="U209" s="11">
        <v>0</v>
      </c>
      <c r="V209" s="11">
        <v>17</v>
      </c>
      <c r="W209" s="11">
        <v>16</v>
      </c>
      <c r="X209" s="11">
        <v>0</v>
      </c>
      <c r="Y209" s="11">
        <v>16</v>
      </c>
      <c r="Z209" s="11">
        <v>2</v>
      </c>
      <c r="AA209" s="11">
        <v>9</v>
      </c>
      <c r="AB209" s="11">
        <v>1</v>
      </c>
      <c r="AC209" s="11">
        <v>0</v>
      </c>
      <c r="AD209" s="11">
        <v>2</v>
      </c>
      <c r="AE209" s="11">
        <v>2</v>
      </c>
      <c r="AF209" s="11">
        <v>2</v>
      </c>
    </row>
    <row r="210" spans="1:32">
      <c r="A210" t="s">
        <v>70</v>
      </c>
      <c r="B210">
        <v>2022</v>
      </c>
      <c r="C210" t="str">
        <f t="shared" si="10"/>
        <v>2022-Q2</v>
      </c>
      <c r="D210" t="s">
        <v>56</v>
      </c>
      <c r="E210" t="str">
        <f t="shared" si="9"/>
        <v>North Central</v>
      </c>
      <c r="F210" s="5">
        <v>39</v>
      </c>
      <c r="G210" s="5">
        <v>42</v>
      </c>
      <c r="H210" s="5">
        <v>12</v>
      </c>
      <c r="I210" s="5">
        <v>93</v>
      </c>
      <c r="J210" s="5">
        <v>342</v>
      </c>
      <c r="K210" s="5">
        <v>67</v>
      </c>
      <c r="L210" s="5">
        <v>409</v>
      </c>
      <c r="M210" s="5">
        <v>727</v>
      </c>
      <c r="N210" s="6">
        <f t="shared" si="11"/>
        <v>0.16381418092909536</v>
      </c>
      <c r="O210" s="11">
        <v>67</v>
      </c>
      <c r="P210" s="11">
        <v>0</v>
      </c>
      <c r="Q210" s="11">
        <v>4</v>
      </c>
      <c r="R210" s="11">
        <v>5</v>
      </c>
      <c r="S210" s="11">
        <v>4</v>
      </c>
      <c r="T210" s="11">
        <v>0</v>
      </c>
      <c r="U210" s="11">
        <v>3</v>
      </c>
      <c r="V210" s="11">
        <v>13</v>
      </c>
      <c r="W210" s="11">
        <v>11</v>
      </c>
      <c r="X210" s="11">
        <v>0</v>
      </c>
      <c r="Y210" s="11">
        <v>2</v>
      </c>
      <c r="Z210" s="11">
        <v>1</v>
      </c>
      <c r="AA210" s="11">
        <v>0</v>
      </c>
      <c r="AB210" s="11">
        <v>1</v>
      </c>
      <c r="AC210" s="11">
        <v>0</v>
      </c>
      <c r="AD210" s="11">
        <v>0</v>
      </c>
      <c r="AE210" s="11">
        <v>14</v>
      </c>
      <c r="AF210" s="11">
        <v>2</v>
      </c>
    </row>
    <row r="211" spans="1:32">
      <c r="A211" t="s">
        <v>70</v>
      </c>
      <c r="B211">
        <v>2022</v>
      </c>
      <c r="C211" t="str">
        <f t="shared" si="10"/>
        <v>2022-Q2</v>
      </c>
      <c r="D211" t="s">
        <v>57</v>
      </c>
      <c r="E211" t="str">
        <f t="shared" si="9"/>
        <v>South West</v>
      </c>
      <c r="F211" s="5">
        <v>23</v>
      </c>
      <c r="G211" s="5">
        <v>74</v>
      </c>
      <c r="H211" s="5">
        <v>51</v>
      </c>
      <c r="I211" s="5">
        <v>148</v>
      </c>
      <c r="J211" s="5">
        <v>209</v>
      </c>
      <c r="K211" s="5">
        <v>32</v>
      </c>
      <c r="L211" s="5">
        <v>241</v>
      </c>
      <c r="M211" s="5">
        <v>720</v>
      </c>
      <c r="N211" s="6">
        <f t="shared" si="11"/>
        <v>0.13278008298755187</v>
      </c>
      <c r="O211" s="11">
        <v>87</v>
      </c>
      <c r="P211" s="11">
        <v>0</v>
      </c>
      <c r="Q211" s="11">
        <v>3</v>
      </c>
      <c r="R211" s="11">
        <v>10</v>
      </c>
      <c r="S211" s="11">
        <v>22</v>
      </c>
      <c r="T211" s="11">
        <v>0</v>
      </c>
      <c r="U211" s="11">
        <v>0</v>
      </c>
      <c r="V211" s="11">
        <v>8</v>
      </c>
      <c r="W211" s="11">
        <v>5</v>
      </c>
      <c r="X211" s="11">
        <v>0</v>
      </c>
      <c r="Y211" s="11">
        <v>4</v>
      </c>
      <c r="Z211" s="11">
        <v>0</v>
      </c>
      <c r="AA211" s="11">
        <v>0</v>
      </c>
      <c r="AB211" s="11">
        <v>4</v>
      </c>
      <c r="AC211" s="11">
        <v>1</v>
      </c>
      <c r="AD211" s="11">
        <v>0</v>
      </c>
      <c r="AE211" s="11">
        <v>0</v>
      </c>
      <c r="AF211" s="11">
        <v>5</v>
      </c>
    </row>
    <row r="212" spans="1:32">
      <c r="A212" t="s">
        <v>70</v>
      </c>
      <c r="B212">
        <v>2022</v>
      </c>
      <c r="C212" t="str">
        <f t="shared" si="10"/>
        <v>2022-Q2</v>
      </c>
      <c r="D212" t="s">
        <v>58</v>
      </c>
      <c r="E212" t="str">
        <f t="shared" si="9"/>
        <v>North Central</v>
      </c>
      <c r="F212" s="5">
        <v>37</v>
      </c>
      <c r="G212" s="5">
        <v>191</v>
      </c>
      <c r="H212" s="5">
        <v>9</v>
      </c>
      <c r="I212" s="5">
        <v>237</v>
      </c>
      <c r="J212" s="5">
        <v>602</v>
      </c>
      <c r="K212" s="5">
        <v>65</v>
      </c>
      <c r="L212" s="5">
        <v>667</v>
      </c>
      <c r="M212" s="5">
        <v>1286</v>
      </c>
      <c r="N212" s="6">
        <f t="shared" si="11"/>
        <v>9.7451274362818585E-2</v>
      </c>
      <c r="O212" s="11">
        <v>133</v>
      </c>
      <c r="P212" s="11">
        <v>0</v>
      </c>
      <c r="Q212" s="11">
        <v>9</v>
      </c>
      <c r="R212" s="11">
        <v>5</v>
      </c>
      <c r="S212" s="11">
        <v>2</v>
      </c>
      <c r="T212" s="11">
        <v>1</v>
      </c>
      <c r="U212" s="11">
        <v>0</v>
      </c>
      <c r="V212" s="11">
        <v>29</v>
      </c>
      <c r="W212" s="11">
        <v>35</v>
      </c>
      <c r="X212" s="11">
        <v>1</v>
      </c>
      <c r="Y212" s="11">
        <v>26</v>
      </c>
      <c r="Z212" s="11">
        <v>3</v>
      </c>
      <c r="AA212" s="11">
        <v>1</v>
      </c>
      <c r="AB212" s="11">
        <v>1</v>
      </c>
      <c r="AC212" s="11">
        <v>1</v>
      </c>
      <c r="AD212" s="11">
        <v>0</v>
      </c>
      <c r="AE212" s="11">
        <v>32</v>
      </c>
      <c r="AF212" s="11">
        <v>27</v>
      </c>
    </row>
    <row r="213" spans="1:32">
      <c r="A213" t="s">
        <v>70</v>
      </c>
      <c r="B213">
        <v>2022</v>
      </c>
      <c r="C213" t="str">
        <f t="shared" si="10"/>
        <v>2022-Q2</v>
      </c>
      <c r="D213" t="s">
        <v>59</v>
      </c>
      <c r="E213" t="str">
        <f t="shared" si="9"/>
        <v>North Central</v>
      </c>
      <c r="F213" s="5">
        <v>34</v>
      </c>
      <c r="G213" s="5">
        <v>92</v>
      </c>
      <c r="H213" s="5">
        <v>2</v>
      </c>
      <c r="I213" s="5">
        <v>128</v>
      </c>
      <c r="J213" s="5">
        <v>456</v>
      </c>
      <c r="K213" s="5">
        <v>75</v>
      </c>
      <c r="L213" s="5">
        <v>531</v>
      </c>
      <c r="M213" s="5">
        <v>855</v>
      </c>
      <c r="N213" s="6">
        <f t="shared" si="11"/>
        <v>0.14124293785310735</v>
      </c>
      <c r="O213" s="11">
        <v>141</v>
      </c>
      <c r="P213" s="11">
        <v>0</v>
      </c>
      <c r="Q213" s="11">
        <v>7</v>
      </c>
      <c r="R213" s="11">
        <v>2</v>
      </c>
      <c r="S213" s="11">
        <v>0</v>
      </c>
      <c r="T213" s="11">
        <v>1</v>
      </c>
      <c r="U213" s="11">
        <v>0</v>
      </c>
      <c r="V213" s="11">
        <v>15</v>
      </c>
      <c r="W213" s="11">
        <v>1</v>
      </c>
      <c r="X213" s="11">
        <v>1</v>
      </c>
      <c r="Y213" s="11">
        <v>5</v>
      </c>
      <c r="Z213" s="11">
        <v>1</v>
      </c>
      <c r="AA213" s="11">
        <v>0</v>
      </c>
      <c r="AB213" s="11">
        <v>1</v>
      </c>
      <c r="AC213" s="11">
        <v>0</v>
      </c>
      <c r="AD213" s="11">
        <v>2</v>
      </c>
      <c r="AE213" s="11">
        <v>4</v>
      </c>
      <c r="AF213" s="11">
        <v>4</v>
      </c>
    </row>
    <row r="214" spans="1:32">
      <c r="A214" t="s">
        <v>70</v>
      </c>
      <c r="B214">
        <v>2022</v>
      </c>
      <c r="C214" t="str">
        <f t="shared" si="10"/>
        <v>2022-Q2</v>
      </c>
      <c r="D214" t="s">
        <v>60</v>
      </c>
      <c r="E214" t="str">
        <f t="shared" si="9"/>
        <v>South West</v>
      </c>
      <c r="F214" s="5">
        <v>54</v>
      </c>
      <c r="G214" s="5">
        <v>150</v>
      </c>
      <c r="H214" s="5">
        <v>35</v>
      </c>
      <c r="I214" s="5">
        <v>239</v>
      </c>
      <c r="J214" s="5">
        <v>595</v>
      </c>
      <c r="K214" s="5">
        <v>90</v>
      </c>
      <c r="L214" s="5">
        <v>685</v>
      </c>
      <c r="M214" s="5">
        <v>1586</v>
      </c>
      <c r="N214" s="6">
        <f t="shared" si="11"/>
        <v>0.13138686131386862</v>
      </c>
      <c r="O214" s="11">
        <v>243</v>
      </c>
      <c r="P214" s="11">
        <v>1</v>
      </c>
      <c r="Q214" s="11">
        <v>8</v>
      </c>
      <c r="R214" s="11">
        <v>4</v>
      </c>
      <c r="S214" s="11">
        <v>5</v>
      </c>
      <c r="T214" s="11">
        <v>0</v>
      </c>
      <c r="U214" s="11">
        <v>0</v>
      </c>
      <c r="V214" s="11">
        <v>20</v>
      </c>
      <c r="W214" s="11">
        <v>19</v>
      </c>
      <c r="X214" s="11">
        <v>0</v>
      </c>
      <c r="Y214" s="11">
        <v>26</v>
      </c>
      <c r="Z214" s="11">
        <v>0</v>
      </c>
      <c r="AA214" s="11">
        <v>0</v>
      </c>
      <c r="AB214" s="11">
        <v>2</v>
      </c>
      <c r="AC214" s="11">
        <v>0</v>
      </c>
      <c r="AD214" s="11">
        <v>0</v>
      </c>
      <c r="AE214" s="11">
        <v>5</v>
      </c>
      <c r="AF214" s="11">
        <v>11</v>
      </c>
    </row>
    <row r="215" spans="1:32">
      <c r="A215" t="s">
        <v>70</v>
      </c>
      <c r="B215">
        <v>2022</v>
      </c>
      <c r="C215" t="str">
        <f t="shared" si="10"/>
        <v>2022-Q2</v>
      </c>
      <c r="D215" t="s">
        <v>61</v>
      </c>
      <c r="E215" t="str">
        <f t="shared" si="9"/>
        <v>South West</v>
      </c>
      <c r="F215" s="5">
        <v>25</v>
      </c>
      <c r="G215" s="5">
        <v>74</v>
      </c>
      <c r="H215" s="5">
        <v>15</v>
      </c>
      <c r="I215" s="5">
        <v>114</v>
      </c>
      <c r="J215" s="5">
        <v>244</v>
      </c>
      <c r="K215" s="5">
        <v>35</v>
      </c>
      <c r="L215" s="5">
        <v>279</v>
      </c>
      <c r="M215" s="5">
        <v>529</v>
      </c>
      <c r="N215" s="6">
        <f t="shared" si="11"/>
        <v>0.12544802867383512</v>
      </c>
      <c r="O215" s="11">
        <v>90</v>
      </c>
      <c r="P215" s="11">
        <v>0</v>
      </c>
      <c r="Q215" s="11">
        <v>5</v>
      </c>
      <c r="R215" s="11">
        <v>4</v>
      </c>
      <c r="S215" s="11">
        <v>3</v>
      </c>
      <c r="T215" s="11">
        <v>1</v>
      </c>
      <c r="U215" s="11">
        <v>0</v>
      </c>
      <c r="V215" s="11">
        <v>13</v>
      </c>
      <c r="W215" s="11">
        <v>21</v>
      </c>
      <c r="X215" s="11">
        <v>4</v>
      </c>
      <c r="Y215" s="11">
        <v>14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1</v>
      </c>
    </row>
    <row r="216" spans="1:32">
      <c r="A216" t="s">
        <v>70</v>
      </c>
      <c r="B216">
        <v>2022</v>
      </c>
      <c r="C216" t="str">
        <f t="shared" si="10"/>
        <v>2022-Q2</v>
      </c>
      <c r="D216" t="s">
        <v>62</v>
      </c>
      <c r="E216" t="str">
        <f t="shared" si="9"/>
        <v>South West</v>
      </c>
      <c r="F216" s="5">
        <v>15</v>
      </c>
      <c r="G216" s="5">
        <v>56</v>
      </c>
      <c r="H216" s="5">
        <v>7</v>
      </c>
      <c r="I216" s="5">
        <v>78</v>
      </c>
      <c r="J216" s="5">
        <v>245</v>
      </c>
      <c r="K216" s="5">
        <v>20</v>
      </c>
      <c r="L216" s="5">
        <v>265</v>
      </c>
      <c r="M216" s="5">
        <v>588</v>
      </c>
      <c r="N216" s="6">
        <f t="shared" si="11"/>
        <v>7.5471698113207544E-2</v>
      </c>
      <c r="O216" s="11">
        <v>61</v>
      </c>
      <c r="P216" s="11">
        <v>0</v>
      </c>
      <c r="Q216" s="11">
        <v>12</v>
      </c>
      <c r="R216" s="11">
        <v>3</v>
      </c>
      <c r="S216" s="11">
        <v>6</v>
      </c>
      <c r="T216" s="11">
        <v>1</v>
      </c>
      <c r="U216" s="11">
        <v>0</v>
      </c>
      <c r="V216" s="11">
        <v>11</v>
      </c>
      <c r="W216" s="11">
        <v>4</v>
      </c>
      <c r="X216" s="11">
        <v>3</v>
      </c>
      <c r="Y216" s="11">
        <v>13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2</v>
      </c>
    </row>
    <row r="217" spans="1:32">
      <c r="A217" t="s">
        <v>70</v>
      </c>
      <c r="B217">
        <v>2022</v>
      </c>
      <c r="C217" t="str">
        <f t="shared" si="10"/>
        <v>2022-Q2</v>
      </c>
      <c r="D217" t="s">
        <v>63</v>
      </c>
      <c r="E217" t="str">
        <f t="shared" si="9"/>
        <v>South West</v>
      </c>
      <c r="F217" s="5">
        <v>51</v>
      </c>
      <c r="G217" s="5">
        <v>107</v>
      </c>
      <c r="H217" s="5">
        <v>13</v>
      </c>
      <c r="I217" s="5">
        <v>171</v>
      </c>
      <c r="J217" s="5">
        <v>378</v>
      </c>
      <c r="K217" s="5">
        <v>64</v>
      </c>
      <c r="L217" s="5">
        <v>442</v>
      </c>
      <c r="M217" s="5">
        <v>1084</v>
      </c>
      <c r="N217" s="6">
        <f t="shared" si="11"/>
        <v>0.14479638009049775</v>
      </c>
      <c r="O217" s="11">
        <v>106</v>
      </c>
      <c r="P217" s="11">
        <v>1</v>
      </c>
      <c r="Q217" s="11">
        <v>22</v>
      </c>
      <c r="R217" s="11">
        <v>8</v>
      </c>
      <c r="S217" s="11">
        <v>15</v>
      </c>
      <c r="T217" s="11">
        <v>1</v>
      </c>
      <c r="U217" s="11">
        <v>0</v>
      </c>
      <c r="V217" s="11">
        <v>12</v>
      </c>
      <c r="W217" s="11">
        <v>13</v>
      </c>
      <c r="X217" s="11">
        <v>0</v>
      </c>
      <c r="Y217" s="11">
        <v>10</v>
      </c>
      <c r="Z217" s="11">
        <v>0</v>
      </c>
      <c r="AA217" s="11">
        <v>0</v>
      </c>
      <c r="AB217" s="11">
        <v>0</v>
      </c>
      <c r="AC217" s="11">
        <v>0</v>
      </c>
      <c r="AD217" s="11">
        <v>4</v>
      </c>
      <c r="AE217" s="11">
        <v>0</v>
      </c>
      <c r="AF217" s="11">
        <v>3</v>
      </c>
    </row>
    <row r="218" spans="1:32">
      <c r="A218" t="s">
        <v>70</v>
      </c>
      <c r="B218">
        <v>2022</v>
      </c>
      <c r="C218" t="str">
        <f t="shared" si="10"/>
        <v>2022-Q2</v>
      </c>
      <c r="D218" t="s">
        <v>64</v>
      </c>
      <c r="E218" t="str">
        <f t="shared" si="9"/>
        <v>North Central</v>
      </c>
      <c r="F218" s="5">
        <v>21</v>
      </c>
      <c r="G218" s="5">
        <v>37</v>
      </c>
      <c r="H218" s="5">
        <v>4</v>
      </c>
      <c r="I218" s="5">
        <v>62</v>
      </c>
      <c r="J218" s="5">
        <v>184</v>
      </c>
      <c r="K218" s="5">
        <v>39</v>
      </c>
      <c r="L218" s="5">
        <v>223</v>
      </c>
      <c r="M218" s="5">
        <v>627</v>
      </c>
      <c r="N218" s="6">
        <f t="shared" si="11"/>
        <v>0.17488789237668162</v>
      </c>
      <c r="O218" s="11">
        <v>26</v>
      </c>
      <c r="P218" s="11">
        <v>0</v>
      </c>
      <c r="Q218" s="11">
        <v>2</v>
      </c>
      <c r="R218" s="11">
        <v>9</v>
      </c>
      <c r="S218" s="11">
        <v>5</v>
      </c>
      <c r="T218" s="11">
        <v>1</v>
      </c>
      <c r="U218" s="11">
        <v>1</v>
      </c>
      <c r="V218" s="11">
        <v>10</v>
      </c>
      <c r="W218" s="11">
        <v>4</v>
      </c>
      <c r="X218" s="11">
        <v>0</v>
      </c>
      <c r="Y218" s="11">
        <v>0</v>
      </c>
      <c r="Z218" s="11">
        <v>2</v>
      </c>
      <c r="AA218" s="11">
        <v>0</v>
      </c>
      <c r="AB218" s="11">
        <v>0</v>
      </c>
      <c r="AC218" s="11">
        <v>0</v>
      </c>
      <c r="AD218" s="11">
        <v>1</v>
      </c>
      <c r="AE218" s="11">
        <v>1</v>
      </c>
      <c r="AF218" s="11">
        <v>13</v>
      </c>
    </row>
    <row r="219" spans="1:32">
      <c r="A219" t="s">
        <v>70</v>
      </c>
      <c r="B219">
        <v>2022</v>
      </c>
      <c r="C219" t="str">
        <f t="shared" si="10"/>
        <v>2022-Q2</v>
      </c>
      <c r="D219" t="s">
        <v>65</v>
      </c>
      <c r="E219" t="str">
        <f t="shared" si="9"/>
        <v>South South</v>
      </c>
      <c r="F219" s="5">
        <v>6</v>
      </c>
      <c r="G219" s="5">
        <v>10</v>
      </c>
      <c r="H219" s="5">
        <v>6</v>
      </c>
      <c r="I219" s="5">
        <v>22</v>
      </c>
      <c r="J219" s="5">
        <v>54</v>
      </c>
      <c r="K219" s="5">
        <v>6</v>
      </c>
      <c r="L219" s="5">
        <v>60</v>
      </c>
      <c r="M219" s="5">
        <v>165</v>
      </c>
      <c r="N219" s="6">
        <f t="shared" si="11"/>
        <v>0.1</v>
      </c>
      <c r="O219" s="11">
        <v>7</v>
      </c>
      <c r="P219" s="11">
        <v>0</v>
      </c>
      <c r="Q219" s="11">
        <v>3</v>
      </c>
      <c r="R219" s="11">
        <v>1</v>
      </c>
      <c r="S219" s="11">
        <v>2</v>
      </c>
      <c r="T219" s="11">
        <v>0</v>
      </c>
      <c r="U219" s="11">
        <v>0</v>
      </c>
      <c r="V219" s="11">
        <v>2</v>
      </c>
      <c r="W219" s="11">
        <v>5</v>
      </c>
      <c r="X219" s="11">
        <v>1</v>
      </c>
      <c r="Y219" s="11">
        <v>1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1</v>
      </c>
    </row>
    <row r="220" spans="1:32">
      <c r="A220" t="s">
        <v>70</v>
      </c>
      <c r="B220">
        <v>2022</v>
      </c>
      <c r="C220" t="str">
        <f t="shared" si="10"/>
        <v>2022-Q2</v>
      </c>
      <c r="D220" t="s">
        <v>66</v>
      </c>
      <c r="E220" t="str">
        <f t="shared" si="9"/>
        <v>North West</v>
      </c>
      <c r="F220" s="5">
        <v>17</v>
      </c>
      <c r="G220" s="5">
        <v>12</v>
      </c>
      <c r="H220" s="5">
        <v>2</v>
      </c>
      <c r="I220" s="5">
        <v>31</v>
      </c>
      <c r="J220" s="5">
        <v>126</v>
      </c>
      <c r="K220" s="5">
        <v>68</v>
      </c>
      <c r="L220" s="5">
        <v>194</v>
      </c>
      <c r="M220" s="5">
        <v>248</v>
      </c>
      <c r="N220" s="6">
        <f t="shared" si="11"/>
        <v>0.35051546391752575</v>
      </c>
      <c r="O220" s="11">
        <v>20</v>
      </c>
      <c r="P220" s="11">
        <v>0</v>
      </c>
      <c r="Q220" s="11">
        <v>4</v>
      </c>
      <c r="R220" s="11">
        <v>0</v>
      </c>
      <c r="S220" s="11">
        <v>1</v>
      </c>
      <c r="T220" s="11">
        <v>0</v>
      </c>
      <c r="U220" s="11">
        <v>0</v>
      </c>
      <c r="V220" s="11">
        <v>2</v>
      </c>
      <c r="W220" s="11">
        <v>1</v>
      </c>
      <c r="X220" s="11">
        <v>0</v>
      </c>
      <c r="Y220" s="11">
        <v>4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8</v>
      </c>
    </row>
    <row r="221" spans="1:32">
      <c r="A221" t="s">
        <v>70</v>
      </c>
      <c r="B221">
        <v>2022</v>
      </c>
      <c r="C221" t="str">
        <f t="shared" si="10"/>
        <v>2022-Q2</v>
      </c>
      <c r="D221" t="s">
        <v>67</v>
      </c>
      <c r="E221" t="str">
        <f t="shared" si="9"/>
        <v>North East</v>
      </c>
      <c r="F221" s="5">
        <v>7</v>
      </c>
      <c r="G221" s="5">
        <v>57</v>
      </c>
      <c r="H221" s="5">
        <v>2</v>
      </c>
      <c r="I221" s="5">
        <v>66</v>
      </c>
      <c r="J221" s="5">
        <v>162</v>
      </c>
      <c r="K221" s="5">
        <v>9</v>
      </c>
      <c r="L221" s="5">
        <v>171</v>
      </c>
      <c r="M221" s="5">
        <v>294</v>
      </c>
      <c r="N221" s="6">
        <f t="shared" si="11"/>
        <v>5.2631578947368418E-2</v>
      </c>
      <c r="O221" s="11">
        <v>25</v>
      </c>
      <c r="P221" s="11">
        <v>0</v>
      </c>
      <c r="Q221" s="11">
        <v>3</v>
      </c>
      <c r="R221" s="11">
        <v>0</v>
      </c>
      <c r="S221" s="11">
        <v>0</v>
      </c>
      <c r="T221" s="11">
        <v>0</v>
      </c>
      <c r="U221" s="11">
        <v>0</v>
      </c>
      <c r="V221" s="11">
        <v>1</v>
      </c>
      <c r="W221" s="11">
        <v>24</v>
      </c>
      <c r="X221" s="11">
        <v>0</v>
      </c>
      <c r="Y221" s="11">
        <v>13</v>
      </c>
      <c r="Z221" s="11">
        <v>1</v>
      </c>
      <c r="AA221" s="11">
        <v>0</v>
      </c>
      <c r="AB221" s="11">
        <v>0</v>
      </c>
      <c r="AC221" s="11">
        <v>0</v>
      </c>
      <c r="AD221" s="11">
        <v>2</v>
      </c>
      <c r="AE221" s="11">
        <v>17</v>
      </c>
      <c r="AF221" s="11">
        <v>0</v>
      </c>
    </row>
    <row r="222" spans="1:32">
      <c r="A222" t="s">
        <v>70</v>
      </c>
      <c r="B222">
        <v>2022</v>
      </c>
      <c r="C222" t="str">
        <f t="shared" si="10"/>
        <v>2022-Q2</v>
      </c>
      <c r="D222" t="s">
        <v>68</v>
      </c>
      <c r="E222" t="str">
        <f t="shared" si="9"/>
        <v>North East</v>
      </c>
      <c r="F222" s="5">
        <v>18</v>
      </c>
      <c r="G222" s="5">
        <v>13</v>
      </c>
      <c r="H222" s="5">
        <v>0</v>
      </c>
      <c r="I222" s="5">
        <v>31</v>
      </c>
      <c r="J222" s="5">
        <v>192</v>
      </c>
      <c r="K222" s="5">
        <v>35</v>
      </c>
      <c r="L222" s="5">
        <v>227</v>
      </c>
      <c r="M222" s="5">
        <v>271</v>
      </c>
      <c r="N222" s="6">
        <f t="shared" si="11"/>
        <v>0.15418502202643172</v>
      </c>
      <c r="O222" s="11">
        <v>27</v>
      </c>
      <c r="P222" s="11">
        <v>0</v>
      </c>
      <c r="Q222" s="11">
        <v>6</v>
      </c>
      <c r="R222" s="11">
        <v>2</v>
      </c>
      <c r="S222" s="11">
        <v>0</v>
      </c>
      <c r="T222" s="11">
        <v>1</v>
      </c>
      <c r="U222" s="11">
        <v>0</v>
      </c>
      <c r="V222" s="11">
        <v>1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6</v>
      </c>
      <c r="AF222" s="11">
        <v>1</v>
      </c>
    </row>
    <row r="223" spans="1:32">
      <c r="A223" t="s">
        <v>70</v>
      </c>
      <c r="B223">
        <v>2022</v>
      </c>
      <c r="C223" t="str">
        <f t="shared" si="10"/>
        <v>2022-Q2</v>
      </c>
      <c r="D223" t="s">
        <v>69</v>
      </c>
      <c r="E223" t="str">
        <f t="shared" si="9"/>
        <v>North West</v>
      </c>
      <c r="F223" s="5">
        <v>7</v>
      </c>
      <c r="G223" s="5">
        <v>21</v>
      </c>
      <c r="H223" s="5">
        <v>0</v>
      </c>
      <c r="I223" s="5">
        <v>28</v>
      </c>
      <c r="J223" s="5">
        <v>78</v>
      </c>
      <c r="K223" s="5">
        <v>13</v>
      </c>
      <c r="L223" s="5">
        <v>91</v>
      </c>
      <c r="M223" s="5">
        <v>175</v>
      </c>
      <c r="N223" s="6">
        <f t="shared" si="11"/>
        <v>0.14285714285714285</v>
      </c>
      <c r="O223" s="11">
        <v>19</v>
      </c>
      <c r="P223" s="11">
        <v>0</v>
      </c>
      <c r="Q223" s="11">
        <v>1</v>
      </c>
      <c r="R223" s="11">
        <v>0</v>
      </c>
      <c r="S223" s="11">
        <v>0</v>
      </c>
      <c r="T223" s="11">
        <v>0</v>
      </c>
      <c r="U223" s="11">
        <v>0</v>
      </c>
      <c r="V223" s="11">
        <v>4</v>
      </c>
      <c r="W223" s="11">
        <v>3</v>
      </c>
      <c r="X223" s="11">
        <v>0</v>
      </c>
      <c r="Y223" s="11">
        <v>1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5</v>
      </c>
      <c r="AF223" s="11">
        <v>0</v>
      </c>
    </row>
    <row r="224" spans="1:32">
      <c r="A224" t="s">
        <v>71</v>
      </c>
      <c r="B224">
        <v>2022</v>
      </c>
      <c r="C224" t="str">
        <f t="shared" si="10"/>
        <v>2022-Q3</v>
      </c>
      <c r="D224" t="s">
        <v>33</v>
      </c>
      <c r="E224" t="str">
        <f t="shared" si="9"/>
        <v>South East</v>
      </c>
      <c r="F224" s="5">
        <v>5</v>
      </c>
      <c r="G224" s="5">
        <v>17</v>
      </c>
      <c r="H224" s="5">
        <v>2</v>
      </c>
      <c r="I224" s="5">
        <v>24</v>
      </c>
      <c r="J224" s="5">
        <v>101</v>
      </c>
      <c r="K224" s="5">
        <v>9</v>
      </c>
      <c r="L224" s="5">
        <v>110</v>
      </c>
      <c r="M224" s="5">
        <v>226</v>
      </c>
      <c r="N224" s="6">
        <f t="shared" si="11"/>
        <v>8.1818181818181818E-2</v>
      </c>
      <c r="O224" s="11">
        <v>22</v>
      </c>
      <c r="P224" s="11">
        <v>0</v>
      </c>
      <c r="Q224" s="11">
        <v>6</v>
      </c>
      <c r="R224" s="11">
        <v>0</v>
      </c>
      <c r="S224" s="11">
        <v>3</v>
      </c>
      <c r="T224" s="11">
        <v>0</v>
      </c>
      <c r="U224" s="11">
        <v>0</v>
      </c>
      <c r="V224" s="11">
        <v>2</v>
      </c>
      <c r="W224" s="11">
        <v>3</v>
      </c>
      <c r="X224" s="11">
        <v>0</v>
      </c>
      <c r="Y224" s="11">
        <v>3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2</v>
      </c>
    </row>
    <row r="225" spans="1:32">
      <c r="A225" t="s">
        <v>71</v>
      </c>
      <c r="B225">
        <v>2022</v>
      </c>
      <c r="C225" t="str">
        <f t="shared" si="10"/>
        <v>2022-Q3</v>
      </c>
      <c r="D225" t="s">
        <v>34</v>
      </c>
      <c r="E225" t="str">
        <f t="shared" si="9"/>
        <v>North East</v>
      </c>
      <c r="F225" s="5">
        <v>3</v>
      </c>
      <c r="G225" s="5">
        <v>27</v>
      </c>
      <c r="H225" s="5">
        <v>2</v>
      </c>
      <c r="I225" s="5">
        <v>32</v>
      </c>
      <c r="J225" s="5">
        <v>72</v>
      </c>
      <c r="K225" s="5">
        <v>3</v>
      </c>
      <c r="L225" s="5">
        <v>75</v>
      </c>
      <c r="M225" s="5">
        <v>141</v>
      </c>
      <c r="N225" s="6">
        <f t="shared" si="11"/>
        <v>0.04</v>
      </c>
      <c r="O225" s="11">
        <v>21</v>
      </c>
      <c r="P225" s="11">
        <v>0</v>
      </c>
      <c r="Q225" s="11">
        <v>1</v>
      </c>
      <c r="R225" s="11">
        <v>0</v>
      </c>
      <c r="S225" s="11">
        <v>2</v>
      </c>
      <c r="T225" s="11">
        <v>1</v>
      </c>
      <c r="U225" s="11">
        <v>0</v>
      </c>
      <c r="V225" s="11">
        <v>5</v>
      </c>
      <c r="W225" s="11">
        <v>9</v>
      </c>
      <c r="X225" s="11">
        <v>0</v>
      </c>
      <c r="Y225" s="11">
        <v>0</v>
      </c>
      <c r="Z225" s="11">
        <v>1</v>
      </c>
      <c r="AA225" s="11">
        <v>0</v>
      </c>
      <c r="AB225" s="11">
        <v>0</v>
      </c>
      <c r="AC225" s="11">
        <v>0</v>
      </c>
      <c r="AD225" s="11">
        <v>0</v>
      </c>
      <c r="AE225" s="11">
        <v>18</v>
      </c>
      <c r="AF225" s="11">
        <v>0</v>
      </c>
    </row>
    <row r="226" spans="1:32">
      <c r="A226" t="s">
        <v>71</v>
      </c>
      <c r="B226">
        <v>2022</v>
      </c>
      <c r="C226" t="str">
        <f t="shared" si="10"/>
        <v>2022-Q3</v>
      </c>
      <c r="D226" t="s">
        <v>35</v>
      </c>
      <c r="E226" t="str">
        <f t="shared" si="9"/>
        <v>South South</v>
      </c>
      <c r="F226" s="5">
        <v>8</v>
      </c>
      <c r="G226" s="5">
        <v>13</v>
      </c>
      <c r="H226" s="5">
        <v>1</v>
      </c>
      <c r="I226" s="5">
        <v>22</v>
      </c>
      <c r="J226" s="5">
        <v>55</v>
      </c>
      <c r="K226" s="5">
        <v>9</v>
      </c>
      <c r="L226" s="5">
        <v>64</v>
      </c>
      <c r="M226" s="5">
        <v>126</v>
      </c>
      <c r="N226" s="6">
        <f t="shared" si="11"/>
        <v>0.140625</v>
      </c>
      <c r="O226" s="11">
        <v>20</v>
      </c>
      <c r="P226" s="11">
        <v>0</v>
      </c>
      <c r="Q226" s="11">
        <v>2</v>
      </c>
      <c r="R226" s="11">
        <v>0</v>
      </c>
      <c r="S226" s="11">
        <v>0</v>
      </c>
      <c r="T226" s="11">
        <v>0</v>
      </c>
      <c r="U226" s="11">
        <v>0</v>
      </c>
      <c r="V226" s="11">
        <v>3</v>
      </c>
      <c r="W226" s="11">
        <v>1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</row>
    <row r="227" spans="1:32">
      <c r="A227" t="s">
        <v>71</v>
      </c>
      <c r="B227">
        <v>2022</v>
      </c>
      <c r="C227" t="str">
        <f t="shared" si="10"/>
        <v>2022-Q3</v>
      </c>
      <c r="D227" t="s">
        <v>36</v>
      </c>
      <c r="E227" t="str">
        <f t="shared" si="9"/>
        <v>South East</v>
      </c>
      <c r="F227" s="5">
        <v>15</v>
      </c>
      <c r="G227" s="5">
        <v>20</v>
      </c>
      <c r="H227" s="5">
        <v>7</v>
      </c>
      <c r="I227" s="5">
        <v>42</v>
      </c>
      <c r="J227" s="5">
        <v>103</v>
      </c>
      <c r="K227" s="5">
        <v>20</v>
      </c>
      <c r="L227" s="5">
        <v>123</v>
      </c>
      <c r="M227" s="5">
        <v>301</v>
      </c>
      <c r="N227" s="6">
        <f t="shared" si="11"/>
        <v>0.16260162601626016</v>
      </c>
      <c r="O227" s="11">
        <v>19</v>
      </c>
      <c r="P227" s="11">
        <v>0</v>
      </c>
      <c r="Q227" s="11">
        <v>1</v>
      </c>
      <c r="R227" s="11">
        <v>1</v>
      </c>
      <c r="S227" s="11">
        <v>12</v>
      </c>
      <c r="T227" s="11">
        <v>1</v>
      </c>
      <c r="U227" s="11">
        <v>0</v>
      </c>
      <c r="V227" s="11">
        <v>4</v>
      </c>
      <c r="W227" s="11">
        <v>0</v>
      </c>
      <c r="X227" s="11">
        <v>1</v>
      </c>
      <c r="Y227" s="11">
        <v>4</v>
      </c>
      <c r="Z227" s="11">
        <v>0</v>
      </c>
      <c r="AA227" s="11">
        <v>0</v>
      </c>
      <c r="AB227" s="11">
        <v>1</v>
      </c>
      <c r="AC227" s="11">
        <v>0</v>
      </c>
      <c r="AD227" s="11">
        <v>0</v>
      </c>
      <c r="AE227" s="11">
        <v>4</v>
      </c>
      <c r="AF227" s="11">
        <v>3</v>
      </c>
    </row>
    <row r="228" spans="1:32">
      <c r="A228" t="s">
        <v>71</v>
      </c>
      <c r="B228">
        <v>2022</v>
      </c>
      <c r="C228" t="str">
        <f t="shared" si="10"/>
        <v>2022-Q3</v>
      </c>
      <c r="D228" t="s">
        <v>37</v>
      </c>
      <c r="E228" t="str">
        <f t="shared" si="9"/>
        <v>North East</v>
      </c>
      <c r="F228" s="5">
        <v>29</v>
      </c>
      <c r="G228" s="5">
        <v>95</v>
      </c>
      <c r="H228" s="5">
        <v>5</v>
      </c>
      <c r="I228" s="5">
        <v>129</v>
      </c>
      <c r="J228" s="5">
        <v>436</v>
      </c>
      <c r="K228" s="5">
        <v>94</v>
      </c>
      <c r="L228" s="5">
        <v>530</v>
      </c>
      <c r="M228" s="5">
        <v>855</v>
      </c>
      <c r="N228" s="6">
        <f t="shared" si="11"/>
        <v>0.17735849056603772</v>
      </c>
      <c r="O228" s="11">
        <v>98</v>
      </c>
      <c r="P228" s="11">
        <v>0</v>
      </c>
      <c r="Q228" s="11">
        <v>14</v>
      </c>
      <c r="R228" s="11">
        <v>2</v>
      </c>
      <c r="S228" s="11">
        <v>1</v>
      </c>
      <c r="T228" s="11">
        <v>3</v>
      </c>
      <c r="U228" s="11">
        <v>1</v>
      </c>
      <c r="V228" s="11">
        <v>10</v>
      </c>
      <c r="W228" s="11">
        <v>15</v>
      </c>
      <c r="X228" s="11">
        <v>7</v>
      </c>
      <c r="Y228" s="11">
        <v>3</v>
      </c>
      <c r="Z228" s="11">
        <v>4</v>
      </c>
      <c r="AA228" s="11">
        <v>0</v>
      </c>
      <c r="AB228" s="11">
        <v>0</v>
      </c>
      <c r="AC228" s="11">
        <v>0</v>
      </c>
      <c r="AD228" s="11">
        <v>1</v>
      </c>
      <c r="AE228" s="11">
        <v>7</v>
      </c>
      <c r="AF228" s="11">
        <v>8</v>
      </c>
    </row>
    <row r="229" spans="1:32">
      <c r="A229" t="s">
        <v>71</v>
      </c>
      <c r="B229">
        <v>2022</v>
      </c>
      <c r="C229" t="str">
        <f t="shared" si="10"/>
        <v>2022-Q3</v>
      </c>
      <c r="D229" t="s">
        <v>38</v>
      </c>
      <c r="E229" t="str">
        <f t="shared" si="9"/>
        <v>South South</v>
      </c>
      <c r="F229" s="5">
        <v>1</v>
      </c>
      <c r="G229" s="5">
        <v>7</v>
      </c>
      <c r="H229" s="5">
        <v>4</v>
      </c>
      <c r="I229" s="5">
        <v>12</v>
      </c>
      <c r="J229" s="5">
        <v>16</v>
      </c>
      <c r="K229" s="5">
        <v>1</v>
      </c>
      <c r="L229" s="5">
        <v>17</v>
      </c>
      <c r="M229" s="5">
        <v>73</v>
      </c>
      <c r="N229" s="6">
        <f t="shared" si="11"/>
        <v>5.8823529411764705E-2</v>
      </c>
      <c r="O229" s="11">
        <v>15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</row>
    <row r="230" spans="1:32">
      <c r="A230" t="s">
        <v>71</v>
      </c>
      <c r="B230">
        <v>2022</v>
      </c>
      <c r="C230" t="str">
        <f t="shared" si="10"/>
        <v>2022-Q3</v>
      </c>
      <c r="D230" t="s">
        <v>39</v>
      </c>
      <c r="E230" t="str">
        <f t="shared" si="9"/>
        <v>North Central</v>
      </c>
      <c r="F230" s="5">
        <v>9</v>
      </c>
      <c r="G230" s="5">
        <v>57</v>
      </c>
      <c r="H230" s="5">
        <v>4</v>
      </c>
      <c r="I230" s="5">
        <v>70</v>
      </c>
      <c r="J230" s="5">
        <v>227</v>
      </c>
      <c r="K230" s="5">
        <v>16</v>
      </c>
      <c r="L230" s="5">
        <v>243</v>
      </c>
      <c r="M230" s="5">
        <v>404</v>
      </c>
      <c r="N230" s="6">
        <f t="shared" si="11"/>
        <v>6.584362139917696E-2</v>
      </c>
      <c r="O230" s="11">
        <v>49</v>
      </c>
      <c r="P230" s="11">
        <v>0</v>
      </c>
      <c r="Q230" s="11">
        <v>3</v>
      </c>
      <c r="R230" s="11">
        <v>0</v>
      </c>
      <c r="S230" s="11">
        <v>6</v>
      </c>
      <c r="T230" s="11">
        <v>0</v>
      </c>
      <c r="U230" s="11">
        <v>0</v>
      </c>
      <c r="V230" s="11">
        <v>8</v>
      </c>
      <c r="W230" s="11">
        <v>1</v>
      </c>
      <c r="X230" s="11">
        <v>0</v>
      </c>
      <c r="Y230" s="11">
        <v>2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4</v>
      </c>
    </row>
    <row r="231" spans="1:32">
      <c r="A231" t="s">
        <v>71</v>
      </c>
      <c r="B231">
        <v>2022</v>
      </c>
      <c r="C231" t="str">
        <f t="shared" si="10"/>
        <v>2022-Q3</v>
      </c>
      <c r="D231" t="s">
        <v>40</v>
      </c>
      <c r="E231" t="str">
        <f t="shared" si="9"/>
        <v>North East</v>
      </c>
      <c r="F231" s="5">
        <v>7</v>
      </c>
      <c r="G231" s="5">
        <v>18</v>
      </c>
      <c r="H231" s="5">
        <v>0</v>
      </c>
      <c r="I231" s="5">
        <v>25</v>
      </c>
      <c r="J231" s="5">
        <v>154</v>
      </c>
      <c r="K231" s="5">
        <v>22</v>
      </c>
      <c r="L231" s="5">
        <v>176</v>
      </c>
      <c r="M231" s="5">
        <v>222</v>
      </c>
      <c r="N231" s="6">
        <f t="shared" si="11"/>
        <v>0.125</v>
      </c>
      <c r="O231" s="11">
        <v>10</v>
      </c>
      <c r="P231" s="11">
        <v>0</v>
      </c>
      <c r="Q231" s="11">
        <v>2</v>
      </c>
      <c r="R231" s="11">
        <v>0</v>
      </c>
      <c r="S231" s="11">
        <v>0</v>
      </c>
      <c r="T231" s="11">
        <v>0</v>
      </c>
      <c r="U231" s="11">
        <v>0</v>
      </c>
      <c r="V231" s="11">
        <v>3</v>
      </c>
      <c r="W231" s="11">
        <v>0</v>
      </c>
      <c r="X231" s="11">
        <v>0</v>
      </c>
      <c r="Y231" s="11">
        <v>1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9</v>
      </c>
      <c r="AF231" s="11">
        <v>1</v>
      </c>
    </row>
    <row r="232" spans="1:32">
      <c r="A232" t="s">
        <v>71</v>
      </c>
      <c r="B232">
        <v>2022</v>
      </c>
      <c r="C232" t="str">
        <f t="shared" si="10"/>
        <v>2022-Q3</v>
      </c>
      <c r="D232" t="s">
        <v>41</v>
      </c>
      <c r="E232" t="str">
        <f t="shared" si="9"/>
        <v>South South</v>
      </c>
      <c r="F232" s="5">
        <v>9</v>
      </c>
      <c r="G232" s="5">
        <v>14</v>
      </c>
      <c r="H232" s="5">
        <v>5</v>
      </c>
      <c r="I232" s="5">
        <v>28</v>
      </c>
      <c r="J232" s="5">
        <v>48</v>
      </c>
      <c r="K232" s="5">
        <v>17</v>
      </c>
      <c r="L232" s="5">
        <v>65</v>
      </c>
      <c r="M232" s="5">
        <v>140</v>
      </c>
      <c r="N232" s="6">
        <f t="shared" si="11"/>
        <v>0.26153846153846155</v>
      </c>
      <c r="O232" s="11">
        <v>26</v>
      </c>
      <c r="P232" s="11">
        <v>0</v>
      </c>
      <c r="Q232" s="11">
        <v>0</v>
      </c>
      <c r="R232" s="11">
        <v>1</v>
      </c>
      <c r="S232" s="11">
        <v>2</v>
      </c>
      <c r="T232" s="11">
        <v>0</v>
      </c>
      <c r="U232" s="11">
        <v>0</v>
      </c>
      <c r="V232" s="11">
        <v>4</v>
      </c>
      <c r="W232" s="11">
        <v>0</v>
      </c>
      <c r="X232" s="11">
        <v>1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</row>
    <row r="233" spans="1:32">
      <c r="A233" t="s">
        <v>71</v>
      </c>
      <c r="B233">
        <v>2022</v>
      </c>
      <c r="C233" t="str">
        <f t="shared" si="10"/>
        <v>2022-Q3</v>
      </c>
      <c r="D233" t="s">
        <v>42</v>
      </c>
      <c r="E233" t="str">
        <f t="shared" si="9"/>
        <v>South South</v>
      </c>
      <c r="F233" s="5">
        <v>11</v>
      </c>
      <c r="G233" s="5">
        <v>28</v>
      </c>
      <c r="H233" s="5">
        <v>5</v>
      </c>
      <c r="I233" s="5">
        <v>44</v>
      </c>
      <c r="J233" s="5">
        <v>137</v>
      </c>
      <c r="K233" s="5">
        <v>25</v>
      </c>
      <c r="L233" s="5">
        <v>162</v>
      </c>
      <c r="M233" s="5">
        <v>255</v>
      </c>
      <c r="N233" s="6">
        <f t="shared" si="11"/>
        <v>0.15432098765432098</v>
      </c>
      <c r="O233" s="11">
        <v>13</v>
      </c>
      <c r="P233" s="11">
        <v>0</v>
      </c>
      <c r="Q233" s="11">
        <v>7</v>
      </c>
      <c r="R233" s="11">
        <v>1</v>
      </c>
      <c r="S233" s="11">
        <v>2</v>
      </c>
      <c r="T233" s="11">
        <v>1</v>
      </c>
      <c r="U233" s="11">
        <v>1</v>
      </c>
      <c r="V233" s="11">
        <v>1</v>
      </c>
      <c r="W233" s="11">
        <v>1</v>
      </c>
      <c r="X233" s="11">
        <v>0</v>
      </c>
      <c r="Y233" s="11">
        <v>5</v>
      </c>
      <c r="Z233" s="11">
        <v>1</v>
      </c>
      <c r="AA233" s="11">
        <v>2</v>
      </c>
      <c r="AB233" s="11">
        <v>0</v>
      </c>
      <c r="AC233" s="11">
        <v>0</v>
      </c>
      <c r="AD233" s="11">
        <v>2</v>
      </c>
      <c r="AE233" s="11">
        <v>0</v>
      </c>
      <c r="AF233" s="11">
        <v>5</v>
      </c>
    </row>
    <row r="234" spans="1:32">
      <c r="A234" t="s">
        <v>71</v>
      </c>
      <c r="B234">
        <v>2022</v>
      </c>
      <c r="C234" t="str">
        <f t="shared" si="10"/>
        <v>2022-Q3</v>
      </c>
      <c r="D234" t="s">
        <v>43</v>
      </c>
      <c r="E234" t="str">
        <f t="shared" si="9"/>
        <v>South East</v>
      </c>
      <c r="F234" s="5">
        <v>11</v>
      </c>
      <c r="G234" s="5">
        <v>37</v>
      </c>
      <c r="H234" s="5">
        <v>6</v>
      </c>
      <c r="I234" s="5">
        <v>54</v>
      </c>
      <c r="J234" s="5">
        <v>85</v>
      </c>
      <c r="K234" s="5">
        <v>17</v>
      </c>
      <c r="L234" s="5">
        <v>102</v>
      </c>
      <c r="M234" s="5">
        <v>313</v>
      </c>
      <c r="N234" s="6">
        <f t="shared" si="11"/>
        <v>0.16666666666666666</v>
      </c>
      <c r="O234" s="11">
        <v>34</v>
      </c>
      <c r="P234" s="11">
        <v>0</v>
      </c>
      <c r="Q234" s="11">
        <v>6</v>
      </c>
      <c r="R234" s="11">
        <v>1</v>
      </c>
      <c r="S234" s="11">
        <v>1</v>
      </c>
      <c r="T234" s="11">
        <v>0</v>
      </c>
      <c r="U234" s="11">
        <v>0</v>
      </c>
      <c r="V234" s="11">
        <v>6</v>
      </c>
      <c r="W234" s="11">
        <v>1</v>
      </c>
      <c r="X234" s="11">
        <v>0</v>
      </c>
      <c r="Y234" s="11">
        <v>4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5</v>
      </c>
      <c r="AF234" s="11">
        <v>9</v>
      </c>
    </row>
    <row r="235" spans="1:32">
      <c r="A235" t="s">
        <v>71</v>
      </c>
      <c r="B235">
        <v>2022</v>
      </c>
      <c r="C235" t="str">
        <f t="shared" si="10"/>
        <v>2022-Q3</v>
      </c>
      <c r="D235" t="s">
        <v>44</v>
      </c>
      <c r="E235" t="str">
        <f t="shared" si="9"/>
        <v>South South</v>
      </c>
      <c r="F235" s="5">
        <v>20</v>
      </c>
      <c r="G235" s="5">
        <v>31</v>
      </c>
      <c r="H235" s="5">
        <v>9</v>
      </c>
      <c r="I235" s="5">
        <v>60</v>
      </c>
      <c r="J235" s="5">
        <v>133</v>
      </c>
      <c r="K235" s="5">
        <v>28</v>
      </c>
      <c r="L235" s="5">
        <v>161</v>
      </c>
      <c r="M235" s="5">
        <v>487</v>
      </c>
      <c r="N235" s="6">
        <f t="shared" si="11"/>
        <v>0.17391304347826086</v>
      </c>
      <c r="O235" s="11">
        <v>44</v>
      </c>
      <c r="P235" s="11">
        <v>0</v>
      </c>
      <c r="Q235" s="11">
        <v>4</v>
      </c>
      <c r="R235" s="11">
        <v>0</v>
      </c>
      <c r="S235" s="11">
        <v>11</v>
      </c>
      <c r="T235" s="11">
        <v>1</v>
      </c>
      <c r="U235" s="11">
        <v>0</v>
      </c>
      <c r="V235" s="11">
        <v>4</v>
      </c>
      <c r="W235" s="11">
        <v>3</v>
      </c>
      <c r="X235" s="11">
        <v>0</v>
      </c>
      <c r="Y235" s="11">
        <v>6</v>
      </c>
      <c r="Z235" s="11">
        <v>0</v>
      </c>
      <c r="AA235" s="11">
        <v>1</v>
      </c>
      <c r="AB235" s="11">
        <v>0</v>
      </c>
      <c r="AC235" s="11">
        <v>0</v>
      </c>
      <c r="AD235" s="11">
        <v>1</v>
      </c>
      <c r="AE235" s="11">
        <v>17</v>
      </c>
      <c r="AF235" s="11">
        <v>5</v>
      </c>
    </row>
    <row r="236" spans="1:32">
      <c r="A236" t="s">
        <v>71</v>
      </c>
      <c r="B236">
        <v>2022</v>
      </c>
      <c r="C236" t="str">
        <f t="shared" si="10"/>
        <v>2022-Q3</v>
      </c>
      <c r="D236" t="s">
        <v>45</v>
      </c>
      <c r="E236" t="str">
        <f t="shared" si="9"/>
        <v>South West</v>
      </c>
      <c r="F236" s="5">
        <v>7</v>
      </c>
      <c r="G236" s="5">
        <v>12</v>
      </c>
      <c r="H236" s="5">
        <v>1</v>
      </c>
      <c r="I236" s="5">
        <v>20</v>
      </c>
      <c r="J236" s="5">
        <v>46</v>
      </c>
      <c r="K236" s="5">
        <v>16</v>
      </c>
      <c r="L236" s="5">
        <v>62</v>
      </c>
      <c r="M236" s="5">
        <v>100</v>
      </c>
      <c r="N236" s="6">
        <f t="shared" si="11"/>
        <v>0.25806451612903225</v>
      </c>
      <c r="O236" s="11">
        <v>38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2</v>
      </c>
      <c r="X236" s="11">
        <v>0</v>
      </c>
      <c r="Y236" s="11">
        <v>0</v>
      </c>
      <c r="Z236" s="11">
        <v>0</v>
      </c>
      <c r="AA236" s="11">
        <v>0</v>
      </c>
      <c r="AB236" s="11">
        <v>1</v>
      </c>
      <c r="AC236" s="11">
        <v>0</v>
      </c>
      <c r="AD236" s="11">
        <v>0</v>
      </c>
      <c r="AE236" s="11">
        <v>1</v>
      </c>
      <c r="AF236" s="11">
        <v>0</v>
      </c>
    </row>
    <row r="237" spans="1:32">
      <c r="A237" t="s">
        <v>71</v>
      </c>
      <c r="B237">
        <v>2022</v>
      </c>
      <c r="C237" t="str">
        <f t="shared" si="10"/>
        <v>2022-Q3</v>
      </c>
      <c r="D237" t="s">
        <v>46</v>
      </c>
      <c r="E237" t="str">
        <f t="shared" si="9"/>
        <v>South East</v>
      </c>
      <c r="F237" s="5">
        <v>12</v>
      </c>
      <c r="G237" s="5">
        <v>32</v>
      </c>
      <c r="H237" s="5">
        <v>4</v>
      </c>
      <c r="I237" s="5">
        <v>48</v>
      </c>
      <c r="J237" s="5">
        <v>177</v>
      </c>
      <c r="K237" s="5">
        <v>18</v>
      </c>
      <c r="L237" s="5">
        <v>195</v>
      </c>
      <c r="M237" s="5">
        <v>400</v>
      </c>
      <c r="N237" s="6">
        <f t="shared" si="11"/>
        <v>9.2307692307692313E-2</v>
      </c>
      <c r="O237" s="11">
        <v>17</v>
      </c>
      <c r="P237" s="11">
        <v>0</v>
      </c>
      <c r="Q237" s="11">
        <v>4</v>
      </c>
      <c r="R237" s="11">
        <v>1</v>
      </c>
      <c r="S237" s="11">
        <v>9</v>
      </c>
      <c r="T237" s="11">
        <v>1</v>
      </c>
      <c r="U237" s="11">
        <v>0</v>
      </c>
      <c r="V237" s="11">
        <v>0</v>
      </c>
      <c r="W237" s="11">
        <v>0</v>
      </c>
      <c r="X237" s="11">
        <v>0</v>
      </c>
      <c r="Y237" s="11">
        <v>4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10</v>
      </c>
      <c r="AF237" s="11">
        <v>6</v>
      </c>
    </row>
    <row r="238" spans="1:32">
      <c r="A238" t="s">
        <v>71</v>
      </c>
      <c r="B238">
        <v>2022</v>
      </c>
      <c r="C238" t="str">
        <f t="shared" si="10"/>
        <v>2022-Q3</v>
      </c>
      <c r="D238" t="s">
        <v>47</v>
      </c>
      <c r="E238" t="str">
        <f t="shared" si="9"/>
        <v>North Central</v>
      </c>
      <c r="F238" s="5">
        <v>56</v>
      </c>
      <c r="G238" s="5">
        <v>314</v>
      </c>
      <c r="H238" s="5">
        <v>94</v>
      </c>
      <c r="I238" s="5">
        <v>464</v>
      </c>
      <c r="J238" s="5">
        <v>784</v>
      </c>
      <c r="K238" s="5">
        <v>109</v>
      </c>
      <c r="L238" s="5">
        <v>893</v>
      </c>
      <c r="M238" s="5">
        <v>2399</v>
      </c>
      <c r="N238" s="6">
        <f t="shared" si="11"/>
        <v>0.12206047032474804</v>
      </c>
      <c r="O238" s="11">
        <v>369</v>
      </c>
      <c r="P238" s="11">
        <v>5</v>
      </c>
      <c r="Q238" s="11">
        <v>11</v>
      </c>
      <c r="R238" s="11">
        <v>5</v>
      </c>
      <c r="S238" s="11">
        <v>26</v>
      </c>
      <c r="T238" s="11">
        <v>12</v>
      </c>
      <c r="U238" s="11">
        <v>7</v>
      </c>
      <c r="V238" s="11">
        <v>14</v>
      </c>
      <c r="W238" s="11">
        <v>31</v>
      </c>
      <c r="X238" s="11">
        <v>0</v>
      </c>
      <c r="Y238" s="11">
        <v>33</v>
      </c>
      <c r="Z238" s="11">
        <v>5</v>
      </c>
      <c r="AA238" s="11">
        <v>0</v>
      </c>
      <c r="AB238" s="11">
        <v>0</v>
      </c>
      <c r="AC238" s="11">
        <v>0</v>
      </c>
      <c r="AD238" s="11">
        <v>2</v>
      </c>
      <c r="AE238" s="11">
        <v>156</v>
      </c>
      <c r="AF238" s="11">
        <v>23</v>
      </c>
    </row>
    <row r="239" spans="1:32">
      <c r="A239" t="s">
        <v>71</v>
      </c>
      <c r="B239">
        <v>2022</v>
      </c>
      <c r="C239" t="str">
        <f t="shared" si="10"/>
        <v>2022-Q3</v>
      </c>
      <c r="D239" t="s">
        <v>48</v>
      </c>
      <c r="E239" t="str">
        <f t="shared" si="9"/>
        <v>North East</v>
      </c>
      <c r="F239" s="5">
        <v>6</v>
      </c>
      <c r="G239" s="5">
        <v>49</v>
      </c>
      <c r="H239" s="5">
        <v>3</v>
      </c>
      <c r="I239" s="5">
        <v>58</v>
      </c>
      <c r="J239" s="5">
        <v>165</v>
      </c>
      <c r="K239" s="5">
        <v>9</v>
      </c>
      <c r="L239" s="5">
        <v>174</v>
      </c>
      <c r="M239" s="5">
        <v>298</v>
      </c>
      <c r="N239" s="6">
        <f t="shared" si="11"/>
        <v>5.1724137931034482E-2</v>
      </c>
      <c r="O239" s="11">
        <v>19</v>
      </c>
      <c r="P239" s="11">
        <v>1</v>
      </c>
      <c r="Q239" s="11">
        <v>2</v>
      </c>
      <c r="R239" s="11">
        <v>2</v>
      </c>
      <c r="S239" s="11">
        <v>2</v>
      </c>
      <c r="T239" s="11">
        <v>6</v>
      </c>
      <c r="U239" s="11">
        <v>0</v>
      </c>
      <c r="V239" s="11">
        <v>0</v>
      </c>
      <c r="W239" s="11">
        <v>21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  <c r="AE239" s="11">
        <v>18</v>
      </c>
      <c r="AF239" s="11">
        <v>3</v>
      </c>
    </row>
    <row r="240" spans="1:32">
      <c r="A240" t="s">
        <v>71</v>
      </c>
      <c r="B240">
        <v>2022</v>
      </c>
      <c r="C240" t="str">
        <f t="shared" si="10"/>
        <v>2022-Q3</v>
      </c>
      <c r="D240" t="s">
        <v>49</v>
      </c>
      <c r="E240" t="str">
        <f t="shared" si="9"/>
        <v>South East</v>
      </c>
      <c r="F240" s="5">
        <v>3</v>
      </c>
      <c r="G240" s="5">
        <v>12</v>
      </c>
      <c r="H240" s="5">
        <v>2</v>
      </c>
      <c r="I240" s="5">
        <v>17</v>
      </c>
      <c r="J240" s="5">
        <v>45</v>
      </c>
      <c r="K240" s="5">
        <v>4</v>
      </c>
      <c r="L240" s="5">
        <v>49</v>
      </c>
      <c r="M240" s="5">
        <v>145</v>
      </c>
      <c r="N240" s="6">
        <f t="shared" si="11"/>
        <v>8.1632653061224483E-2</v>
      </c>
      <c r="O240" s="11">
        <v>3</v>
      </c>
      <c r="P240" s="11">
        <v>0</v>
      </c>
      <c r="Q240" s="11">
        <v>1</v>
      </c>
      <c r="R240" s="11">
        <v>0</v>
      </c>
      <c r="S240" s="11">
        <v>1</v>
      </c>
      <c r="T240" s="11">
        <v>0</v>
      </c>
      <c r="U240" s="11">
        <v>0</v>
      </c>
      <c r="V240" s="11">
        <v>0</v>
      </c>
      <c r="W240" s="11">
        <v>4</v>
      </c>
      <c r="X240" s="11">
        <v>0</v>
      </c>
      <c r="Y240" s="11">
        <v>1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5</v>
      </c>
      <c r="AF240" s="11">
        <v>4</v>
      </c>
    </row>
    <row r="241" spans="1:32">
      <c r="A241" t="s">
        <v>71</v>
      </c>
      <c r="B241">
        <v>2022</v>
      </c>
      <c r="C241" t="str">
        <f t="shared" si="10"/>
        <v>2022-Q3</v>
      </c>
      <c r="D241" t="s">
        <v>50</v>
      </c>
      <c r="E241" t="str">
        <f t="shared" si="9"/>
        <v>North West</v>
      </c>
      <c r="F241" s="5">
        <v>22</v>
      </c>
      <c r="G241" s="5">
        <v>124</v>
      </c>
      <c r="H241" s="5">
        <v>1</v>
      </c>
      <c r="I241" s="5">
        <v>147</v>
      </c>
      <c r="J241" s="5">
        <v>503</v>
      </c>
      <c r="K241" s="5">
        <v>46</v>
      </c>
      <c r="L241" s="5">
        <v>549</v>
      </c>
      <c r="M241" s="5">
        <v>842</v>
      </c>
      <c r="N241" s="6">
        <f t="shared" si="11"/>
        <v>8.3788706739526417E-2</v>
      </c>
      <c r="O241" s="11">
        <v>201</v>
      </c>
      <c r="P241" s="11">
        <v>0</v>
      </c>
      <c r="Q241" s="11">
        <v>9</v>
      </c>
      <c r="R241" s="11">
        <v>0</v>
      </c>
      <c r="S241" s="11">
        <v>0</v>
      </c>
      <c r="T241" s="11">
        <v>9</v>
      </c>
      <c r="U241" s="11">
        <v>0</v>
      </c>
      <c r="V241" s="11">
        <v>7</v>
      </c>
      <c r="W241" s="11">
        <v>1</v>
      </c>
      <c r="X241" s="11">
        <v>1</v>
      </c>
      <c r="Y241" s="11">
        <v>9</v>
      </c>
      <c r="Z241" s="11">
        <v>7</v>
      </c>
      <c r="AA241" s="11">
        <v>0</v>
      </c>
      <c r="AB241" s="11">
        <v>0</v>
      </c>
      <c r="AC241" s="11">
        <v>0</v>
      </c>
      <c r="AD241" s="11">
        <v>1</v>
      </c>
      <c r="AE241" s="11">
        <v>4</v>
      </c>
      <c r="AF241" s="11">
        <v>3</v>
      </c>
    </row>
    <row r="242" spans="1:32">
      <c r="A242" t="s">
        <v>71</v>
      </c>
      <c r="B242">
        <v>2022</v>
      </c>
      <c r="C242" t="str">
        <f t="shared" si="10"/>
        <v>2022-Q3</v>
      </c>
      <c r="D242" t="s">
        <v>51</v>
      </c>
      <c r="E242" t="str">
        <f t="shared" si="9"/>
        <v>North West</v>
      </c>
      <c r="F242" s="5">
        <v>64</v>
      </c>
      <c r="G242" s="5">
        <v>120</v>
      </c>
      <c r="H242" s="5">
        <v>8</v>
      </c>
      <c r="I242" s="5">
        <v>192</v>
      </c>
      <c r="J242" s="5">
        <v>744</v>
      </c>
      <c r="K242" s="5">
        <v>164</v>
      </c>
      <c r="L242" s="5">
        <v>908</v>
      </c>
      <c r="M242" s="5">
        <v>1462</v>
      </c>
      <c r="N242" s="6">
        <f t="shared" si="11"/>
        <v>0.18061674008810572</v>
      </c>
      <c r="O242" s="11">
        <v>119</v>
      </c>
      <c r="P242" s="11">
        <v>0</v>
      </c>
      <c r="Q242" s="11">
        <v>9</v>
      </c>
      <c r="R242" s="11">
        <v>4</v>
      </c>
      <c r="S242" s="11">
        <v>2</v>
      </c>
      <c r="T242" s="11">
        <v>2</v>
      </c>
      <c r="U242" s="11">
        <v>1</v>
      </c>
      <c r="V242" s="11">
        <v>27</v>
      </c>
      <c r="W242" s="11">
        <v>19</v>
      </c>
      <c r="X242" s="11">
        <v>0</v>
      </c>
      <c r="Y242" s="11">
        <v>8</v>
      </c>
      <c r="Z242" s="11">
        <v>0</v>
      </c>
      <c r="AA242" s="11">
        <v>0</v>
      </c>
      <c r="AB242" s="11">
        <v>2</v>
      </c>
      <c r="AC242" s="11">
        <v>0</v>
      </c>
      <c r="AD242" s="11">
        <v>3</v>
      </c>
      <c r="AE242" s="11">
        <v>0</v>
      </c>
      <c r="AF242" s="11">
        <v>4</v>
      </c>
    </row>
    <row r="243" spans="1:32">
      <c r="A243" t="s">
        <v>71</v>
      </c>
      <c r="B243">
        <v>2022</v>
      </c>
      <c r="C243" t="str">
        <f t="shared" si="10"/>
        <v>2022-Q3</v>
      </c>
      <c r="D243" t="s">
        <v>52</v>
      </c>
      <c r="E243" t="str">
        <f t="shared" si="9"/>
        <v>North West</v>
      </c>
      <c r="F243" s="5">
        <v>34</v>
      </c>
      <c r="G243" s="5">
        <v>65</v>
      </c>
      <c r="H243" s="5">
        <v>5</v>
      </c>
      <c r="I243" s="5">
        <v>104</v>
      </c>
      <c r="J243" s="5">
        <v>330</v>
      </c>
      <c r="K243" s="5">
        <v>57</v>
      </c>
      <c r="L243" s="5">
        <v>387</v>
      </c>
      <c r="M243" s="5">
        <v>631</v>
      </c>
      <c r="N243" s="6">
        <f t="shared" si="11"/>
        <v>0.14728682170542637</v>
      </c>
      <c r="O243" s="11">
        <v>96</v>
      </c>
      <c r="P243" s="11">
        <v>0</v>
      </c>
      <c r="Q243" s="11">
        <v>1</v>
      </c>
      <c r="R243" s="11">
        <v>0</v>
      </c>
      <c r="S243" s="11">
        <v>2</v>
      </c>
      <c r="T243" s="11">
        <v>1</v>
      </c>
      <c r="U243" s="11">
        <v>2</v>
      </c>
      <c r="V243" s="11">
        <v>2</v>
      </c>
      <c r="W243" s="11">
        <v>5</v>
      </c>
      <c r="X243" s="11">
        <v>0</v>
      </c>
      <c r="Y243" s="11">
        <v>8</v>
      </c>
      <c r="Z243" s="11">
        <v>1</v>
      </c>
      <c r="AA243" s="11">
        <v>1</v>
      </c>
      <c r="AB243" s="11">
        <v>0</v>
      </c>
      <c r="AC243" s="11">
        <v>0</v>
      </c>
      <c r="AD243" s="11">
        <v>0</v>
      </c>
      <c r="AE243" s="11">
        <v>13</v>
      </c>
      <c r="AF243" s="11">
        <v>3</v>
      </c>
    </row>
    <row r="244" spans="1:32">
      <c r="A244" t="s">
        <v>71</v>
      </c>
      <c r="B244">
        <v>2022</v>
      </c>
      <c r="C244" t="str">
        <f t="shared" si="10"/>
        <v>2022-Q3</v>
      </c>
      <c r="D244" t="s">
        <v>53</v>
      </c>
      <c r="E244" t="str">
        <f t="shared" si="9"/>
        <v>North West</v>
      </c>
      <c r="F244" s="5">
        <v>26</v>
      </c>
      <c r="G244" s="5">
        <v>28</v>
      </c>
      <c r="H244" s="5">
        <v>0</v>
      </c>
      <c r="I244" s="5">
        <v>54</v>
      </c>
      <c r="J244" s="5">
        <v>221</v>
      </c>
      <c r="K244" s="5">
        <v>77</v>
      </c>
      <c r="L244" s="5">
        <v>298</v>
      </c>
      <c r="M244" s="5">
        <v>417</v>
      </c>
      <c r="N244" s="6">
        <f t="shared" si="11"/>
        <v>0.25838926174496646</v>
      </c>
      <c r="O244" s="11">
        <v>43</v>
      </c>
      <c r="P244" s="11">
        <v>0</v>
      </c>
      <c r="Q244" s="11">
        <v>6</v>
      </c>
      <c r="R244" s="11">
        <v>2</v>
      </c>
      <c r="S244" s="11">
        <v>1</v>
      </c>
      <c r="T244" s="11">
        <v>0</v>
      </c>
      <c r="U244" s="11">
        <v>0</v>
      </c>
      <c r="V244" s="11">
        <v>0</v>
      </c>
      <c r="W244" s="11">
        <v>2</v>
      </c>
      <c r="X244" s="11">
        <v>0</v>
      </c>
      <c r="Y244" s="11">
        <v>1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10</v>
      </c>
      <c r="AF244" s="11">
        <v>2</v>
      </c>
    </row>
    <row r="245" spans="1:32">
      <c r="A245" t="s">
        <v>71</v>
      </c>
      <c r="B245">
        <v>2022</v>
      </c>
      <c r="C245" t="str">
        <f t="shared" si="10"/>
        <v>2022-Q3</v>
      </c>
      <c r="D245" t="s">
        <v>54</v>
      </c>
      <c r="E245" t="str">
        <f t="shared" si="9"/>
        <v>North West</v>
      </c>
      <c r="F245" s="5">
        <v>16</v>
      </c>
      <c r="G245" s="5">
        <v>36</v>
      </c>
      <c r="H245" s="5">
        <v>0</v>
      </c>
      <c r="I245" s="5">
        <v>52</v>
      </c>
      <c r="J245" s="5">
        <v>154</v>
      </c>
      <c r="K245" s="5">
        <v>39</v>
      </c>
      <c r="L245" s="5">
        <v>193</v>
      </c>
      <c r="M245" s="5">
        <v>259</v>
      </c>
      <c r="N245" s="6">
        <f t="shared" si="11"/>
        <v>0.20207253886010362</v>
      </c>
      <c r="O245" s="11">
        <v>45</v>
      </c>
      <c r="P245" s="11">
        <v>0</v>
      </c>
      <c r="Q245" s="11">
        <v>0</v>
      </c>
      <c r="R245" s="11">
        <v>0</v>
      </c>
      <c r="S245" s="11">
        <v>0</v>
      </c>
      <c r="T245" s="11">
        <v>1</v>
      </c>
      <c r="U245" s="11">
        <v>0</v>
      </c>
      <c r="V245" s="11">
        <v>2</v>
      </c>
      <c r="W245" s="11">
        <v>1</v>
      </c>
      <c r="X245" s="11">
        <v>0</v>
      </c>
      <c r="Y245" s="11">
        <v>1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  <c r="AE245" s="11">
        <v>3</v>
      </c>
      <c r="AF245" s="11">
        <v>0</v>
      </c>
    </row>
    <row r="246" spans="1:32">
      <c r="A246" t="s">
        <v>71</v>
      </c>
      <c r="B246">
        <v>2022</v>
      </c>
      <c r="C246" t="str">
        <f t="shared" si="10"/>
        <v>2022-Q3</v>
      </c>
      <c r="D246" t="s">
        <v>55</v>
      </c>
      <c r="E246" t="str">
        <f t="shared" si="9"/>
        <v>North Central</v>
      </c>
      <c r="F246" s="5">
        <v>21</v>
      </c>
      <c r="G246" s="5">
        <v>72</v>
      </c>
      <c r="H246" s="5">
        <v>17</v>
      </c>
      <c r="I246" s="5">
        <v>110</v>
      </c>
      <c r="J246" s="5">
        <v>305</v>
      </c>
      <c r="K246" s="5">
        <v>36</v>
      </c>
      <c r="L246" s="5">
        <v>341</v>
      </c>
      <c r="M246" s="5">
        <v>838</v>
      </c>
      <c r="N246" s="6">
        <f t="shared" si="11"/>
        <v>0.10557184750733138</v>
      </c>
      <c r="O246" s="11">
        <v>99</v>
      </c>
      <c r="P246" s="11">
        <v>0</v>
      </c>
      <c r="Q246" s="11">
        <v>15</v>
      </c>
      <c r="R246" s="11">
        <v>3</v>
      </c>
      <c r="S246" s="11">
        <v>9</v>
      </c>
      <c r="T246" s="11">
        <v>0</v>
      </c>
      <c r="U246" s="11">
        <v>0</v>
      </c>
      <c r="V246" s="11">
        <v>14</v>
      </c>
      <c r="W246" s="11">
        <v>0</v>
      </c>
      <c r="X246" s="11">
        <v>0</v>
      </c>
      <c r="Y246" s="11">
        <v>13</v>
      </c>
      <c r="Z246" s="11">
        <v>5</v>
      </c>
      <c r="AA246" s="11">
        <v>4</v>
      </c>
      <c r="AB246" s="11">
        <v>0</v>
      </c>
      <c r="AC246" s="11">
        <v>0</v>
      </c>
      <c r="AD246" s="11">
        <v>5</v>
      </c>
      <c r="AE246" s="11">
        <v>4</v>
      </c>
      <c r="AF246" s="11">
        <v>5</v>
      </c>
    </row>
    <row r="247" spans="1:32">
      <c r="A247" t="s">
        <v>71</v>
      </c>
      <c r="B247">
        <v>2022</v>
      </c>
      <c r="C247" t="str">
        <f t="shared" si="10"/>
        <v>2022-Q3</v>
      </c>
      <c r="D247" t="s">
        <v>56</v>
      </c>
      <c r="E247" t="str">
        <f t="shared" si="9"/>
        <v>North Central</v>
      </c>
      <c r="F247" s="5">
        <v>17</v>
      </c>
      <c r="G247" s="5">
        <v>62</v>
      </c>
      <c r="H247" s="5">
        <v>1</v>
      </c>
      <c r="I247" s="5">
        <v>80</v>
      </c>
      <c r="J247" s="5">
        <v>267</v>
      </c>
      <c r="K247" s="5">
        <v>30</v>
      </c>
      <c r="L247" s="5">
        <v>297</v>
      </c>
      <c r="M247" s="5">
        <v>643</v>
      </c>
      <c r="N247" s="6">
        <f t="shared" si="11"/>
        <v>0.10101010101010101</v>
      </c>
      <c r="O247" s="11">
        <v>96</v>
      </c>
      <c r="P247" s="11">
        <v>0</v>
      </c>
      <c r="Q247" s="11">
        <v>5</v>
      </c>
      <c r="R247" s="11">
        <v>4</v>
      </c>
      <c r="S247" s="11">
        <v>2</v>
      </c>
      <c r="T247" s="11">
        <v>0</v>
      </c>
      <c r="U247" s="11">
        <v>2</v>
      </c>
      <c r="V247" s="11">
        <v>7</v>
      </c>
      <c r="W247" s="11">
        <v>2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1</v>
      </c>
      <c r="AF247" s="11">
        <v>1</v>
      </c>
    </row>
    <row r="248" spans="1:32">
      <c r="A248" t="s">
        <v>71</v>
      </c>
      <c r="B248">
        <v>2022</v>
      </c>
      <c r="C248" t="str">
        <f t="shared" si="10"/>
        <v>2022-Q3</v>
      </c>
      <c r="D248" t="s">
        <v>57</v>
      </c>
      <c r="E248" t="str">
        <f t="shared" si="9"/>
        <v>South West</v>
      </c>
      <c r="F248" s="5">
        <v>20</v>
      </c>
      <c r="G248" s="5">
        <v>74</v>
      </c>
      <c r="H248" s="5">
        <v>52</v>
      </c>
      <c r="I248" s="5">
        <v>146</v>
      </c>
      <c r="J248" s="5">
        <v>201</v>
      </c>
      <c r="K248" s="5">
        <v>57</v>
      </c>
      <c r="L248" s="5">
        <v>258</v>
      </c>
      <c r="M248" s="5">
        <v>699</v>
      </c>
      <c r="N248" s="6">
        <f t="shared" si="11"/>
        <v>0.22093023255813954</v>
      </c>
      <c r="O248" s="11">
        <v>79</v>
      </c>
      <c r="P248" s="11">
        <v>0</v>
      </c>
      <c r="Q248" s="11">
        <v>5</v>
      </c>
      <c r="R248" s="11">
        <v>14</v>
      </c>
      <c r="S248" s="11">
        <v>8</v>
      </c>
      <c r="T248" s="11">
        <v>0</v>
      </c>
      <c r="U248" s="11">
        <v>0</v>
      </c>
      <c r="V248" s="11">
        <v>8</v>
      </c>
      <c r="W248" s="11">
        <v>3</v>
      </c>
      <c r="X248" s="11">
        <v>0</v>
      </c>
      <c r="Y248" s="11">
        <v>6</v>
      </c>
      <c r="Z248" s="11">
        <v>0</v>
      </c>
      <c r="AA248" s="11">
        <v>0</v>
      </c>
      <c r="AB248" s="11">
        <v>3</v>
      </c>
      <c r="AC248" s="11">
        <v>0</v>
      </c>
      <c r="AD248" s="11">
        <v>0</v>
      </c>
      <c r="AE248" s="11">
        <v>0</v>
      </c>
      <c r="AF248" s="11">
        <v>18</v>
      </c>
    </row>
    <row r="249" spans="1:32">
      <c r="A249" t="s">
        <v>71</v>
      </c>
      <c r="B249">
        <v>2022</v>
      </c>
      <c r="C249" t="str">
        <f t="shared" si="10"/>
        <v>2022-Q3</v>
      </c>
      <c r="D249" t="s">
        <v>58</v>
      </c>
      <c r="E249" t="str">
        <f t="shared" si="9"/>
        <v>North Central</v>
      </c>
      <c r="F249" s="5">
        <v>36</v>
      </c>
      <c r="G249" s="5">
        <v>195</v>
      </c>
      <c r="H249" s="5">
        <v>10</v>
      </c>
      <c r="I249" s="5">
        <v>241</v>
      </c>
      <c r="J249" s="5">
        <v>626</v>
      </c>
      <c r="K249" s="5">
        <v>78</v>
      </c>
      <c r="L249" s="5">
        <v>704</v>
      </c>
      <c r="M249" s="5">
        <v>1210</v>
      </c>
      <c r="N249" s="6">
        <f t="shared" si="11"/>
        <v>0.11079545454545454</v>
      </c>
      <c r="O249" s="11">
        <v>129</v>
      </c>
      <c r="P249" s="11">
        <v>0</v>
      </c>
      <c r="Q249" s="11">
        <v>4</v>
      </c>
      <c r="R249" s="11">
        <v>2</v>
      </c>
      <c r="S249" s="11">
        <v>3</v>
      </c>
      <c r="T249" s="11">
        <v>3</v>
      </c>
      <c r="U249" s="11">
        <v>0</v>
      </c>
      <c r="V249" s="11">
        <v>19</v>
      </c>
      <c r="W249" s="11">
        <v>45</v>
      </c>
      <c r="X249" s="11">
        <v>0</v>
      </c>
      <c r="Y249" s="11">
        <v>21</v>
      </c>
      <c r="Z249" s="11">
        <v>3</v>
      </c>
      <c r="AA249" s="11">
        <v>0</v>
      </c>
      <c r="AB249" s="11">
        <v>1</v>
      </c>
      <c r="AC249" s="11">
        <v>0</v>
      </c>
      <c r="AD249" s="11">
        <v>0</v>
      </c>
      <c r="AE249" s="11">
        <v>39</v>
      </c>
      <c r="AF249" s="11">
        <v>37</v>
      </c>
    </row>
    <row r="250" spans="1:32">
      <c r="A250" t="s">
        <v>71</v>
      </c>
      <c r="B250">
        <v>2022</v>
      </c>
      <c r="C250" t="str">
        <f t="shared" si="10"/>
        <v>2022-Q3</v>
      </c>
      <c r="D250" t="s">
        <v>59</v>
      </c>
      <c r="E250" t="str">
        <f t="shared" si="9"/>
        <v>North Central</v>
      </c>
      <c r="F250" s="5">
        <v>19</v>
      </c>
      <c r="G250" s="5">
        <v>100</v>
      </c>
      <c r="H250" s="5">
        <v>5</v>
      </c>
      <c r="I250" s="5">
        <v>124</v>
      </c>
      <c r="J250" s="5">
        <v>308</v>
      </c>
      <c r="K250" s="5">
        <v>41</v>
      </c>
      <c r="L250" s="5">
        <v>349</v>
      </c>
      <c r="M250" s="5">
        <v>546</v>
      </c>
      <c r="N250" s="6">
        <f t="shared" si="11"/>
        <v>0.1174785100286533</v>
      </c>
      <c r="O250" s="11">
        <v>120</v>
      </c>
      <c r="P250" s="11">
        <v>0</v>
      </c>
      <c r="Q250" s="11">
        <v>3</v>
      </c>
      <c r="R250" s="11">
        <v>1</v>
      </c>
      <c r="S250" s="11">
        <v>5</v>
      </c>
      <c r="T250" s="11">
        <v>1</v>
      </c>
      <c r="U250" s="11">
        <v>1</v>
      </c>
      <c r="V250" s="11">
        <v>9</v>
      </c>
      <c r="W250" s="11">
        <v>4</v>
      </c>
      <c r="X250" s="11">
        <v>1</v>
      </c>
      <c r="Y250" s="11">
        <v>3</v>
      </c>
      <c r="Z250" s="11">
        <v>0</v>
      </c>
      <c r="AA250" s="11">
        <v>0</v>
      </c>
      <c r="AB250" s="11">
        <v>0</v>
      </c>
      <c r="AC250" s="11">
        <v>0</v>
      </c>
      <c r="AD250" s="11">
        <v>9</v>
      </c>
      <c r="AE250" s="11">
        <v>3</v>
      </c>
      <c r="AF250" s="11">
        <v>7</v>
      </c>
    </row>
    <row r="251" spans="1:32">
      <c r="A251" t="s">
        <v>71</v>
      </c>
      <c r="B251">
        <v>2022</v>
      </c>
      <c r="C251" t="str">
        <f t="shared" si="10"/>
        <v>2022-Q3</v>
      </c>
      <c r="D251" t="s">
        <v>60</v>
      </c>
      <c r="E251" t="str">
        <f t="shared" si="9"/>
        <v>South West</v>
      </c>
      <c r="F251" s="5">
        <v>69</v>
      </c>
      <c r="G251" s="5">
        <v>175</v>
      </c>
      <c r="H251" s="5">
        <v>62</v>
      </c>
      <c r="I251" s="5">
        <v>306</v>
      </c>
      <c r="J251" s="5">
        <v>718</v>
      </c>
      <c r="K251" s="5">
        <v>102</v>
      </c>
      <c r="L251" s="5">
        <v>820</v>
      </c>
      <c r="M251" s="5">
        <v>1817</v>
      </c>
      <c r="N251" s="6">
        <f t="shared" si="11"/>
        <v>0.12439024390243902</v>
      </c>
      <c r="O251" s="11">
        <v>313</v>
      </c>
      <c r="P251" s="11">
        <v>2</v>
      </c>
      <c r="Q251" s="11">
        <v>28</v>
      </c>
      <c r="R251" s="11">
        <v>13</v>
      </c>
      <c r="S251" s="11">
        <v>17</v>
      </c>
      <c r="T251" s="11">
        <v>0</v>
      </c>
      <c r="U251" s="11">
        <v>0</v>
      </c>
      <c r="V251" s="11">
        <v>29</v>
      </c>
      <c r="W251" s="11">
        <v>7</v>
      </c>
      <c r="X251" s="11">
        <v>0</v>
      </c>
      <c r="Y251" s="11">
        <v>34</v>
      </c>
      <c r="Z251" s="11">
        <v>1</v>
      </c>
      <c r="AA251" s="11">
        <v>0</v>
      </c>
      <c r="AB251" s="11">
        <v>1</v>
      </c>
      <c r="AC251" s="11">
        <v>0</v>
      </c>
      <c r="AD251" s="11">
        <v>0</v>
      </c>
      <c r="AE251" s="11">
        <v>6</v>
      </c>
      <c r="AF251" s="11">
        <v>27</v>
      </c>
    </row>
    <row r="252" spans="1:32">
      <c r="A252" t="s">
        <v>71</v>
      </c>
      <c r="B252">
        <v>2022</v>
      </c>
      <c r="C252" t="str">
        <f t="shared" si="10"/>
        <v>2022-Q3</v>
      </c>
      <c r="D252" t="s">
        <v>61</v>
      </c>
      <c r="E252" t="str">
        <f t="shared" si="9"/>
        <v>South West</v>
      </c>
      <c r="F252" s="5">
        <v>34</v>
      </c>
      <c r="G252" s="5">
        <v>99</v>
      </c>
      <c r="H252" s="5">
        <v>6</v>
      </c>
      <c r="I252" s="5">
        <v>139</v>
      </c>
      <c r="J252" s="5">
        <v>356</v>
      </c>
      <c r="K252" s="5">
        <v>59</v>
      </c>
      <c r="L252" s="5">
        <v>415</v>
      </c>
      <c r="M252" s="5">
        <v>1034</v>
      </c>
      <c r="N252" s="6">
        <f t="shared" si="11"/>
        <v>0.14216867469879518</v>
      </c>
      <c r="O252" s="11">
        <v>103</v>
      </c>
      <c r="P252" s="11">
        <v>0</v>
      </c>
      <c r="Q252" s="11">
        <v>7</v>
      </c>
      <c r="R252" s="11">
        <v>3</v>
      </c>
      <c r="S252" s="11">
        <v>4</v>
      </c>
      <c r="T252" s="11">
        <v>0</v>
      </c>
      <c r="U252" s="11">
        <v>0</v>
      </c>
      <c r="V252" s="11">
        <v>10</v>
      </c>
      <c r="W252" s="11">
        <v>13</v>
      </c>
      <c r="X252" s="11">
        <v>5</v>
      </c>
      <c r="Y252" s="11">
        <v>3</v>
      </c>
      <c r="Z252" s="11">
        <v>1</v>
      </c>
      <c r="AA252" s="11">
        <v>0</v>
      </c>
      <c r="AB252" s="11">
        <v>0</v>
      </c>
      <c r="AC252" s="11">
        <v>0</v>
      </c>
      <c r="AD252" s="11">
        <v>1</v>
      </c>
      <c r="AE252" s="11">
        <v>0</v>
      </c>
      <c r="AF252" s="11">
        <v>1</v>
      </c>
    </row>
    <row r="253" spans="1:32">
      <c r="A253" t="s">
        <v>71</v>
      </c>
      <c r="B253">
        <v>2022</v>
      </c>
      <c r="C253" t="str">
        <f t="shared" si="10"/>
        <v>2022-Q3</v>
      </c>
      <c r="D253" t="s">
        <v>62</v>
      </c>
      <c r="E253" t="str">
        <f t="shared" si="9"/>
        <v>South West</v>
      </c>
      <c r="F253" s="5">
        <v>10</v>
      </c>
      <c r="G253" s="5">
        <v>80</v>
      </c>
      <c r="H253" s="5">
        <v>5</v>
      </c>
      <c r="I253" s="5">
        <v>95</v>
      </c>
      <c r="J253" s="5">
        <v>327</v>
      </c>
      <c r="K253" s="5">
        <v>30</v>
      </c>
      <c r="L253" s="5">
        <v>357</v>
      </c>
      <c r="M253" s="5">
        <v>823</v>
      </c>
      <c r="N253" s="6">
        <f t="shared" si="11"/>
        <v>8.4033613445378158E-2</v>
      </c>
      <c r="O253" s="11">
        <v>78</v>
      </c>
      <c r="P253" s="11">
        <v>0</v>
      </c>
      <c r="Q253" s="11">
        <v>10</v>
      </c>
      <c r="R253" s="11">
        <v>3</v>
      </c>
      <c r="S253" s="11">
        <v>6</v>
      </c>
      <c r="T253" s="11">
        <v>1</v>
      </c>
      <c r="U253" s="11">
        <v>2</v>
      </c>
      <c r="V253" s="11">
        <v>5</v>
      </c>
      <c r="W253" s="11">
        <v>5</v>
      </c>
      <c r="X253" s="11">
        <v>0</v>
      </c>
      <c r="Y253" s="11">
        <v>11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1</v>
      </c>
    </row>
    <row r="254" spans="1:32">
      <c r="A254" t="s">
        <v>71</v>
      </c>
      <c r="B254">
        <v>2022</v>
      </c>
      <c r="C254" t="str">
        <f t="shared" si="10"/>
        <v>2022-Q3</v>
      </c>
      <c r="D254" t="s">
        <v>63</v>
      </c>
      <c r="E254" t="str">
        <f t="shared" si="9"/>
        <v>South West</v>
      </c>
      <c r="F254" s="5">
        <v>45</v>
      </c>
      <c r="G254" s="5">
        <v>115</v>
      </c>
      <c r="H254" s="5">
        <v>6</v>
      </c>
      <c r="I254" s="5">
        <v>166</v>
      </c>
      <c r="J254" s="5">
        <v>514</v>
      </c>
      <c r="K254" s="5">
        <v>84</v>
      </c>
      <c r="L254" s="5">
        <v>598</v>
      </c>
      <c r="M254" s="5">
        <v>1243</v>
      </c>
      <c r="N254" s="6">
        <f t="shared" si="11"/>
        <v>0.14046822742474915</v>
      </c>
      <c r="O254" s="11">
        <v>105</v>
      </c>
      <c r="P254" s="11">
        <v>0</v>
      </c>
      <c r="Q254" s="11">
        <v>19</v>
      </c>
      <c r="R254" s="11">
        <v>6</v>
      </c>
      <c r="S254" s="11">
        <v>4</v>
      </c>
      <c r="T254" s="11">
        <v>2</v>
      </c>
      <c r="U254" s="11">
        <v>3</v>
      </c>
      <c r="V254" s="11">
        <v>15</v>
      </c>
      <c r="W254" s="11">
        <v>19</v>
      </c>
      <c r="X254" s="11">
        <v>2</v>
      </c>
      <c r="Y254" s="11">
        <v>16</v>
      </c>
      <c r="Z254" s="11">
        <v>2</v>
      </c>
      <c r="AA254" s="11">
        <v>0</v>
      </c>
      <c r="AB254" s="11">
        <v>0</v>
      </c>
      <c r="AC254" s="11">
        <v>0</v>
      </c>
      <c r="AD254" s="11">
        <v>2</v>
      </c>
      <c r="AE254" s="11">
        <v>0</v>
      </c>
      <c r="AF254" s="11">
        <v>1</v>
      </c>
    </row>
    <row r="255" spans="1:32">
      <c r="A255" t="s">
        <v>71</v>
      </c>
      <c r="B255">
        <v>2022</v>
      </c>
      <c r="C255" t="str">
        <f t="shared" si="10"/>
        <v>2022-Q3</v>
      </c>
      <c r="D255" t="s">
        <v>64</v>
      </c>
      <c r="E255" t="str">
        <f t="shared" si="9"/>
        <v>North Central</v>
      </c>
      <c r="F255" s="5">
        <v>16</v>
      </c>
      <c r="G255" s="5">
        <v>51</v>
      </c>
      <c r="H255" s="5">
        <v>13</v>
      </c>
      <c r="I255" s="5">
        <v>80</v>
      </c>
      <c r="J255" s="5">
        <v>227</v>
      </c>
      <c r="K255" s="5">
        <v>32</v>
      </c>
      <c r="L255" s="5">
        <v>259</v>
      </c>
      <c r="M255" s="5">
        <v>552</v>
      </c>
      <c r="N255" s="6">
        <f t="shared" si="11"/>
        <v>0.12355212355212356</v>
      </c>
      <c r="O255" s="11">
        <v>38</v>
      </c>
      <c r="P255" s="11">
        <v>0</v>
      </c>
      <c r="Q255" s="11">
        <v>5</v>
      </c>
      <c r="R255" s="11">
        <v>8</v>
      </c>
      <c r="S255" s="11">
        <v>10</v>
      </c>
      <c r="T255" s="11">
        <v>0</v>
      </c>
      <c r="U255" s="11">
        <v>0</v>
      </c>
      <c r="V255" s="11">
        <v>4</v>
      </c>
      <c r="W255" s="11">
        <v>9</v>
      </c>
      <c r="X255" s="11">
        <v>0</v>
      </c>
      <c r="Y255" s="11">
        <v>5</v>
      </c>
      <c r="Z255" s="11">
        <v>3</v>
      </c>
      <c r="AA255" s="11">
        <v>0</v>
      </c>
      <c r="AB255" s="11">
        <v>1</v>
      </c>
      <c r="AC255" s="11">
        <v>0</v>
      </c>
      <c r="AD255" s="11">
        <v>2</v>
      </c>
      <c r="AE255" s="11">
        <v>1</v>
      </c>
      <c r="AF255" s="11">
        <v>6</v>
      </c>
    </row>
    <row r="256" spans="1:32">
      <c r="A256" t="s">
        <v>71</v>
      </c>
      <c r="B256">
        <v>2022</v>
      </c>
      <c r="C256" t="str">
        <f t="shared" si="10"/>
        <v>2022-Q3</v>
      </c>
      <c r="D256" t="s">
        <v>65</v>
      </c>
      <c r="E256" t="str">
        <f t="shared" si="9"/>
        <v>South South</v>
      </c>
      <c r="F256" s="5">
        <v>8</v>
      </c>
      <c r="G256" s="5">
        <v>9</v>
      </c>
      <c r="H256" s="5">
        <v>4</v>
      </c>
      <c r="I256" s="5">
        <v>21</v>
      </c>
      <c r="J256" s="5">
        <v>42</v>
      </c>
      <c r="K256" s="5">
        <v>9</v>
      </c>
      <c r="L256" s="5">
        <v>51</v>
      </c>
      <c r="M256" s="5">
        <v>204</v>
      </c>
      <c r="N256" s="6">
        <f t="shared" si="11"/>
        <v>0.17647058823529413</v>
      </c>
      <c r="O256" s="11">
        <v>8</v>
      </c>
      <c r="P256" s="11">
        <v>0</v>
      </c>
      <c r="Q256" s="11">
        <v>1</v>
      </c>
      <c r="R256" s="11">
        <v>0</v>
      </c>
      <c r="S256" s="11">
        <v>8</v>
      </c>
      <c r="T256" s="11">
        <v>0</v>
      </c>
      <c r="U256" s="11">
        <v>0</v>
      </c>
      <c r="V256" s="11">
        <v>3</v>
      </c>
      <c r="W256" s="11">
        <v>3</v>
      </c>
      <c r="X256" s="11">
        <v>0</v>
      </c>
      <c r="Y256" s="11">
        <v>2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</row>
    <row r="257" spans="1:32">
      <c r="A257" t="s">
        <v>71</v>
      </c>
      <c r="B257">
        <v>2022</v>
      </c>
      <c r="C257" t="str">
        <f t="shared" si="10"/>
        <v>2022-Q3</v>
      </c>
      <c r="D257" t="s">
        <v>66</v>
      </c>
      <c r="E257" t="str">
        <f t="shared" si="9"/>
        <v>North West</v>
      </c>
      <c r="F257" s="5">
        <v>24</v>
      </c>
      <c r="G257" s="5">
        <v>23</v>
      </c>
      <c r="H257" s="5">
        <v>1</v>
      </c>
      <c r="I257" s="5">
        <v>48</v>
      </c>
      <c r="J257" s="5">
        <v>146</v>
      </c>
      <c r="K257" s="5">
        <v>38</v>
      </c>
      <c r="L257" s="5">
        <v>184</v>
      </c>
      <c r="M257" s="5">
        <v>256</v>
      </c>
      <c r="N257" s="6">
        <f t="shared" si="11"/>
        <v>0.20652173913043478</v>
      </c>
      <c r="O257" s="11">
        <v>31</v>
      </c>
      <c r="P257" s="11">
        <v>0</v>
      </c>
      <c r="Q257" s="11">
        <v>3</v>
      </c>
      <c r="R257" s="11">
        <v>1</v>
      </c>
      <c r="S257" s="11">
        <v>1</v>
      </c>
      <c r="T257" s="11">
        <v>0</v>
      </c>
      <c r="U257" s="11">
        <v>0</v>
      </c>
      <c r="V257" s="11">
        <v>6</v>
      </c>
      <c r="W257" s="11">
        <v>15</v>
      </c>
      <c r="X257" s="11">
        <v>0</v>
      </c>
      <c r="Y257" s="11">
        <v>1</v>
      </c>
      <c r="Z257" s="11">
        <v>0</v>
      </c>
      <c r="AA257" s="11">
        <v>1</v>
      </c>
      <c r="AB257" s="11">
        <v>0</v>
      </c>
      <c r="AC257" s="11">
        <v>0</v>
      </c>
      <c r="AD257" s="11">
        <v>2</v>
      </c>
      <c r="AE257" s="11">
        <v>0</v>
      </c>
      <c r="AF257" s="11">
        <v>4</v>
      </c>
    </row>
    <row r="258" spans="1:32">
      <c r="A258" t="s">
        <v>71</v>
      </c>
      <c r="B258">
        <v>2022</v>
      </c>
      <c r="C258" t="str">
        <f t="shared" si="10"/>
        <v>2022-Q3</v>
      </c>
      <c r="D258" t="s">
        <v>67</v>
      </c>
      <c r="E258" t="str">
        <f t="shared" ref="E258:E321" si="12">IF(OR(D258="Adamawa", D258="Bauchi", D258="Borno", D258="Gombe", D258="Taraba", D258="Yobe"), "North East",
IF(OR(D258="Jigawa", D258="Kaduna", D258="Kano", D258="Katsina", D258="Kebbi", D258="Sokoto", D258="Zamfara"), "North West",
IF(OR(D258="Benue", D258="Kogi", D258="Kwara", D258="Nasarawa", D258="Niger", D258="Plateau", D258="FCT"), "North Central",
IF(OR(D258="Abia", D258="Anambra", D258="Ebonyi", D258="Enugu", D258="Imo"), "South East",
IF(OR(D258="Akwa Ibom", D258="Bayelsa", D258="Cross River", D258="Delta", D258="Edo", D258="Rivers"), "South South",
IF(OR(D258="Ekiti", D258="Lagos", D258="Ogun", D258="Ondo", D258="Osun", D258="Oyo"), "South West",
"Zone Not Found"))))))</f>
        <v>North East</v>
      </c>
      <c r="F258" s="5">
        <v>5</v>
      </c>
      <c r="G258" s="5">
        <v>75</v>
      </c>
      <c r="H258" s="5">
        <v>1</v>
      </c>
      <c r="I258" s="5">
        <v>81</v>
      </c>
      <c r="J258" s="5">
        <v>217</v>
      </c>
      <c r="K258" s="5">
        <v>8</v>
      </c>
      <c r="L258" s="5">
        <v>225</v>
      </c>
      <c r="M258" s="5">
        <v>435</v>
      </c>
      <c r="N258" s="6">
        <f t="shared" si="11"/>
        <v>3.5555555555555556E-2</v>
      </c>
      <c r="O258" s="11">
        <v>18</v>
      </c>
      <c r="P258" s="11">
        <v>0</v>
      </c>
      <c r="Q258" s="11">
        <v>1</v>
      </c>
      <c r="R258" s="11">
        <v>0</v>
      </c>
      <c r="S258" s="11">
        <v>0</v>
      </c>
      <c r="T258" s="11">
        <v>4</v>
      </c>
      <c r="U258" s="11">
        <v>1</v>
      </c>
      <c r="V258" s="11">
        <v>4</v>
      </c>
      <c r="W258" s="11">
        <v>27</v>
      </c>
      <c r="X258" s="11">
        <v>3</v>
      </c>
      <c r="Y258" s="11">
        <v>7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21</v>
      </c>
      <c r="AF258" s="11">
        <v>6</v>
      </c>
    </row>
    <row r="259" spans="1:32">
      <c r="A259" t="s">
        <v>71</v>
      </c>
      <c r="B259">
        <v>2022</v>
      </c>
      <c r="C259" t="str">
        <f t="shared" ref="C259:C322" si="13">B259&amp;"-"&amp;A259</f>
        <v>2022-Q3</v>
      </c>
      <c r="D259" t="s">
        <v>68</v>
      </c>
      <c r="E259" t="str">
        <f t="shared" si="12"/>
        <v>North East</v>
      </c>
      <c r="F259" s="5">
        <v>17</v>
      </c>
      <c r="G259" s="5">
        <v>27</v>
      </c>
      <c r="H259" s="5">
        <v>4</v>
      </c>
      <c r="I259" s="5">
        <v>48</v>
      </c>
      <c r="J259" s="5">
        <v>191</v>
      </c>
      <c r="K259" s="5">
        <v>60</v>
      </c>
      <c r="L259" s="5">
        <v>251</v>
      </c>
      <c r="M259" s="5">
        <v>365</v>
      </c>
      <c r="N259" s="6">
        <f t="shared" ref="N259:N322" si="14">K259/L259</f>
        <v>0.23904382470119523</v>
      </c>
      <c r="O259" s="11">
        <v>26</v>
      </c>
      <c r="P259" s="11">
        <v>0</v>
      </c>
      <c r="Q259" s="11">
        <v>1</v>
      </c>
      <c r="R259" s="11">
        <v>0</v>
      </c>
      <c r="S259" s="11">
        <v>1</v>
      </c>
      <c r="T259" s="11">
        <v>0</v>
      </c>
      <c r="U259" s="11">
        <v>0</v>
      </c>
      <c r="V259" s="11">
        <v>2</v>
      </c>
      <c r="W259" s="11">
        <v>2</v>
      </c>
      <c r="X259" s="11">
        <v>0</v>
      </c>
      <c r="Y259" s="11">
        <v>2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1</v>
      </c>
      <c r="AF259" s="11">
        <v>21</v>
      </c>
    </row>
    <row r="260" spans="1:32">
      <c r="A260" t="s">
        <v>71</v>
      </c>
      <c r="B260">
        <v>2022</v>
      </c>
      <c r="C260" t="str">
        <f t="shared" si="13"/>
        <v>2022-Q3</v>
      </c>
      <c r="D260" t="s">
        <v>69</v>
      </c>
      <c r="E260" t="str">
        <f t="shared" si="12"/>
        <v>North West</v>
      </c>
      <c r="F260" s="5">
        <v>5</v>
      </c>
      <c r="G260" s="5">
        <v>24</v>
      </c>
      <c r="H260" s="5">
        <v>0</v>
      </c>
      <c r="I260" s="5">
        <v>29</v>
      </c>
      <c r="J260" s="5">
        <v>77</v>
      </c>
      <c r="K260" s="5">
        <v>12</v>
      </c>
      <c r="L260" s="5">
        <v>89</v>
      </c>
      <c r="M260" s="5">
        <v>157</v>
      </c>
      <c r="N260" s="6">
        <f t="shared" si="14"/>
        <v>0.1348314606741573</v>
      </c>
      <c r="O260" s="11">
        <v>22</v>
      </c>
      <c r="P260" s="11">
        <v>0</v>
      </c>
      <c r="Q260" s="11">
        <v>1</v>
      </c>
      <c r="R260" s="11">
        <v>1</v>
      </c>
      <c r="S260" s="11">
        <v>1</v>
      </c>
      <c r="T260" s="11">
        <v>0</v>
      </c>
      <c r="U260" s="11">
        <v>0</v>
      </c>
      <c r="V260" s="11">
        <v>6</v>
      </c>
      <c r="W260" s="11">
        <v>2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1</v>
      </c>
    </row>
    <row r="261" spans="1:32">
      <c r="A261" t="s">
        <v>72</v>
      </c>
      <c r="B261">
        <v>2022</v>
      </c>
      <c r="C261" t="str">
        <f t="shared" si="13"/>
        <v>2022-Q4</v>
      </c>
      <c r="D261" t="s">
        <v>33</v>
      </c>
      <c r="E261" t="str">
        <f t="shared" si="12"/>
        <v>South East</v>
      </c>
      <c r="F261" s="5">
        <v>7</v>
      </c>
      <c r="G261" s="5">
        <v>13</v>
      </c>
      <c r="H261" s="5">
        <v>13</v>
      </c>
      <c r="I261" s="5">
        <v>33</v>
      </c>
      <c r="J261" s="5">
        <v>89</v>
      </c>
      <c r="K261" s="5">
        <v>7</v>
      </c>
      <c r="L261" s="5">
        <v>96</v>
      </c>
      <c r="M261" s="5">
        <v>209</v>
      </c>
      <c r="N261" s="6">
        <f t="shared" si="14"/>
        <v>7.2916666666666671E-2</v>
      </c>
      <c r="O261" s="11">
        <v>12</v>
      </c>
      <c r="P261" s="11">
        <v>0</v>
      </c>
      <c r="Q261" s="11">
        <v>6</v>
      </c>
      <c r="R261" s="11">
        <v>1</v>
      </c>
      <c r="S261" s="11">
        <v>7</v>
      </c>
      <c r="T261" s="11">
        <v>0</v>
      </c>
      <c r="U261" s="11">
        <v>0</v>
      </c>
      <c r="V261" s="11">
        <v>0</v>
      </c>
      <c r="W261" s="11">
        <v>1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8</v>
      </c>
    </row>
    <row r="262" spans="1:32">
      <c r="A262" t="s">
        <v>72</v>
      </c>
      <c r="B262">
        <v>2022</v>
      </c>
      <c r="C262" t="str">
        <f t="shared" si="13"/>
        <v>2022-Q4</v>
      </c>
      <c r="D262" t="s">
        <v>34</v>
      </c>
      <c r="E262" t="str">
        <f t="shared" si="12"/>
        <v>North East</v>
      </c>
      <c r="F262" s="5">
        <v>7</v>
      </c>
      <c r="G262" s="5">
        <v>27</v>
      </c>
      <c r="H262" s="5">
        <v>0</v>
      </c>
      <c r="I262" s="5">
        <v>34</v>
      </c>
      <c r="J262" s="5">
        <v>117</v>
      </c>
      <c r="K262" s="5">
        <v>17</v>
      </c>
      <c r="L262" s="5">
        <v>134</v>
      </c>
      <c r="M262" s="5">
        <v>213</v>
      </c>
      <c r="N262" s="6">
        <f t="shared" si="14"/>
        <v>0.12686567164179105</v>
      </c>
      <c r="O262" s="11">
        <v>22</v>
      </c>
      <c r="P262" s="11">
        <v>1</v>
      </c>
      <c r="Q262" s="11">
        <v>2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2</v>
      </c>
      <c r="X262" s="11">
        <v>0</v>
      </c>
      <c r="Y262" s="11">
        <v>0</v>
      </c>
      <c r="Z262" s="11">
        <v>1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6</v>
      </c>
    </row>
    <row r="263" spans="1:32">
      <c r="A263" t="s">
        <v>72</v>
      </c>
      <c r="B263">
        <v>2022</v>
      </c>
      <c r="C263" t="str">
        <f t="shared" si="13"/>
        <v>2022-Q4</v>
      </c>
      <c r="D263" t="s">
        <v>35</v>
      </c>
      <c r="E263" t="str">
        <f t="shared" si="12"/>
        <v>South South</v>
      </c>
      <c r="F263" s="5">
        <v>7</v>
      </c>
      <c r="G263" s="5">
        <v>14</v>
      </c>
      <c r="H263" s="5">
        <v>2</v>
      </c>
      <c r="I263" s="5">
        <v>23</v>
      </c>
      <c r="J263" s="5">
        <v>75</v>
      </c>
      <c r="K263" s="5">
        <v>15</v>
      </c>
      <c r="L263" s="5">
        <v>90</v>
      </c>
      <c r="M263" s="5">
        <v>164</v>
      </c>
      <c r="N263" s="6">
        <f t="shared" si="14"/>
        <v>0.16666666666666666</v>
      </c>
      <c r="O263" s="11">
        <v>16</v>
      </c>
      <c r="P263" s="11">
        <v>0</v>
      </c>
      <c r="Q263" s="11">
        <v>2</v>
      </c>
      <c r="R263" s="11">
        <v>0</v>
      </c>
      <c r="S263" s="11">
        <v>1</v>
      </c>
      <c r="T263" s="11">
        <v>0</v>
      </c>
      <c r="U263" s="11">
        <v>0</v>
      </c>
      <c r="V263" s="11">
        <v>0</v>
      </c>
      <c r="W263" s="11">
        <v>3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1</v>
      </c>
    </row>
    <row r="264" spans="1:32">
      <c r="A264" t="s">
        <v>72</v>
      </c>
      <c r="B264">
        <v>2022</v>
      </c>
      <c r="C264" t="str">
        <f t="shared" si="13"/>
        <v>2022-Q4</v>
      </c>
      <c r="D264" t="s">
        <v>36</v>
      </c>
      <c r="E264" t="str">
        <f t="shared" si="12"/>
        <v>South East</v>
      </c>
      <c r="F264" s="5">
        <v>10</v>
      </c>
      <c r="G264" s="5">
        <v>20</v>
      </c>
      <c r="H264" s="5">
        <v>10</v>
      </c>
      <c r="I264" s="5">
        <v>40</v>
      </c>
      <c r="J264" s="5">
        <v>121</v>
      </c>
      <c r="K264" s="5">
        <v>14</v>
      </c>
      <c r="L264" s="5">
        <v>135</v>
      </c>
      <c r="M264" s="5">
        <v>344</v>
      </c>
      <c r="N264" s="6">
        <f t="shared" si="14"/>
        <v>0.1037037037037037</v>
      </c>
      <c r="O264" s="11">
        <v>21</v>
      </c>
      <c r="P264" s="11">
        <v>1</v>
      </c>
      <c r="Q264" s="11">
        <v>2</v>
      </c>
      <c r="R264" s="11">
        <v>5</v>
      </c>
      <c r="S264" s="11">
        <v>12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2</v>
      </c>
      <c r="AF264" s="11">
        <v>5</v>
      </c>
    </row>
    <row r="265" spans="1:32">
      <c r="A265" t="s">
        <v>72</v>
      </c>
      <c r="B265">
        <v>2022</v>
      </c>
      <c r="C265" t="str">
        <f t="shared" si="13"/>
        <v>2022-Q4</v>
      </c>
      <c r="D265" t="s">
        <v>37</v>
      </c>
      <c r="E265" t="str">
        <f t="shared" si="12"/>
        <v>North East</v>
      </c>
      <c r="F265" s="5">
        <v>42</v>
      </c>
      <c r="G265" s="5">
        <v>79</v>
      </c>
      <c r="H265" s="5">
        <v>1</v>
      </c>
      <c r="I265" s="5">
        <v>122</v>
      </c>
      <c r="J265" s="5">
        <v>523</v>
      </c>
      <c r="K265" s="5">
        <v>93</v>
      </c>
      <c r="L265" s="5">
        <v>616</v>
      </c>
      <c r="M265" s="5">
        <v>888</v>
      </c>
      <c r="N265" s="6">
        <f t="shared" si="14"/>
        <v>0.15097402597402598</v>
      </c>
      <c r="O265" s="11">
        <v>72</v>
      </c>
      <c r="P265" s="11">
        <v>0</v>
      </c>
      <c r="Q265" s="11">
        <v>4</v>
      </c>
      <c r="R265" s="11">
        <v>2</v>
      </c>
      <c r="S265" s="11">
        <v>2</v>
      </c>
      <c r="T265" s="11">
        <v>1</v>
      </c>
      <c r="U265" s="11">
        <v>2</v>
      </c>
      <c r="V265" s="11">
        <v>9</v>
      </c>
      <c r="W265" s="11">
        <v>11</v>
      </c>
      <c r="X265" s="11">
        <v>5</v>
      </c>
      <c r="Y265" s="11">
        <v>2</v>
      </c>
      <c r="Z265" s="11">
        <v>2</v>
      </c>
      <c r="AA265" s="11">
        <v>0</v>
      </c>
      <c r="AB265" s="11">
        <v>0</v>
      </c>
      <c r="AC265" s="11">
        <v>0</v>
      </c>
      <c r="AD265" s="11">
        <v>1</v>
      </c>
      <c r="AE265" s="11">
        <v>6</v>
      </c>
      <c r="AF265" s="11">
        <v>42</v>
      </c>
    </row>
    <row r="266" spans="1:32">
      <c r="A266" t="s">
        <v>72</v>
      </c>
      <c r="B266">
        <v>2022</v>
      </c>
      <c r="C266" t="str">
        <f t="shared" si="13"/>
        <v>2022-Q4</v>
      </c>
      <c r="D266" t="s">
        <v>38</v>
      </c>
      <c r="E266" t="str">
        <f t="shared" si="12"/>
        <v>South South</v>
      </c>
      <c r="F266" s="5">
        <v>1</v>
      </c>
      <c r="G266" s="5">
        <v>5</v>
      </c>
      <c r="H266" s="5">
        <v>2</v>
      </c>
      <c r="I266" s="5">
        <v>8</v>
      </c>
      <c r="J266" s="5">
        <v>17</v>
      </c>
      <c r="K266" s="5">
        <v>1</v>
      </c>
      <c r="L266" s="5">
        <v>18</v>
      </c>
      <c r="M266" s="5">
        <v>27</v>
      </c>
      <c r="N266" s="6">
        <f t="shared" si="14"/>
        <v>5.5555555555555552E-2</v>
      </c>
      <c r="O266" s="11">
        <v>4</v>
      </c>
      <c r="P266" s="11">
        <v>0</v>
      </c>
      <c r="Q266" s="11">
        <v>1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4</v>
      </c>
    </row>
    <row r="267" spans="1:32">
      <c r="A267" t="s">
        <v>72</v>
      </c>
      <c r="B267">
        <v>2022</v>
      </c>
      <c r="C267" t="str">
        <f t="shared" si="13"/>
        <v>2022-Q4</v>
      </c>
      <c r="D267" t="s">
        <v>39</v>
      </c>
      <c r="E267" t="str">
        <f t="shared" si="12"/>
        <v>North Central</v>
      </c>
      <c r="F267" s="5">
        <v>20</v>
      </c>
      <c r="G267" s="5">
        <v>49</v>
      </c>
      <c r="H267" s="5">
        <v>4</v>
      </c>
      <c r="I267" s="5">
        <v>73</v>
      </c>
      <c r="J267" s="5">
        <v>225</v>
      </c>
      <c r="K267" s="5">
        <v>24</v>
      </c>
      <c r="L267" s="5">
        <v>249</v>
      </c>
      <c r="M267" s="5">
        <v>395</v>
      </c>
      <c r="N267" s="6">
        <f t="shared" si="14"/>
        <v>9.6385542168674704E-2</v>
      </c>
      <c r="O267" s="11">
        <v>52</v>
      </c>
      <c r="P267" s="11">
        <v>0</v>
      </c>
      <c r="Q267" s="11">
        <v>7</v>
      </c>
      <c r="R267" s="11">
        <v>1</v>
      </c>
      <c r="S267" s="11">
        <v>3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4</v>
      </c>
      <c r="Z267" s="11">
        <v>1</v>
      </c>
      <c r="AA267" s="11">
        <v>0</v>
      </c>
      <c r="AB267" s="11">
        <v>1</v>
      </c>
      <c r="AC267" s="11">
        <v>0</v>
      </c>
      <c r="AD267" s="11">
        <v>0</v>
      </c>
      <c r="AE267" s="11">
        <v>0</v>
      </c>
      <c r="AF267" s="11">
        <v>8</v>
      </c>
    </row>
    <row r="268" spans="1:32">
      <c r="A268" t="s">
        <v>72</v>
      </c>
      <c r="B268">
        <v>2022</v>
      </c>
      <c r="C268" t="str">
        <f t="shared" si="13"/>
        <v>2022-Q4</v>
      </c>
      <c r="D268" t="s">
        <v>40</v>
      </c>
      <c r="E268" t="str">
        <f t="shared" si="12"/>
        <v>North East</v>
      </c>
      <c r="F268" s="5">
        <v>10</v>
      </c>
      <c r="G268" s="5">
        <v>28</v>
      </c>
      <c r="H268" s="5">
        <v>1</v>
      </c>
      <c r="I268" s="5">
        <v>39</v>
      </c>
      <c r="J268" s="5">
        <v>207</v>
      </c>
      <c r="K268" s="5">
        <v>66</v>
      </c>
      <c r="L268" s="5">
        <v>273</v>
      </c>
      <c r="M268" s="5">
        <v>375</v>
      </c>
      <c r="N268" s="6">
        <f t="shared" si="14"/>
        <v>0.24175824175824176</v>
      </c>
      <c r="O268" s="11">
        <v>5</v>
      </c>
      <c r="P268" s="11">
        <v>0</v>
      </c>
      <c r="Q268" s="11">
        <v>3</v>
      </c>
      <c r="R268" s="11">
        <v>3</v>
      </c>
      <c r="S268" s="11">
        <v>0</v>
      </c>
      <c r="T268" s="11">
        <v>0</v>
      </c>
      <c r="U268" s="11">
        <v>0</v>
      </c>
      <c r="V268" s="11">
        <v>0</v>
      </c>
      <c r="W268" s="11">
        <v>3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25</v>
      </c>
      <c r="AF268" s="11">
        <v>8</v>
      </c>
    </row>
    <row r="269" spans="1:32">
      <c r="A269" t="s">
        <v>72</v>
      </c>
      <c r="B269">
        <v>2022</v>
      </c>
      <c r="C269" t="str">
        <f t="shared" si="13"/>
        <v>2022-Q4</v>
      </c>
      <c r="D269" t="s">
        <v>41</v>
      </c>
      <c r="E269" t="str">
        <f t="shared" si="12"/>
        <v>South South</v>
      </c>
      <c r="F269" s="5">
        <v>12</v>
      </c>
      <c r="G269" s="5">
        <v>21</v>
      </c>
      <c r="H269" s="5">
        <v>6</v>
      </c>
      <c r="I269" s="5">
        <v>39</v>
      </c>
      <c r="J269" s="5">
        <v>81</v>
      </c>
      <c r="K269" s="5">
        <v>21</v>
      </c>
      <c r="L269" s="5">
        <v>102</v>
      </c>
      <c r="M269" s="5">
        <v>257</v>
      </c>
      <c r="N269" s="6">
        <f t="shared" si="14"/>
        <v>0.20588235294117646</v>
      </c>
      <c r="O269" s="11">
        <v>27</v>
      </c>
      <c r="P269" s="11">
        <v>0</v>
      </c>
      <c r="Q269" s="11">
        <v>0</v>
      </c>
      <c r="R269" s="11">
        <v>1</v>
      </c>
      <c r="S269" s="11">
        <v>6</v>
      </c>
      <c r="T269" s="11">
        <v>0</v>
      </c>
      <c r="U269" s="11">
        <v>0</v>
      </c>
      <c r="V269" s="11">
        <v>2</v>
      </c>
      <c r="W269" s="11">
        <v>1</v>
      </c>
      <c r="X269" s="11">
        <v>0</v>
      </c>
      <c r="Y269" s="11">
        <v>1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13</v>
      </c>
    </row>
    <row r="270" spans="1:32">
      <c r="A270" t="s">
        <v>72</v>
      </c>
      <c r="B270">
        <v>2022</v>
      </c>
      <c r="C270" t="str">
        <f t="shared" si="13"/>
        <v>2022-Q4</v>
      </c>
      <c r="D270" t="s">
        <v>42</v>
      </c>
      <c r="E270" t="str">
        <f t="shared" si="12"/>
        <v>South South</v>
      </c>
      <c r="F270" s="5">
        <v>17</v>
      </c>
      <c r="G270" s="5">
        <v>25</v>
      </c>
      <c r="H270" s="5">
        <v>6</v>
      </c>
      <c r="I270" s="5">
        <v>48</v>
      </c>
      <c r="J270" s="5">
        <v>174</v>
      </c>
      <c r="K270" s="5">
        <v>30</v>
      </c>
      <c r="L270" s="5">
        <v>204</v>
      </c>
      <c r="M270" s="5">
        <v>306</v>
      </c>
      <c r="N270" s="6">
        <f t="shared" si="14"/>
        <v>0.14705882352941177</v>
      </c>
      <c r="O270" s="11">
        <v>27</v>
      </c>
      <c r="P270" s="11">
        <v>0</v>
      </c>
      <c r="Q270" s="11">
        <v>4</v>
      </c>
      <c r="R270" s="11">
        <v>0</v>
      </c>
      <c r="S270" s="11">
        <v>5</v>
      </c>
      <c r="T270" s="11">
        <v>2</v>
      </c>
      <c r="U270" s="11">
        <v>0</v>
      </c>
      <c r="V270" s="11">
        <v>0</v>
      </c>
      <c r="W270" s="11">
        <v>0</v>
      </c>
      <c r="X270" s="11">
        <v>2</v>
      </c>
      <c r="Y270" s="11">
        <v>6</v>
      </c>
      <c r="Z270" s="11">
        <v>0</v>
      </c>
      <c r="AA270" s="11">
        <v>1</v>
      </c>
      <c r="AB270" s="11">
        <v>0</v>
      </c>
      <c r="AC270" s="11">
        <v>0</v>
      </c>
      <c r="AD270" s="11">
        <v>0</v>
      </c>
      <c r="AE270" s="11">
        <v>2</v>
      </c>
      <c r="AF270" s="11">
        <v>7</v>
      </c>
    </row>
    <row r="271" spans="1:32">
      <c r="A271" t="s">
        <v>72</v>
      </c>
      <c r="B271">
        <v>2022</v>
      </c>
      <c r="C271" t="str">
        <f t="shared" si="13"/>
        <v>2022-Q4</v>
      </c>
      <c r="D271" t="s">
        <v>43</v>
      </c>
      <c r="E271" t="str">
        <f t="shared" si="12"/>
        <v>South East</v>
      </c>
      <c r="F271" s="5">
        <v>9</v>
      </c>
      <c r="G271" s="5">
        <v>39</v>
      </c>
      <c r="H271" s="5">
        <v>7</v>
      </c>
      <c r="I271" s="5">
        <v>55</v>
      </c>
      <c r="J271" s="5">
        <v>118</v>
      </c>
      <c r="K271" s="5">
        <v>19</v>
      </c>
      <c r="L271" s="5">
        <v>137</v>
      </c>
      <c r="M271" s="5">
        <v>368</v>
      </c>
      <c r="N271" s="6">
        <f t="shared" si="14"/>
        <v>0.13868613138686131</v>
      </c>
      <c r="O271" s="11">
        <v>16</v>
      </c>
      <c r="P271" s="11">
        <v>0</v>
      </c>
      <c r="Q271" s="11">
        <v>11</v>
      </c>
      <c r="R271" s="11">
        <v>2</v>
      </c>
      <c r="S271" s="11">
        <v>1</v>
      </c>
      <c r="T271" s="11">
        <v>0</v>
      </c>
      <c r="U271" s="11">
        <v>0</v>
      </c>
      <c r="V271" s="11">
        <v>1</v>
      </c>
      <c r="W271" s="11">
        <v>0</v>
      </c>
      <c r="X271" s="11">
        <v>0</v>
      </c>
      <c r="Y271" s="11">
        <v>1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4</v>
      </c>
      <c r="AF271" s="11">
        <v>25</v>
      </c>
    </row>
    <row r="272" spans="1:32">
      <c r="A272" t="s">
        <v>72</v>
      </c>
      <c r="B272">
        <v>2022</v>
      </c>
      <c r="C272" t="str">
        <f t="shared" si="13"/>
        <v>2022-Q4</v>
      </c>
      <c r="D272" t="s">
        <v>44</v>
      </c>
      <c r="E272" t="str">
        <f t="shared" si="12"/>
        <v>South South</v>
      </c>
      <c r="F272" s="5">
        <v>15</v>
      </c>
      <c r="G272" s="5">
        <v>34</v>
      </c>
      <c r="H272" s="5">
        <v>14</v>
      </c>
      <c r="I272" s="5">
        <v>63</v>
      </c>
      <c r="J272" s="5">
        <v>142</v>
      </c>
      <c r="K272" s="5">
        <v>23</v>
      </c>
      <c r="L272" s="5">
        <v>165</v>
      </c>
      <c r="M272" s="5">
        <v>487</v>
      </c>
      <c r="N272" s="6">
        <f t="shared" si="14"/>
        <v>0.1393939393939394</v>
      </c>
      <c r="O272" s="11">
        <v>10</v>
      </c>
      <c r="P272" s="11">
        <v>0</v>
      </c>
      <c r="Q272" s="11">
        <v>5</v>
      </c>
      <c r="R272" s="11">
        <v>5</v>
      </c>
      <c r="S272" s="11">
        <v>18</v>
      </c>
      <c r="T272" s="11">
        <v>2</v>
      </c>
      <c r="U272" s="11">
        <v>0</v>
      </c>
      <c r="V272" s="11">
        <v>1</v>
      </c>
      <c r="W272" s="11">
        <v>0</v>
      </c>
      <c r="X272" s="11">
        <v>2</v>
      </c>
      <c r="Y272" s="11">
        <v>2</v>
      </c>
      <c r="Z272" s="11">
        <v>0</v>
      </c>
      <c r="AA272" s="11">
        <v>0</v>
      </c>
      <c r="AB272" s="11">
        <v>1</v>
      </c>
      <c r="AC272" s="11">
        <v>0</v>
      </c>
      <c r="AD272" s="11">
        <v>0</v>
      </c>
      <c r="AE272" s="11">
        <v>25</v>
      </c>
      <c r="AF272" s="11">
        <v>27</v>
      </c>
    </row>
    <row r="273" spans="1:32">
      <c r="A273" t="s">
        <v>72</v>
      </c>
      <c r="B273">
        <v>2022</v>
      </c>
      <c r="C273" t="str">
        <f t="shared" si="13"/>
        <v>2022-Q4</v>
      </c>
      <c r="D273" t="s">
        <v>45</v>
      </c>
      <c r="E273" t="str">
        <f t="shared" si="12"/>
        <v>South West</v>
      </c>
      <c r="F273" s="5">
        <v>8</v>
      </c>
      <c r="G273" s="5">
        <v>10</v>
      </c>
      <c r="H273" s="5">
        <v>1</v>
      </c>
      <c r="I273" s="5">
        <v>19</v>
      </c>
      <c r="J273" s="5">
        <v>40</v>
      </c>
      <c r="K273" s="5">
        <v>9</v>
      </c>
      <c r="L273" s="5">
        <v>49</v>
      </c>
      <c r="M273" s="5">
        <v>101</v>
      </c>
      <c r="N273" s="6">
        <f t="shared" si="14"/>
        <v>0.18367346938775511</v>
      </c>
      <c r="O273" s="11">
        <v>11</v>
      </c>
      <c r="P273" s="11">
        <v>0</v>
      </c>
      <c r="Q273" s="11">
        <v>1</v>
      </c>
      <c r="R273" s="11">
        <v>2</v>
      </c>
      <c r="S273" s="11">
        <v>0</v>
      </c>
      <c r="T273" s="11">
        <v>1</v>
      </c>
      <c r="U273" s="11">
        <v>0</v>
      </c>
      <c r="V273" s="11">
        <v>0</v>
      </c>
      <c r="W273" s="11">
        <v>1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14</v>
      </c>
    </row>
    <row r="274" spans="1:32">
      <c r="A274" t="s">
        <v>72</v>
      </c>
      <c r="B274">
        <v>2022</v>
      </c>
      <c r="C274" t="str">
        <f t="shared" si="13"/>
        <v>2022-Q4</v>
      </c>
      <c r="D274" t="s">
        <v>46</v>
      </c>
      <c r="E274" t="str">
        <f t="shared" si="12"/>
        <v>South East</v>
      </c>
      <c r="F274" s="5">
        <v>12</v>
      </c>
      <c r="G274" s="5">
        <v>41</v>
      </c>
      <c r="H274" s="5">
        <v>3</v>
      </c>
      <c r="I274" s="5">
        <v>56</v>
      </c>
      <c r="J274" s="5">
        <v>157</v>
      </c>
      <c r="K274" s="5">
        <v>19</v>
      </c>
      <c r="L274" s="5">
        <v>176</v>
      </c>
      <c r="M274" s="5">
        <v>481</v>
      </c>
      <c r="N274" s="6">
        <f t="shared" si="14"/>
        <v>0.10795454545454546</v>
      </c>
      <c r="O274" s="11">
        <v>33</v>
      </c>
      <c r="P274" s="11">
        <v>0</v>
      </c>
      <c r="Q274" s="11">
        <v>2</v>
      </c>
      <c r="R274" s="11">
        <v>2</v>
      </c>
      <c r="S274" s="11">
        <v>17</v>
      </c>
      <c r="T274" s="11">
        <v>1</v>
      </c>
      <c r="U274" s="11">
        <v>0</v>
      </c>
      <c r="V274" s="11">
        <v>0</v>
      </c>
      <c r="W274" s="11">
        <v>1</v>
      </c>
      <c r="X274" s="11">
        <v>0</v>
      </c>
      <c r="Y274" s="11">
        <v>3</v>
      </c>
      <c r="Z274" s="11">
        <v>0</v>
      </c>
      <c r="AA274" s="11">
        <v>0</v>
      </c>
      <c r="AB274" s="11">
        <v>1</v>
      </c>
      <c r="AC274" s="11">
        <v>0</v>
      </c>
      <c r="AD274" s="11">
        <v>0</v>
      </c>
      <c r="AE274" s="11">
        <v>2</v>
      </c>
      <c r="AF274" s="11">
        <v>11</v>
      </c>
    </row>
    <row r="275" spans="1:32">
      <c r="A275" t="s">
        <v>72</v>
      </c>
      <c r="B275">
        <v>2022</v>
      </c>
      <c r="C275" t="str">
        <f t="shared" si="13"/>
        <v>2022-Q4</v>
      </c>
      <c r="D275" t="s">
        <v>47</v>
      </c>
      <c r="E275" t="str">
        <f t="shared" si="12"/>
        <v>North Central</v>
      </c>
      <c r="F275" s="5">
        <v>79</v>
      </c>
      <c r="G275" s="5">
        <v>345</v>
      </c>
      <c r="H275" s="5">
        <v>58</v>
      </c>
      <c r="I275" s="5">
        <v>482</v>
      </c>
      <c r="J275" s="5">
        <v>791</v>
      </c>
      <c r="K275" s="5">
        <v>127</v>
      </c>
      <c r="L275" s="5">
        <v>918</v>
      </c>
      <c r="M275" s="5">
        <v>2103</v>
      </c>
      <c r="N275" s="6">
        <f t="shared" si="14"/>
        <v>0.1383442265795207</v>
      </c>
      <c r="O275" s="11">
        <v>120</v>
      </c>
      <c r="P275" s="11">
        <v>5</v>
      </c>
      <c r="Q275" s="11">
        <v>18</v>
      </c>
      <c r="R275" s="11">
        <v>9</v>
      </c>
      <c r="S275" s="11">
        <v>17</v>
      </c>
      <c r="T275" s="11">
        <v>5</v>
      </c>
      <c r="U275" s="11">
        <v>5</v>
      </c>
      <c r="V275" s="11">
        <v>5</v>
      </c>
      <c r="W275" s="11">
        <v>41</v>
      </c>
      <c r="X275" s="11">
        <v>0</v>
      </c>
      <c r="Y275" s="11">
        <v>36</v>
      </c>
      <c r="Z275" s="11">
        <v>3</v>
      </c>
      <c r="AA275" s="11">
        <v>3</v>
      </c>
      <c r="AB275" s="11">
        <v>0</v>
      </c>
      <c r="AC275" s="11">
        <v>0</v>
      </c>
      <c r="AD275" s="11">
        <v>158</v>
      </c>
      <c r="AE275" s="11">
        <v>195</v>
      </c>
      <c r="AF275" s="11">
        <v>244</v>
      </c>
    </row>
    <row r="276" spans="1:32">
      <c r="A276" t="s">
        <v>72</v>
      </c>
      <c r="B276">
        <v>2022</v>
      </c>
      <c r="C276" t="str">
        <f t="shared" si="13"/>
        <v>2022-Q4</v>
      </c>
      <c r="D276" t="s">
        <v>48</v>
      </c>
      <c r="E276" t="str">
        <f t="shared" si="12"/>
        <v>North East</v>
      </c>
      <c r="F276" s="5">
        <v>27</v>
      </c>
      <c r="G276" s="5">
        <v>84</v>
      </c>
      <c r="H276" s="5">
        <v>4</v>
      </c>
      <c r="I276" s="5">
        <v>115</v>
      </c>
      <c r="J276" s="5">
        <v>363</v>
      </c>
      <c r="K276" s="5">
        <v>47</v>
      </c>
      <c r="L276" s="5">
        <v>410</v>
      </c>
      <c r="M276" s="5">
        <v>656</v>
      </c>
      <c r="N276" s="6">
        <f t="shared" si="14"/>
        <v>0.11463414634146342</v>
      </c>
      <c r="O276" s="11">
        <v>33</v>
      </c>
      <c r="P276" s="11">
        <v>0</v>
      </c>
      <c r="Q276" s="11">
        <v>3</v>
      </c>
      <c r="R276" s="11">
        <v>7</v>
      </c>
      <c r="S276" s="11">
        <v>1</v>
      </c>
      <c r="T276" s="11">
        <v>3</v>
      </c>
      <c r="U276" s="11">
        <v>0</v>
      </c>
      <c r="V276" s="11">
        <v>0</v>
      </c>
      <c r="W276" s="11">
        <v>18</v>
      </c>
      <c r="X276" s="11">
        <v>0</v>
      </c>
      <c r="Y276" s="11">
        <v>2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19</v>
      </c>
      <c r="AF276" s="11">
        <v>50</v>
      </c>
    </row>
    <row r="277" spans="1:32">
      <c r="A277" t="s">
        <v>72</v>
      </c>
      <c r="B277">
        <v>2022</v>
      </c>
      <c r="C277" t="str">
        <f t="shared" si="13"/>
        <v>2022-Q4</v>
      </c>
      <c r="D277" t="s">
        <v>49</v>
      </c>
      <c r="E277" t="str">
        <f t="shared" si="12"/>
        <v>South East</v>
      </c>
      <c r="F277" s="5">
        <v>9</v>
      </c>
      <c r="G277" s="5">
        <v>21</v>
      </c>
      <c r="H277" s="5">
        <v>1</v>
      </c>
      <c r="I277" s="5">
        <v>31</v>
      </c>
      <c r="J277" s="5">
        <v>97</v>
      </c>
      <c r="K277" s="5">
        <v>21</v>
      </c>
      <c r="L277" s="5">
        <v>118</v>
      </c>
      <c r="M277" s="5">
        <v>235</v>
      </c>
      <c r="N277" s="6">
        <f t="shared" si="14"/>
        <v>0.17796610169491525</v>
      </c>
      <c r="O277" s="11">
        <v>6</v>
      </c>
      <c r="P277" s="11">
        <v>0</v>
      </c>
      <c r="Q277" s="11">
        <v>1</v>
      </c>
      <c r="R277" s="11">
        <v>0</v>
      </c>
      <c r="S277" s="11">
        <v>3</v>
      </c>
      <c r="T277" s="11">
        <v>0</v>
      </c>
      <c r="U277" s="11">
        <v>0</v>
      </c>
      <c r="V277" s="11">
        <v>0</v>
      </c>
      <c r="W277" s="11">
        <v>7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3</v>
      </c>
      <c r="AF277" s="11">
        <v>6</v>
      </c>
    </row>
    <row r="278" spans="1:32">
      <c r="A278" t="s">
        <v>72</v>
      </c>
      <c r="B278">
        <v>2022</v>
      </c>
      <c r="C278" t="str">
        <f t="shared" si="13"/>
        <v>2022-Q4</v>
      </c>
      <c r="D278" t="s">
        <v>50</v>
      </c>
      <c r="E278" t="str">
        <f t="shared" si="12"/>
        <v>North West</v>
      </c>
      <c r="F278" s="5">
        <v>44</v>
      </c>
      <c r="G278" s="5">
        <v>134</v>
      </c>
      <c r="H278" s="5">
        <v>1</v>
      </c>
      <c r="I278" s="5">
        <v>179</v>
      </c>
      <c r="J278" s="5">
        <v>624</v>
      </c>
      <c r="K278" s="5">
        <v>44</v>
      </c>
      <c r="L278" s="5">
        <v>668</v>
      </c>
      <c r="M278" s="5">
        <v>1043</v>
      </c>
      <c r="N278" s="6">
        <f t="shared" si="14"/>
        <v>6.5868263473053898E-2</v>
      </c>
      <c r="O278" s="11">
        <v>128</v>
      </c>
      <c r="P278" s="11">
        <v>1</v>
      </c>
      <c r="Q278" s="11">
        <v>7</v>
      </c>
      <c r="R278" s="11">
        <v>1</v>
      </c>
      <c r="S278" s="11">
        <v>0</v>
      </c>
      <c r="T278" s="11">
        <v>13</v>
      </c>
      <c r="U278" s="11">
        <v>2</v>
      </c>
      <c r="V278" s="11">
        <v>5</v>
      </c>
      <c r="W278" s="11">
        <v>5</v>
      </c>
      <c r="X278" s="11">
        <v>0</v>
      </c>
      <c r="Y278" s="11">
        <v>6</v>
      </c>
      <c r="Z278" s="11">
        <v>11</v>
      </c>
      <c r="AA278" s="11">
        <v>0</v>
      </c>
      <c r="AB278" s="11">
        <v>0</v>
      </c>
      <c r="AC278" s="11">
        <v>0</v>
      </c>
      <c r="AD278" s="11">
        <v>1</v>
      </c>
      <c r="AE278" s="11">
        <v>3</v>
      </c>
      <c r="AF278" s="11">
        <v>128</v>
      </c>
    </row>
    <row r="279" spans="1:32">
      <c r="A279" t="s">
        <v>72</v>
      </c>
      <c r="B279">
        <v>2022</v>
      </c>
      <c r="C279" t="str">
        <f t="shared" si="13"/>
        <v>2022-Q4</v>
      </c>
      <c r="D279" t="s">
        <v>51</v>
      </c>
      <c r="E279" t="str">
        <f t="shared" si="12"/>
        <v>North West</v>
      </c>
      <c r="F279" s="5">
        <v>69</v>
      </c>
      <c r="G279" s="5">
        <v>132</v>
      </c>
      <c r="H279" s="5">
        <v>4</v>
      </c>
      <c r="I279" s="5">
        <v>205</v>
      </c>
      <c r="J279" s="5">
        <v>810</v>
      </c>
      <c r="K279" s="5">
        <v>142</v>
      </c>
      <c r="L279" s="5">
        <v>952</v>
      </c>
      <c r="M279" s="5">
        <v>1728</v>
      </c>
      <c r="N279" s="6">
        <f t="shared" si="14"/>
        <v>0.14915966386554622</v>
      </c>
      <c r="O279" s="11">
        <v>133</v>
      </c>
      <c r="P279" s="11">
        <v>0</v>
      </c>
      <c r="Q279" s="11">
        <v>13</v>
      </c>
      <c r="R279" s="11">
        <v>4</v>
      </c>
      <c r="S279" s="11">
        <v>3</v>
      </c>
      <c r="T279" s="11">
        <v>0</v>
      </c>
      <c r="U279" s="11">
        <v>1</v>
      </c>
      <c r="V279" s="11">
        <v>4</v>
      </c>
      <c r="W279" s="11">
        <v>10</v>
      </c>
      <c r="X279" s="11">
        <v>0</v>
      </c>
      <c r="Y279" s="11">
        <v>15</v>
      </c>
      <c r="Z279" s="11">
        <v>1</v>
      </c>
      <c r="AA279" s="11">
        <v>0</v>
      </c>
      <c r="AB279" s="11">
        <v>0</v>
      </c>
      <c r="AC279" s="11">
        <v>0</v>
      </c>
      <c r="AD279" s="11">
        <v>10</v>
      </c>
      <c r="AE279" s="11">
        <v>0</v>
      </c>
      <c r="AF279" s="11">
        <v>9</v>
      </c>
    </row>
    <row r="280" spans="1:32">
      <c r="A280" t="s">
        <v>72</v>
      </c>
      <c r="B280">
        <v>2022</v>
      </c>
      <c r="C280" t="str">
        <f t="shared" si="13"/>
        <v>2022-Q4</v>
      </c>
      <c r="D280" t="s">
        <v>52</v>
      </c>
      <c r="E280" t="str">
        <f t="shared" si="12"/>
        <v>North West</v>
      </c>
      <c r="F280" s="5">
        <v>51</v>
      </c>
      <c r="G280" s="5">
        <v>69</v>
      </c>
      <c r="H280" s="5">
        <v>0</v>
      </c>
      <c r="I280" s="5">
        <v>120</v>
      </c>
      <c r="J280" s="5">
        <v>411</v>
      </c>
      <c r="K280" s="5">
        <v>94</v>
      </c>
      <c r="L280" s="5">
        <v>505</v>
      </c>
      <c r="M280" s="5">
        <v>781</v>
      </c>
      <c r="N280" s="6">
        <f t="shared" si="14"/>
        <v>0.18613861386138614</v>
      </c>
      <c r="O280" s="11">
        <v>66</v>
      </c>
      <c r="P280" s="11">
        <v>0</v>
      </c>
      <c r="Q280" s="11">
        <v>6</v>
      </c>
      <c r="R280" s="11">
        <v>0</v>
      </c>
      <c r="S280" s="11">
        <v>0</v>
      </c>
      <c r="T280" s="11">
        <v>4</v>
      </c>
      <c r="U280" s="11">
        <v>0</v>
      </c>
      <c r="V280" s="11">
        <v>6</v>
      </c>
      <c r="W280" s="11">
        <v>11</v>
      </c>
      <c r="X280" s="11">
        <v>0</v>
      </c>
      <c r="Y280" s="11">
        <v>6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5</v>
      </c>
      <c r="AF280" s="11">
        <v>43</v>
      </c>
    </row>
    <row r="281" spans="1:32">
      <c r="A281" t="s">
        <v>72</v>
      </c>
      <c r="B281">
        <v>2022</v>
      </c>
      <c r="C281" t="str">
        <f t="shared" si="13"/>
        <v>2022-Q4</v>
      </c>
      <c r="D281" t="s">
        <v>53</v>
      </c>
      <c r="E281" t="str">
        <f t="shared" si="12"/>
        <v>North West</v>
      </c>
      <c r="F281" s="5">
        <v>14</v>
      </c>
      <c r="G281" s="5">
        <v>22</v>
      </c>
      <c r="H281" s="5">
        <v>0</v>
      </c>
      <c r="I281" s="5">
        <v>36</v>
      </c>
      <c r="J281" s="5">
        <v>169</v>
      </c>
      <c r="K281" s="5">
        <v>32</v>
      </c>
      <c r="L281" s="5">
        <v>201</v>
      </c>
      <c r="M281" s="5">
        <v>278</v>
      </c>
      <c r="N281" s="6">
        <f t="shared" si="14"/>
        <v>0.15920398009950248</v>
      </c>
      <c r="O281" s="11">
        <v>21</v>
      </c>
      <c r="P281" s="11">
        <v>0</v>
      </c>
      <c r="Q281" s="11">
        <v>3</v>
      </c>
      <c r="R281" s="11">
        <v>0</v>
      </c>
      <c r="S281" s="11">
        <v>0</v>
      </c>
      <c r="T281" s="11">
        <v>1</v>
      </c>
      <c r="U281" s="11">
        <v>0</v>
      </c>
      <c r="V281" s="11">
        <v>2</v>
      </c>
      <c r="W281" s="11">
        <v>3</v>
      </c>
      <c r="X281" s="11">
        <v>0</v>
      </c>
      <c r="Y281" s="11">
        <v>2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4</v>
      </c>
      <c r="AF281" s="11">
        <v>8</v>
      </c>
    </row>
    <row r="282" spans="1:32">
      <c r="A282" t="s">
        <v>72</v>
      </c>
      <c r="B282">
        <v>2022</v>
      </c>
      <c r="C282" t="str">
        <f t="shared" si="13"/>
        <v>2022-Q4</v>
      </c>
      <c r="D282" t="s">
        <v>54</v>
      </c>
      <c r="E282" t="str">
        <f t="shared" si="12"/>
        <v>North West</v>
      </c>
      <c r="F282" s="5">
        <v>16</v>
      </c>
      <c r="G282" s="5">
        <v>28</v>
      </c>
      <c r="H282" s="5">
        <v>0</v>
      </c>
      <c r="I282" s="5">
        <v>44</v>
      </c>
      <c r="J282" s="5">
        <v>186</v>
      </c>
      <c r="K282" s="5">
        <v>43</v>
      </c>
      <c r="L282" s="5">
        <v>229</v>
      </c>
      <c r="M282" s="5">
        <v>391</v>
      </c>
      <c r="N282" s="6">
        <f t="shared" si="14"/>
        <v>0.18777292576419213</v>
      </c>
      <c r="O282" s="11">
        <v>13</v>
      </c>
      <c r="P282" s="11">
        <v>0</v>
      </c>
      <c r="Q282" s="11">
        <v>0</v>
      </c>
      <c r="R282" s="11">
        <v>0</v>
      </c>
      <c r="S282" s="11">
        <v>0</v>
      </c>
      <c r="T282" s="11">
        <v>1</v>
      </c>
      <c r="U282" s="11">
        <v>0</v>
      </c>
      <c r="V282" s="11">
        <v>0</v>
      </c>
      <c r="W282" s="11">
        <v>1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30</v>
      </c>
    </row>
    <row r="283" spans="1:32">
      <c r="A283" t="s">
        <v>72</v>
      </c>
      <c r="B283">
        <v>2022</v>
      </c>
      <c r="C283" t="str">
        <f t="shared" si="13"/>
        <v>2022-Q4</v>
      </c>
      <c r="D283" t="s">
        <v>55</v>
      </c>
      <c r="E283" t="str">
        <f t="shared" si="12"/>
        <v>North Central</v>
      </c>
      <c r="F283" s="5">
        <v>40</v>
      </c>
      <c r="G283" s="5">
        <v>88</v>
      </c>
      <c r="H283" s="5">
        <v>10</v>
      </c>
      <c r="I283" s="5">
        <v>138</v>
      </c>
      <c r="J283" s="5">
        <v>413</v>
      </c>
      <c r="K283" s="5">
        <v>81</v>
      </c>
      <c r="L283" s="5">
        <v>494</v>
      </c>
      <c r="M283" s="5">
        <v>1287</v>
      </c>
      <c r="N283" s="6">
        <f t="shared" si="14"/>
        <v>0.16396761133603238</v>
      </c>
      <c r="O283" s="11">
        <v>82</v>
      </c>
      <c r="P283" s="11">
        <v>1</v>
      </c>
      <c r="Q283" s="11">
        <v>6</v>
      </c>
      <c r="R283" s="11">
        <v>5</v>
      </c>
      <c r="S283" s="11">
        <v>16</v>
      </c>
      <c r="T283" s="11">
        <v>2</v>
      </c>
      <c r="U283" s="11">
        <v>0</v>
      </c>
      <c r="V283" s="11">
        <v>0</v>
      </c>
      <c r="W283" s="11">
        <v>8</v>
      </c>
      <c r="X283" s="11">
        <v>0</v>
      </c>
      <c r="Y283" s="11">
        <v>13</v>
      </c>
      <c r="Z283" s="11">
        <v>7</v>
      </c>
      <c r="AA283" s="11">
        <v>0</v>
      </c>
      <c r="AB283" s="11">
        <v>0</v>
      </c>
      <c r="AC283" s="11">
        <v>0</v>
      </c>
      <c r="AD283" s="11">
        <v>0</v>
      </c>
      <c r="AE283" s="11">
        <v>6</v>
      </c>
      <c r="AF283" s="11">
        <v>35</v>
      </c>
    </row>
    <row r="284" spans="1:32">
      <c r="A284" t="s">
        <v>72</v>
      </c>
      <c r="B284">
        <v>2022</v>
      </c>
      <c r="C284" t="str">
        <f t="shared" si="13"/>
        <v>2022-Q4</v>
      </c>
      <c r="D284" t="s">
        <v>56</v>
      </c>
      <c r="E284" t="str">
        <f t="shared" si="12"/>
        <v>North Central</v>
      </c>
      <c r="F284" s="5">
        <v>24</v>
      </c>
      <c r="G284" s="5">
        <v>64</v>
      </c>
      <c r="H284" s="5">
        <v>3</v>
      </c>
      <c r="I284" s="5">
        <v>91</v>
      </c>
      <c r="J284" s="5">
        <v>252</v>
      </c>
      <c r="K284" s="5">
        <v>54</v>
      </c>
      <c r="L284" s="5">
        <v>306</v>
      </c>
      <c r="M284" s="5">
        <v>632</v>
      </c>
      <c r="N284" s="6">
        <f t="shared" si="14"/>
        <v>0.17647058823529413</v>
      </c>
      <c r="O284" s="11">
        <v>49</v>
      </c>
      <c r="P284" s="11">
        <v>1</v>
      </c>
      <c r="Q284" s="11">
        <v>12</v>
      </c>
      <c r="R284" s="11">
        <v>7</v>
      </c>
      <c r="S284" s="11">
        <v>6</v>
      </c>
      <c r="T284" s="11">
        <v>0</v>
      </c>
      <c r="U284" s="11">
        <v>1</v>
      </c>
      <c r="V284" s="11">
        <v>0</v>
      </c>
      <c r="W284" s="11">
        <v>5</v>
      </c>
      <c r="X284" s="11">
        <v>1</v>
      </c>
      <c r="Y284" s="11">
        <v>4</v>
      </c>
      <c r="Z284" s="11">
        <v>1</v>
      </c>
      <c r="AA284" s="11">
        <v>0</v>
      </c>
      <c r="AB284" s="11">
        <v>0</v>
      </c>
      <c r="AC284" s="11">
        <v>0</v>
      </c>
      <c r="AD284" s="11">
        <v>0</v>
      </c>
      <c r="AE284" s="11">
        <v>3</v>
      </c>
      <c r="AF284" s="11">
        <v>52</v>
      </c>
    </row>
    <row r="285" spans="1:32">
      <c r="A285" t="s">
        <v>72</v>
      </c>
      <c r="B285">
        <v>2022</v>
      </c>
      <c r="C285" t="str">
        <f t="shared" si="13"/>
        <v>2022-Q4</v>
      </c>
      <c r="D285" t="s">
        <v>57</v>
      </c>
      <c r="E285" t="str">
        <f t="shared" si="12"/>
        <v>South West</v>
      </c>
      <c r="F285" s="5">
        <v>37</v>
      </c>
      <c r="G285" s="5">
        <v>80</v>
      </c>
      <c r="H285" s="5">
        <v>50</v>
      </c>
      <c r="I285" s="5">
        <v>167</v>
      </c>
      <c r="J285" s="5">
        <v>268</v>
      </c>
      <c r="K285" s="5">
        <v>42</v>
      </c>
      <c r="L285" s="5">
        <v>310</v>
      </c>
      <c r="M285" s="5">
        <v>808</v>
      </c>
      <c r="N285" s="6">
        <f t="shared" si="14"/>
        <v>0.13548387096774195</v>
      </c>
      <c r="O285" s="11">
        <v>92</v>
      </c>
      <c r="P285" s="11">
        <v>0</v>
      </c>
      <c r="Q285" s="11">
        <v>6</v>
      </c>
      <c r="R285" s="11">
        <v>11</v>
      </c>
      <c r="S285" s="11">
        <v>25</v>
      </c>
      <c r="T285" s="11">
        <v>0</v>
      </c>
      <c r="U285" s="11">
        <v>0</v>
      </c>
      <c r="V285" s="11">
        <v>0</v>
      </c>
      <c r="W285" s="11">
        <v>6</v>
      </c>
      <c r="X285" s="11">
        <v>0</v>
      </c>
      <c r="Y285" s="11">
        <v>3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12</v>
      </c>
    </row>
    <row r="286" spans="1:32">
      <c r="A286" t="s">
        <v>72</v>
      </c>
      <c r="B286">
        <v>2022</v>
      </c>
      <c r="C286" t="str">
        <f t="shared" si="13"/>
        <v>2022-Q4</v>
      </c>
      <c r="D286" t="s">
        <v>58</v>
      </c>
      <c r="E286" t="str">
        <f t="shared" si="12"/>
        <v>North Central</v>
      </c>
      <c r="F286" s="5">
        <v>34</v>
      </c>
      <c r="G286" s="5">
        <v>189</v>
      </c>
      <c r="H286" s="5">
        <v>11</v>
      </c>
      <c r="I286" s="5">
        <v>234</v>
      </c>
      <c r="J286" s="5">
        <v>580</v>
      </c>
      <c r="K286" s="5">
        <v>57</v>
      </c>
      <c r="L286" s="5">
        <v>637</v>
      </c>
      <c r="M286" s="5">
        <v>1216</v>
      </c>
      <c r="N286" s="6">
        <f t="shared" si="14"/>
        <v>8.9481946624803771E-2</v>
      </c>
      <c r="O286" s="11">
        <v>105</v>
      </c>
      <c r="P286" s="11">
        <v>1</v>
      </c>
      <c r="Q286" s="11">
        <v>10</v>
      </c>
      <c r="R286" s="11">
        <v>29</v>
      </c>
      <c r="S286" s="11">
        <v>10</v>
      </c>
      <c r="T286" s="11">
        <v>1</v>
      </c>
      <c r="U286" s="11">
        <v>0</v>
      </c>
      <c r="V286" s="11">
        <v>0</v>
      </c>
      <c r="W286" s="11">
        <v>27</v>
      </c>
      <c r="X286" s="11">
        <v>0</v>
      </c>
      <c r="Y286" s="11">
        <v>11</v>
      </c>
      <c r="Z286" s="11">
        <v>5</v>
      </c>
      <c r="AA286" s="11">
        <v>0</v>
      </c>
      <c r="AB286" s="11">
        <v>0</v>
      </c>
      <c r="AC286" s="11">
        <v>0</v>
      </c>
      <c r="AD286" s="11">
        <v>0</v>
      </c>
      <c r="AE286" s="11">
        <v>42</v>
      </c>
      <c r="AF286" s="11">
        <v>47</v>
      </c>
    </row>
    <row r="287" spans="1:32">
      <c r="A287" t="s">
        <v>72</v>
      </c>
      <c r="B287">
        <v>2022</v>
      </c>
      <c r="C287" t="str">
        <f t="shared" si="13"/>
        <v>2022-Q4</v>
      </c>
      <c r="D287" t="s">
        <v>59</v>
      </c>
      <c r="E287" t="str">
        <f t="shared" si="12"/>
        <v>North Central</v>
      </c>
      <c r="F287" s="5">
        <v>44</v>
      </c>
      <c r="G287" s="5">
        <v>97</v>
      </c>
      <c r="H287" s="5">
        <v>4</v>
      </c>
      <c r="I287" s="5">
        <v>145</v>
      </c>
      <c r="J287" s="5">
        <v>553</v>
      </c>
      <c r="K287" s="5">
        <v>96</v>
      </c>
      <c r="L287" s="5">
        <v>649</v>
      </c>
      <c r="M287" s="5">
        <v>1075</v>
      </c>
      <c r="N287" s="6">
        <f t="shared" si="14"/>
        <v>0.14791987673343607</v>
      </c>
      <c r="O287" s="11">
        <v>90</v>
      </c>
      <c r="P287" s="11">
        <v>0</v>
      </c>
      <c r="Q287" s="11">
        <v>4</v>
      </c>
      <c r="R287" s="11">
        <v>2</v>
      </c>
      <c r="S287" s="11">
        <v>10</v>
      </c>
      <c r="T287" s="11">
        <v>1</v>
      </c>
      <c r="U287" s="11">
        <v>0</v>
      </c>
      <c r="V287" s="11">
        <v>1</v>
      </c>
      <c r="W287" s="11">
        <v>6</v>
      </c>
      <c r="X287" s="11">
        <v>1</v>
      </c>
      <c r="Y287" s="11">
        <v>5</v>
      </c>
      <c r="Z287" s="11">
        <v>0</v>
      </c>
      <c r="AA287" s="11">
        <v>0</v>
      </c>
      <c r="AB287" s="11">
        <v>2</v>
      </c>
      <c r="AC287" s="11">
        <v>0</v>
      </c>
      <c r="AD287" s="11">
        <v>7</v>
      </c>
      <c r="AE287" s="11">
        <v>1</v>
      </c>
      <c r="AF287" s="11">
        <v>65</v>
      </c>
    </row>
    <row r="288" spans="1:32">
      <c r="A288" t="s">
        <v>72</v>
      </c>
      <c r="B288">
        <v>2022</v>
      </c>
      <c r="C288" t="str">
        <f t="shared" si="13"/>
        <v>2022-Q4</v>
      </c>
      <c r="D288" t="s">
        <v>60</v>
      </c>
      <c r="E288" t="str">
        <f t="shared" si="12"/>
        <v>South West</v>
      </c>
      <c r="F288" s="5">
        <v>56</v>
      </c>
      <c r="G288" s="5">
        <v>192</v>
      </c>
      <c r="H288" s="5">
        <v>53</v>
      </c>
      <c r="I288" s="5">
        <v>301</v>
      </c>
      <c r="J288" s="5">
        <v>663</v>
      </c>
      <c r="K288" s="5">
        <v>77</v>
      </c>
      <c r="L288" s="5">
        <v>740</v>
      </c>
      <c r="M288" s="5">
        <v>1737</v>
      </c>
      <c r="N288" s="6">
        <f t="shared" si="14"/>
        <v>0.10405405405405406</v>
      </c>
      <c r="O288" s="11">
        <v>183</v>
      </c>
      <c r="P288" s="11">
        <v>0</v>
      </c>
      <c r="Q288" s="11">
        <v>19</v>
      </c>
      <c r="R288" s="11">
        <v>10</v>
      </c>
      <c r="S288" s="11">
        <v>9</v>
      </c>
      <c r="T288" s="11">
        <v>0</v>
      </c>
      <c r="U288" s="11">
        <v>0</v>
      </c>
      <c r="V288" s="11">
        <v>0</v>
      </c>
      <c r="W288" s="11">
        <v>15</v>
      </c>
      <c r="X288" s="11">
        <v>0</v>
      </c>
      <c r="Y288" s="11">
        <v>33</v>
      </c>
      <c r="Z288" s="11">
        <v>0</v>
      </c>
      <c r="AA288" s="11">
        <v>0</v>
      </c>
      <c r="AB288" s="11">
        <v>1</v>
      </c>
      <c r="AC288" s="11">
        <v>0</v>
      </c>
      <c r="AD288" s="11">
        <v>0</v>
      </c>
      <c r="AE288" s="11">
        <v>6</v>
      </c>
      <c r="AF288" s="11">
        <v>202</v>
      </c>
    </row>
    <row r="289" spans="1:32">
      <c r="A289" t="s">
        <v>72</v>
      </c>
      <c r="B289">
        <v>2022</v>
      </c>
      <c r="C289" t="str">
        <f t="shared" si="13"/>
        <v>2022-Q4</v>
      </c>
      <c r="D289" t="s">
        <v>61</v>
      </c>
      <c r="E289" t="str">
        <f t="shared" si="12"/>
        <v>South West</v>
      </c>
      <c r="F289" s="5">
        <v>23</v>
      </c>
      <c r="G289" s="5">
        <v>78</v>
      </c>
      <c r="H289" s="5">
        <v>8</v>
      </c>
      <c r="I289" s="5">
        <v>109</v>
      </c>
      <c r="J289" s="5">
        <v>247</v>
      </c>
      <c r="K289" s="5">
        <v>33</v>
      </c>
      <c r="L289" s="5">
        <v>280</v>
      </c>
      <c r="M289" s="5">
        <v>593</v>
      </c>
      <c r="N289" s="6">
        <f t="shared" si="14"/>
        <v>0.11785714285714285</v>
      </c>
      <c r="O289" s="11">
        <v>81</v>
      </c>
      <c r="P289" s="11">
        <v>0</v>
      </c>
      <c r="Q289" s="11">
        <v>4</v>
      </c>
      <c r="R289" s="11">
        <v>2</v>
      </c>
      <c r="S289" s="11">
        <v>3</v>
      </c>
      <c r="T289" s="11">
        <v>1</v>
      </c>
      <c r="U289" s="11">
        <v>0</v>
      </c>
      <c r="V289" s="11">
        <v>0</v>
      </c>
      <c r="W289" s="11">
        <v>16</v>
      </c>
      <c r="X289" s="11">
        <v>6</v>
      </c>
      <c r="Y289" s="11">
        <v>1</v>
      </c>
      <c r="Z289" s="11">
        <v>2</v>
      </c>
      <c r="AA289" s="11">
        <v>0</v>
      </c>
      <c r="AB289" s="11">
        <v>0</v>
      </c>
      <c r="AC289" s="11">
        <v>0</v>
      </c>
      <c r="AD289" s="11">
        <v>1</v>
      </c>
      <c r="AE289" s="11">
        <v>0</v>
      </c>
      <c r="AF289" s="11">
        <v>16</v>
      </c>
    </row>
    <row r="290" spans="1:32">
      <c r="A290" t="s">
        <v>72</v>
      </c>
      <c r="B290">
        <v>2022</v>
      </c>
      <c r="C290" t="str">
        <f t="shared" si="13"/>
        <v>2022-Q4</v>
      </c>
      <c r="D290" t="s">
        <v>62</v>
      </c>
      <c r="E290" t="str">
        <f t="shared" si="12"/>
        <v>South West</v>
      </c>
      <c r="F290" s="5">
        <v>19</v>
      </c>
      <c r="G290" s="5">
        <v>73</v>
      </c>
      <c r="H290" s="5">
        <v>9</v>
      </c>
      <c r="I290" s="5">
        <v>101</v>
      </c>
      <c r="J290" s="5">
        <v>319</v>
      </c>
      <c r="K290" s="5">
        <v>39</v>
      </c>
      <c r="L290" s="5">
        <v>358</v>
      </c>
      <c r="M290" s="5">
        <v>795</v>
      </c>
      <c r="N290" s="6">
        <f t="shared" si="14"/>
        <v>0.10893854748603352</v>
      </c>
      <c r="O290" s="11">
        <v>64</v>
      </c>
      <c r="P290" s="11">
        <v>0</v>
      </c>
      <c r="Q290" s="11">
        <v>14</v>
      </c>
      <c r="R290" s="11">
        <v>5</v>
      </c>
      <c r="S290" s="11">
        <v>6</v>
      </c>
      <c r="T290" s="11">
        <v>2</v>
      </c>
      <c r="U290" s="11">
        <v>0</v>
      </c>
      <c r="V290" s="11">
        <v>0</v>
      </c>
      <c r="W290" s="11">
        <v>3</v>
      </c>
      <c r="X290" s="11">
        <v>4</v>
      </c>
      <c r="Y290" s="11">
        <v>16</v>
      </c>
      <c r="Z290" s="11">
        <v>1</v>
      </c>
      <c r="AA290" s="11">
        <v>0</v>
      </c>
      <c r="AB290" s="11">
        <v>0</v>
      </c>
      <c r="AC290" s="11">
        <v>2</v>
      </c>
      <c r="AD290" s="11">
        <v>0</v>
      </c>
      <c r="AE290" s="11">
        <v>0</v>
      </c>
      <c r="AF290" s="11">
        <v>9</v>
      </c>
    </row>
    <row r="291" spans="1:32">
      <c r="A291" t="s">
        <v>72</v>
      </c>
      <c r="B291">
        <v>2022</v>
      </c>
      <c r="C291" t="str">
        <f t="shared" si="13"/>
        <v>2022-Q4</v>
      </c>
      <c r="D291" t="s">
        <v>63</v>
      </c>
      <c r="E291" t="str">
        <f t="shared" si="12"/>
        <v>South West</v>
      </c>
      <c r="F291" s="5">
        <v>53</v>
      </c>
      <c r="G291" s="5">
        <v>108</v>
      </c>
      <c r="H291" s="5">
        <v>4</v>
      </c>
      <c r="I291" s="5">
        <v>165</v>
      </c>
      <c r="J291" s="5">
        <v>423</v>
      </c>
      <c r="K291" s="5">
        <v>84</v>
      </c>
      <c r="L291" s="5">
        <v>507</v>
      </c>
      <c r="M291" s="5">
        <v>984</v>
      </c>
      <c r="N291" s="6">
        <f t="shared" si="14"/>
        <v>0.16568047337278108</v>
      </c>
      <c r="O291" s="11">
        <v>115</v>
      </c>
      <c r="P291" s="11">
        <v>1</v>
      </c>
      <c r="Q291" s="11">
        <v>8</v>
      </c>
      <c r="R291" s="11">
        <v>7</v>
      </c>
      <c r="S291" s="11">
        <v>4</v>
      </c>
      <c r="T291" s="11">
        <v>1</v>
      </c>
      <c r="U291" s="11">
        <v>0</v>
      </c>
      <c r="V291" s="11">
        <v>0</v>
      </c>
      <c r="W291" s="11">
        <v>25</v>
      </c>
      <c r="X291" s="11">
        <v>2</v>
      </c>
      <c r="Y291" s="11">
        <v>17</v>
      </c>
      <c r="Z291" s="11">
        <v>2</v>
      </c>
      <c r="AA291" s="11">
        <v>1</v>
      </c>
      <c r="AB291" s="11">
        <v>0</v>
      </c>
      <c r="AC291" s="11">
        <v>0</v>
      </c>
      <c r="AD291" s="11">
        <v>2</v>
      </c>
      <c r="AE291" s="11">
        <v>0</v>
      </c>
      <c r="AF291" s="11">
        <v>24</v>
      </c>
    </row>
    <row r="292" spans="1:32">
      <c r="A292" t="s">
        <v>72</v>
      </c>
      <c r="B292">
        <v>2022</v>
      </c>
      <c r="C292" t="str">
        <f t="shared" si="13"/>
        <v>2022-Q4</v>
      </c>
      <c r="D292" t="s">
        <v>64</v>
      </c>
      <c r="E292" t="str">
        <f t="shared" si="12"/>
        <v>North Central</v>
      </c>
      <c r="F292" s="5">
        <v>18</v>
      </c>
      <c r="G292" s="5">
        <v>56</v>
      </c>
      <c r="H292" s="5">
        <v>10</v>
      </c>
      <c r="I292" s="5">
        <v>84</v>
      </c>
      <c r="J292" s="5">
        <v>254</v>
      </c>
      <c r="K292" s="5">
        <v>29</v>
      </c>
      <c r="L292" s="5">
        <v>283</v>
      </c>
      <c r="M292" s="5">
        <v>522</v>
      </c>
      <c r="N292" s="6">
        <f t="shared" si="14"/>
        <v>0.10247349823321555</v>
      </c>
      <c r="O292" s="11">
        <v>27</v>
      </c>
      <c r="P292" s="11">
        <v>0</v>
      </c>
      <c r="Q292" s="11">
        <v>2</v>
      </c>
      <c r="R292" s="11">
        <v>20</v>
      </c>
      <c r="S292" s="11">
        <v>2</v>
      </c>
      <c r="T292" s="11">
        <v>0</v>
      </c>
      <c r="U292" s="11">
        <v>0</v>
      </c>
      <c r="V292" s="11">
        <v>2</v>
      </c>
      <c r="W292" s="11">
        <v>4</v>
      </c>
      <c r="X292" s="11">
        <v>0</v>
      </c>
      <c r="Y292" s="11">
        <v>0</v>
      </c>
      <c r="Z292" s="11">
        <v>2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25</v>
      </c>
    </row>
    <row r="293" spans="1:32">
      <c r="A293" t="s">
        <v>72</v>
      </c>
      <c r="B293">
        <v>2022</v>
      </c>
      <c r="C293" t="str">
        <f t="shared" si="13"/>
        <v>2022-Q4</v>
      </c>
      <c r="D293" t="s">
        <v>65</v>
      </c>
      <c r="E293" t="str">
        <f t="shared" si="12"/>
        <v>South South</v>
      </c>
      <c r="F293" s="5">
        <v>7</v>
      </c>
      <c r="G293" s="5">
        <v>10</v>
      </c>
      <c r="H293" s="5">
        <v>9</v>
      </c>
      <c r="I293" s="5">
        <v>26</v>
      </c>
      <c r="J293" s="5">
        <v>43</v>
      </c>
      <c r="K293" s="5">
        <v>16</v>
      </c>
      <c r="L293" s="5">
        <v>59</v>
      </c>
      <c r="M293" s="5">
        <v>156</v>
      </c>
      <c r="N293" s="6">
        <f t="shared" si="14"/>
        <v>0.2711864406779661</v>
      </c>
      <c r="O293" s="11">
        <v>6</v>
      </c>
      <c r="P293" s="11">
        <v>0</v>
      </c>
      <c r="Q293" s="11">
        <v>2</v>
      </c>
      <c r="R293" s="11">
        <v>1</v>
      </c>
      <c r="S293" s="11">
        <v>4</v>
      </c>
      <c r="T293" s="11">
        <v>0</v>
      </c>
      <c r="U293" s="11">
        <v>0</v>
      </c>
      <c r="V293" s="11">
        <v>1</v>
      </c>
      <c r="W293" s="11">
        <v>4</v>
      </c>
      <c r="X293" s="11">
        <v>1</v>
      </c>
      <c r="Y293" s="11">
        <v>3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7</v>
      </c>
    </row>
    <row r="294" spans="1:32">
      <c r="A294" t="s">
        <v>72</v>
      </c>
      <c r="B294">
        <v>2022</v>
      </c>
      <c r="C294" t="str">
        <f t="shared" si="13"/>
        <v>2022-Q4</v>
      </c>
      <c r="D294" t="s">
        <v>66</v>
      </c>
      <c r="E294" t="str">
        <f t="shared" si="12"/>
        <v>North West</v>
      </c>
      <c r="F294" s="5">
        <v>18</v>
      </c>
      <c r="G294" s="5">
        <v>19</v>
      </c>
      <c r="H294" s="5">
        <v>0</v>
      </c>
      <c r="I294" s="5">
        <v>37</v>
      </c>
      <c r="J294" s="5">
        <v>148</v>
      </c>
      <c r="K294" s="5">
        <v>26</v>
      </c>
      <c r="L294" s="5">
        <v>174</v>
      </c>
      <c r="M294" s="5">
        <v>259</v>
      </c>
      <c r="N294" s="6">
        <f t="shared" si="14"/>
        <v>0.14942528735632185</v>
      </c>
      <c r="O294" s="11">
        <v>19</v>
      </c>
      <c r="P294" s="11">
        <v>0</v>
      </c>
      <c r="Q294" s="11">
        <v>0</v>
      </c>
      <c r="R294" s="11">
        <v>0</v>
      </c>
      <c r="S294" s="11">
        <v>2</v>
      </c>
      <c r="T294" s="11">
        <v>1</v>
      </c>
      <c r="U294" s="11">
        <v>0</v>
      </c>
      <c r="V294" s="11">
        <v>1</v>
      </c>
      <c r="W294" s="11">
        <v>6</v>
      </c>
      <c r="X294" s="11">
        <v>0</v>
      </c>
      <c r="Y294" s="11">
        <v>3</v>
      </c>
      <c r="Z294" s="11">
        <v>0</v>
      </c>
      <c r="AA294" s="11">
        <v>0</v>
      </c>
      <c r="AB294" s="11">
        <v>2</v>
      </c>
      <c r="AC294" s="11">
        <v>0</v>
      </c>
      <c r="AD294" s="11">
        <v>0</v>
      </c>
      <c r="AE294" s="11">
        <v>0</v>
      </c>
      <c r="AF294" s="11">
        <v>16</v>
      </c>
    </row>
    <row r="295" spans="1:32">
      <c r="A295" t="s">
        <v>72</v>
      </c>
      <c r="B295">
        <v>2022</v>
      </c>
      <c r="C295" t="str">
        <f t="shared" si="13"/>
        <v>2022-Q4</v>
      </c>
      <c r="D295" t="s">
        <v>67</v>
      </c>
      <c r="E295" t="str">
        <f t="shared" si="12"/>
        <v>North East</v>
      </c>
      <c r="F295" s="5">
        <v>4</v>
      </c>
      <c r="G295" s="5">
        <v>64</v>
      </c>
      <c r="H295" s="5">
        <v>0</v>
      </c>
      <c r="I295" s="5">
        <v>68</v>
      </c>
      <c r="J295" s="5">
        <v>192</v>
      </c>
      <c r="K295" s="5">
        <v>8</v>
      </c>
      <c r="L295" s="5">
        <v>200</v>
      </c>
      <c r="M295" s="5">
        <v>361</v>
      </c>
      <c r="N295" s="6">
        <f t="shared" si="14"/>
        <v>0.04</v>
      </c>
      <c r="O295" s="11">
        <v>4</v>
      </c>
      <c r="P295" s="11">
        <v>0</v>
      </c>
      <c r="Q295" s="11">
        <v>2</v>
      </c>
      <c r="R295" s="11">
        <v>1</v>
      </c>
      <c r="S295" s="11">
        <v>1</v>
      </c>
      <c r="T295" s="11">
        <v>1</v>
      </c>
      <c r="U295" s="11">
        <v>0</v>
      </c>
      <c r="V295" s="11">
        <v>0</v>
      </c>
      <c r="W295" s="11">
        <v>25</v>
      </c>
      <c r="X295" s="11">
        <v>0</v>
      </c>
      <c r="Y295" s="11">
        <v>4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34</v>
      </c>
      <c r="AF295" s="11">
        <v>11</v>
      </c>
    </row>
    <row r="296" spans="1:32">
      <c r="A296" t="s">
        <v>72</v>
      </c>
      <c r="B296">
        <v>2022</v>
      </c>
      <c r="C296" t="str">
        <f t="shared" si="13"/>
        <v>2022-Q4</v>
      </c>
      <c r="D296" t="s">
        <v>68</v>
      </c>
      <c r="E296" t="str">
        <f t="shared" si="12"/>
        <v>North East</v>
      </c>
      <c r="F296" s="5">
        <v>21</v>
      </c>
      <c r="G296" s="5">
        <v>34</v>
      </c>
      <c r="H296" s="5">
        <v>2</v>
      </c>
      <c r="I296" s="5">
        <v>57</v>
      </c>
      <c r="J296" s="5">
        <v>237</v>
      </c>
      <c r="K296" s="5">
        <v>35</v>
      </c>
      <c r="L296" s="5">
        <v>272</v>
      </c>
      <c r="M296" s="5">
        <v>423</v>
      </c>
      <c r="N296" s="6">
        <f t="shared" si="14"/>
        <v>0.12867647058823528</v>
      </c>
      <c r="O296" s="11">
        <v>25</v>
      </c>
      <c r="P296" s="11">
        <v>3</v>
      </c>
      <c r="Q296" s="11">
        <v>6</v>
      </c>
      <c r="R296" s="11">
        <v>6</v>
      </c>
      <c r="S296" s="11">
        <v>1</v>
      </c>
      <c r="T296" s="11">
        <v>2</v>
      </c>
      <c r="U296" s="11">
        <v>0</v>
      </c>
      <c r="V296" s="11">
        <v>0</v>
      </c>
      <c r="W296" s="11">
        <v>1</v>
      </c>
      <c r="X296" s="11">
        <v>2</v>
      </c>
      <c r="Y296" s="11">
        <v>1</v>
      </c>
      <c r="Z296" s="11">
        <v>0</v>
      </c>
      <c r="AA296" s="11">
        <v>1</v>
      </c>
      <c r="AB296" s="11">
        <v>0</v>
      </c>
      <c r="AC296" s="11">
        <v>0</v>
      </c>
      <c r="AD296" s="11">
        <v>0</v>
      </c>
      <c r="AE296" s="11">
        <v>2</v>
      </c>
      <c r="AF296" s="11">
        <v>18</v>
      </c>
    </row>
    <row r="297" spans="1:32">
      <c r="A297" t="s">
        <v>72</v>
      </c>
      <c r="B297">
        <v>2022</v>
      </c>
      <c r="C297" t="str">
        <f t="shared" si="13"/>
        <v>2022-Q4</v>
      </c>
      <c r="D297" t="s">
        <v>69</v>
      </c>
      <c r="E297" t="str">
        <f t="shared" si="12"/>
        <v>North West</v>
      </c>
      <c r="F297" s="5">
        <v>11</v>
      </c>
      <c r="G297" s="5">
        <v>19</v>
      </c>
      <c r="H297" s="5">
        <v>0</v>
      </c>
      <c r="I297" s="5">
        <v>30</v>
      </c>
      <c r="J297" s="5">
        <v>103</v>
      </c>
      <c r="K297" s="5">
        <v>23</v>
      </c>
      <c r="L297" s="5">
        <v>126</v>
      </c>
      <c r="M297" s="5">
        <v>174</v>
      </c>
      <c r="N297" s="6">
        <f t="shared" si="14"/>
        <v>0.18253968253968253</v>
      </c>
      <c r="O297" s="11">
        <v>13</v>
      </c>
      <c r="P297" s="11">
        <v>1</v>
      </c>
      <c r="Q297" s="11">
        <v>2</v>
      </c>
      <c r="R297" s="11">
        <v>0</v>
      </c>
      <c r="S297" s="11">
        <v>0</v>
      </c>
      <c r="T297" s="11">
        <v>1</v>
      </c>
      <c r="U297" s="11">
        <v>1</v>
      </c>
      <c r="V297" s="11">
        <v>2</v>
      </c>
      <c r="W297" s="11">
        <v>0</v>
      </c>
      <c r="X297" s="11">
        <v>0</v>
      </c>
      <c r="Y297" s="11">
        <v>3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1</v>
      </c>
      <c r="AF297" s="11">
        <v>11</v>
      </c>
    </row>
    <row r="298" spans="1:32">
      <c r="A298" t="s">
        <v>32</v>
      </c>
      <c r="B298">
        <v>2023</v>
      </c>
      <c r="C298" t="str">
        <f t="shared" si="13"/>
        <v>2023-Q1</v>
      </c>
      <c r="D298" t="s">
        <v>33</v>
      </c>
      <c r="E298" t="str">
        <f t="shared" si="12"/>
        <v>South East</v>
      </c>
      <c r="F298" s="5">
        <v>7</v>
      </c>
      <c r="G298" s="5">
        <v>5</v>
      </c>
      <c r="H298" s="5">
        <v>0</v>
      </c>
      <c r="I298" s="5">
        <v>12</v>
      </c>
      <c r="J298" s="5">
        <v>45</v>
      </c>
      <c r="K298" s="5">
        <v>16</v>
      </c>
      <c r="L298" s="5">
        <v>61</v>
      </c>
      <c r="M298" s="5">
        <v>81</v>
      </c>
      <c r="N298" s="6">
        <f t="shared" si="14"/>
        <v>0.26229508196721313</v>
      </c>
      <c r="O298" s="11">
        <v>7</v>
      </c>
      <c r="P298" s="11">
        <v>0</v>
      </c>
      <c r="Q298" s="11">
        <v>3</v>
      </c>
      <c r="R298" s="11">
        <v>0</v>
      </c>
      <c r="S298" s="11">
        <v>0</v>
      </c>
      <c r="T298" s="11">
        <v>1</v>
      </c>
      <c r="U298" s="11">
        <v>0</v>
      </c>
      <c r="V298" s="11">
        <v>0</v>
      </c>
      <c r="W298" s="11">
        <v>2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1</v>
      </c>
      <c r="AF298" s="11">
        <v>0</v>
      </c>
    </row>
    <row r="299" spans="1:32">
      <c r="A299" t="s">
        <v>32</v>
      </c>
      <c r="B299">
        <v>2023</v>
      </c>
      <c r="C299" t="str">
        <f t="shared" si="13"/>
        <v>2023-Q1</v>
      </c>
      <c r="D299" t="s">
        <v>34</v>
      </c>
      <c r="E299" t="str">
        <f t="shared" si="12"/>
        <v>North East</v>
      </c>
      <c r="F299" s="5">
        <v>13</v>
      </c>
      <c r="G299" s="5">
        <v>40</v>
      </c>
      <c r="H299" s="5">
        <v>0</v>
      </c>
      <c r="I299" s="5">
        <v>53</v>
      </c>
      <c r="J299" s="5">
        <v>152</v>
      </c>
      <c r="K299" s="5">
        <v>20</v>
      </c>
      <c r="L299" s="5">
        <v>172</v>
      </c>
      <c r="M299" s="5">
        <v>272</v>
      </c>
      <c r="N299" s="6">
        <f t="shared" si="14"/>
        <v>0.11627906976744186</v>
      </c>
      <c r="O299" s="11">
        <v>35</v>
      </c>
      <c r="P299" s="11">
        <v>0</v>
      </c>
      <c r="Q299" s="11">
        <v>0</v>
      </c>
      <c r="R299" s="11">
        <v>1</v>
      </c>
      <c r="S299" s="11">
        <v>0</v>
      </c>
      <c r="T299" s="11">
        <v>1</v>
      </c>
      <c r="U299" s="11">
        <v>0</v>
      </c>
      <c r="V299" s="11">
        <v>4</v>
      </c>
      <c r="W299" s="11">
        <v>5</v>
      </c>
      <c r="X299" s="11">
        <v>0</v>
      </c>
      <c r="Y299" s="11">
        <v>1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7</v>
      </c>
      <c r="AF299" s="11">
        <v>2</v>
      </c>
    </row>
    <row r="300" spans="1:32">
      <c r="A300" t="s">
        <v>32</v>
      </c>
      <c r="B300">
        <v>2023</v>
      </c>
      <c r="C300" t="str">
        <f t="shared" si="13"/>
        <v>2023-Q1</v>
      </c>
      <c r="D300" t="s">
        <v>35</v>
      </c>
      <c r="E300" t="str">
        <f t="shared" si="12"/>
        <v>South South</v>
      </c>
      <c r="F300" s="5">
        <v>3</v>
      </c>
      <c r="G300" s="5">
        <v>6</v>
      </c>
      <c r="H300" s="5">
        <v>0</v>
      </c>
      <c r="I300" s="5">
        <v>9</v>
      </c>
      <c r="J300" s="5">
        <v>16</v>
      </c>
      <c r="K300" s="5">
        <v>3</v>
      </c>
      <c r="L300" s="5">
        <v>19</v>
      </c>
      <c r="M300" s="5">
        <v>32</v>
      </c>
      <c r="N300" s="6">
        <f t="shared" si="14"/>
        <v>0.15789473684210525</v>
      </c>
      <c r="O300" s="11">
        <v>4</v>
      </c>
      <c r="P300" s="11">
        <v>0</v>
      </c>
      <c r="Q300" s="11">
        <v>1</v>
      </c>
      <c r="R300" s="11">
        <v>0</v>
      </c>
      <c r="S300" s="11">
        <v>0</v>
      </c>
      <c r="T300" s="11">
        <v>0</v>
      </c>
      <c r="U300" s="11">
        <v>0</v>
      </c>
      <c r="V300" s="11">
        <v>1</v>
      </c>
      <c r="W300" s="11">
        <v>2</v>
      </c>
      <c r="X300" s="11">
        <v>0</v>
      </c>
      <c r="Y300" s="11">
        <v>1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1</v>
      </c>
      <c r="AF300" s="11">
        <v>1</v>
      </c>
    </row>
    <row r="301" spans="1:32">
      <c r="A301" t="s">
        <v>32</v>
      </c>
      <c r="B301">
        <v>2023</v>
      </c>
      <c r="C301" t="str">
        <f t="shared" si="13"/>
        <v>2023-Q1</v>
      </c>
      <c r="D301" t="s">
        <v>36</v>
      </c>
      <c r="E301" t="str">
        <f t="shared" si="12"/>
        <v>South East</v>
      </c>
      <c r="F301" s="5">
        <v>4</v>
      </c>
      <c r="G301" s="5">
        <v>8</v>
      </c>
      <c r="H301" s="5">
        <v>3</v>
      </c>
      <c r="I301" s="5">
        <v>15</v>
      </c>
      <c r="J301" s="5">
        <v>76</v>
      </c>
      <c r="K301" s="5">
        <v>3</v>
      </c>
      <c r="L301" s="5">
        <v>79</v>
      </c>
      <c r="M301" s="5">
        <v>161</v>
      </c>
      <c r="N301" s="6">
        <f t="shared" si="14"/>
        <v>3.7974683544303799E-2</v>
      </c>
      <c r="O301" s="11">
        <v>8</v>
      </c>
      <c r="P301" s="11">
        <v>0</v>
      </c>
      <c r="Q301" s="11">
        <v>0</v>
      </c>
      <c r="R301" s="11">
        <v>3</v>
      </c>
      <c r="S301" s="11">
        <v>1</v>
      </c>
      <c r="T301" s="11">
        <v>0</v>
      </c>
      <c r="U301" s="11">
        <v>0</v>
      </c>
      <c r="V301" s="11">
        <v>2</v>
      </c>
      <c r="W301" s="11">
        <v>0</v>
      </c>
      <c r="X301" s="11">
        <v>0</v>
      </c>
      <c r="Y301" s="11">
        <v>2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1</v>
      </c>
      <c r="AF301" s="11">
        <v>2</v>
      </c>
    </row>
    <row r="302" spans="1:32">
      <c r="A302" t="s">
        <v>32</v>
      </c>
      <c r="B302">
        <v>2023</v>
      </c>
      <c r="C302" t="str">
        <f t="shared" si="13"/>
        <v>2023-Q1</v>
      </c>
      <c r="D302" t="s">
        <v>37</v>
      </c>
      <c r="E302" t="str">
        <f t="shared" si="12"/>
        <v>North East</v>
      </c>
      <c r="F302" s="5">
        <v>43</v>
      </c>
      <c r="G302" s="5">
        <v>56</v>
      </c>
      <c r="H302" s="5">
        <v>11</v>
      </c>
      <c r="I302" s="5">
        <v>110</v>
      </c>
      <c r="J302" s="5">
        <v>473</v>
      </c>
      <c r="K302" s="5">
        <v>139</v>
      </c>
      <c r="L302" s="5">
        <v>612</v>
      </c>
      <c r="M302" s="5">
        <v>826</v>
      </c>
      <c r="N302" s="6">
        <f t="shared" si="14"/>
        <v>0.22712418300653595</v>
      </c>
      <c r="O302" s="11">
        <v>79</v>
      </c>
      <c r="P302" s="11">
        <v>0</v>
      </c>
      <c r="Q302" s="11">
        <v>12</v>
      </c>
      <c r="R302" s="11">
        <v>3</v>
      </c>
      <c r="S302" s="11">
        <v>2</v>
      </c>
      <c r="T302" s="11">
        <v>2</v>
      </c>
      <c r="U302" s="11">
        <v>1</v>
      </c>
      <c r="V302" s="11">
        <v>24</v>
      </c>
      <c r="W302" s="11">
        <v>5</v>
      </c>
      <c r="X302" s="11">
        <v>2</v>
      </c>
      <c r="Y302" s="11">
        <v>4</v>
      </c>
      <c r="Z302" s="11">
        <v>4</v>
      </c>
      <c r="AA302" s="11">
        <v>0</v>
      </c>
      <c r="AB302" s="11">
        <v>0</v>
      </c>
      <c r="AC302" s="11">
        <v>0</v>
      </c>
      <c r="AD302" s="11">
        <v>0</v>
      </c>
      <c r="AE302" s="11">
        <v>7</v>
      </c>
      <c r="AF302" s="11">
        <v>10</v>
      </c>
    </row>
    <row r="303" spans="1:32">
      <c r="A303" t="s">
        <v>32</v>
      </c>
      <c r="B303">
        <v>2023</v>
      </c>
      <c r="C303" t="str">
        <f t="shared" si="13"/>
        <v>2023-Q1</v>
      </c>
      <c r="D303" t="s">
        <v>38</v>
      </c>
      <c r="E303" t="str">
        <f t="shared" si="12"/>
        <v>South South</v>
      </c>
      <c r="F303" s="5">
        <v>2</v>
      </c>
      <c r="G303" s="5">
        <v>2</v>
      </c>
      <c r="H303" s="5">
        <v>2</v>
      </c>
      <c r="I303" s="5">
        <v>6</v>
      </c>
      <c r="J303" s="5">
        <v>11</v>
      </c>
      <c r="K303" s="5">
        <v>1</v>
      </c>
      <c r="L303" s="5">
        <v>12</v>
      </c>
      <c r="M303" s="5">
        <v>28</v>
      </c>
      <c r="N303" s="6">
        <f t="shared" si="14"/>
        <v>8.3333333333333329E-2</v>
      </c>
      <c r="O303" s="11">
        <v>8</v>
      </c>
      <c r="P303" s="11">
        <v>0</v>
      </c>
      <c r="Q303" s="11">
        <v>1</v>
      </c>
      <c r="R303" s="11">
        <v>0</v>
      </c>
      <c r="S303" s="11">
        <v>0</v>
      </c>
      <c r="T303" s="11">
        <v>1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</row>
    <row r="304" spans="1:32">
      <c r="A304" t="s">
        <v>32</v>
      </c>
      <c r="B304">
        <v>2023</v>
      </c>
      <c r="C304" t="str">
        <f t="shared" si="13"/>
        <v>2023-Q1</v>
      </c>
      <c r="D304" t="s">
        <v>39</v>
      </c>
      <c r="E304" t="str">
        <f t="shared" si="12"/>
        <v>North Central</v>
      </c>
      <c r="F304" s="5">
        <v>3</v>
      </c>
      <c r="G304" s="5">
        <v>27</v>
      </c>
      <c r="H304" s="5">
        <v>7</v>
      </c>
      <c r="I304" s="5">
        <v>37</v>
      </c>
      <c r="J304" s="5">
        <v>84</v>
      </c>
      <c r="K304" s="5">
        <v>4</v>
      </c>
      <c r="L304" s="5">
        <v>88</v>
      </c>
      <c r="M304" s="5">
        <v>226</v>
      </c>
      <c r="N304" s="6">
        <f t="shared" si="14"/>
        <v>4.5454545454545456E-2</v>
      </c>
      <c r="O304" s="11">
        <v>19</v>
      </c>
      <c r="P304" s="11">
        <v>0</v>
      </c>
      <c r="Q304" s="11">
        <v>1</v>
      </c>
      <c r="R304" s="11">
        <v>2</v>
      </c>
      <c r="S304" s="11">
        <v>1</v>
      </c>
      <c r="T304" s="11">
        <v>0</v>
      </c>
      <c r="U304" s="11">
        <v>0</v>
      </c>
      <c r="V304" s="11">
        <v>3</v>
      </c>
      <c r="W304" s="11">
        <v>1</v>
      </c>
      <c r="X304" s="11">
        <v>0</v>
      </c>
      <c r="Y304" s="11">
        <v>4</v>
      </c>
      <c r="Z304" s="11">
        <v>1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5</v>
      </c>
    </row>
    <row r="305" spans="1:32">
      <c r="A305" t="s">
        <v>32</v>
      </c>
      <c r="B305">
        <v>2023</v>
      </c>
      <c r="C305" t="str">
        <f t="shared" si="13"/>
        <v>2023-Q1</v>
      </c>
      <c r="D305" t="s">
        <v>40</v>
      </c>
      <c r="E305" t="str">
        <f t="shared" si="12"/>
        <v>North East</v>
      </c>
      <c r="F305" s="5">
        <v>6</v>
      </c>
      <c r="G305" s="5">
        <v>17</v>
      </c>
      <c r="H305" s="5">
        <v>3</v>
      </c>
      <c r="I305" s="5">
        <v>26</v>
      </c>
      <c r="J305" s="5">
        <v>76</v>
      </c>
      <c r="K305" s="5">
        <v>9</v>
      </c>
      <c r="L305" s="5">
        <v>85</v>
      </c>
      <c r="M305" s="5">
        <v>115</v>
      </c>
      <c r="N305" s="6">
        <f t="shared" si="14"/>
        <v>0.10588235294117647</v>
      </c>
      <c r="O305" s="11">
        <v>6</v>
      </c>
      <c r="P305" s="11">
        <v>0</v>
      </c>
      <c r="Q305" s="11">
        <v>7</v>
      </c>
      <c r="R305" s="11">
        <v>1</v>
      </c>
      <c r="S305" s="11">
        <v>0</v>
      </c>
      <c r="T305" s="11">
        <v>0</v>
      </c>
      <c r="U305" s="11">
        <v>0</v>
      </c>
      <c r="V305" s="11">
        <v>0</v>
      </c>
      <c r="W305" s="11">
        <v>2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9</v>
      </c>
      <c r="AF305" s="11">
        <v>1</v>
      </c>
    </row>
    <row r="306" spans="1:32">
      <c r="A306" t="s">
        <v>32</v>
      </c>
      <c r="B306">
        <v>2023</v>
      </c>
      <c r="C306" t="str">
        <f t="shared" si="13"/>
        <v>2023-Q1</v>
      </c>
      <c r="D306" t="s">
        <v>41</v>
      </c>
      <c r="E306" t="str">
        <f t="shared" si="12"/>
        <v>South South</v>
      </c>
      <c r="F306" s="5">
        <v>5</v>
      </c>
      <c r="G306" s="5">
        <v>7</v>
      </c>
      <c r="H306" s="5">
        <v>0</v>
      </c>
      <c r="I306" s="5">
        <v>12</v>
      </c>
      <c r="J306" s="5">
        <v>35</v>
      </c>
      <c r="K306" s="5">
        <v>7</v>
      </c>
      <c r="L306" s="5">
        <v>42</v>
      </c>
      <c r="M306" s="5">
        <v>76</v>
      </c>
      <c r="N306" s="6">
        <f t="shared" si="14"/>
        <v>0.16666666666666666</v>
      </c>
      <c r="O306" s="11">
        <v>12</v>
      </c>
      <c r="P306" s="11">
        <v>0</v>
      </c>
      <c r="Q306" s="11">
        <v>0</v>
      </c>
      <c r="R306" s="11">
        <v>0</v>
      </c>
      <c r="S306" s="11">
        <v>2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1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</row>
    <row r="307" spans="1:32">
      <c r="A307" t="s">
        <v>32</v>
      </c>
      <c r="B307">
        <v>2023</v>
      </c>
      <c r="C307" t="str">
        <f t="shared" si="13"/>
        <v>2023-Q1</v>
      </c>
      <c r="D307" t="s">
        <v>42</v>
      </c>
      <c r="E307" t="str">
        <f t="shared" si="12"/>
        <v>South South</v>
      </c>
      <c r="F307" s="5">
        <v>12</v>
      </c>
      <c r="G307" s="5">
        <v>7</v>
      </c>
      <c r="H307" s="5">
        <v>3</v>
      </c>
      <c r="I307" s="5">
        <v>22</v>
      </c>
      <c r="J307" s="5">
        <v>87</v>
      </c>
      <c r="K307" s="5">
        <v>34</v>
      </c>
      <c r="L307" s="5">
        <v>121</v>
      </c>
      <c r="M307" s="5">
        <v>174</v>
      </c>
      <c r="N307" s="6">
        <f t="shared" si="14"/>
        <v>0.28099173553719009</v>
      </c>
      <c r="O307" s="11">
        <v>15</v>
      </c>
      <c r="P307" s="11">
        <v>0</v>
      </c>
      <c r="Q307" s="11">
        <v>7</v>
      </c>
      <c r="R307" s="11">
        <v>0</v>
      </c>
      <c r="S307" s="11">
        <v>0</v>
      </c>
      <c r="T307" s="11">
        <v>1</v>
      </c>
      <c r="U307" s="11">
        <v>0</v>
      </c>
      <c r="V307" s="11">
        <v>2</v>
      </c>
      <c r="W307" s="11">
        <v>0</v>
      </c>
      <c r="X307" s="11">
        <v>0</v>
      </c>
      <c r="Y307" s="11">
        <v>0</v>
      </c>
      <c r="Z307" s="11">
        <v>0</v>
      </c>
      <c r="AA307" s="11">
        <v>2</v>
      </c>
      <c r="AB307" s="11">
        <v>0</v>
      </c>
      <c r="AC307" s="11">
        <v>0</v>
      </c>
      <c r="AD307" s="11">
        <v>0</v>
      </c>
      <c r="AE307" s="11">
        <v>7</v>
      </c>
      <c r="AF307" s="11">
        <v>0</v>
      </c>
    </row>
    <row r="308" spans="1:32">
      <c r="A308" t="s">
        <v>32</v>
      </c>
      <c r="B308">
        <v>2023</v>
      </c>
      <c r="C308" t="str">
        <f t="shared" si="13"/>
        <v>2023-Q1</v>
      </c>
      <c r="D308" t="s">
        <v>43</v>
      </c>
      <c r="E308" t="str">
        <f t="shared" si="12"/>
        <v>South East</v>
      </c>
      <c r="F308" s="5">
        <v>9</v>
      </c>
      <c r="G308" s="5">
        <v>30</v>
      </c>
      <c r="H308" s="5">
        <v>10</v>
      </c>
      <c r="I308" s="5">
        <v>49</v>
      </c>
      <c r="J308" s="5">
        <v>131</v>
      </c>
      <c r="K308" s="5">
        <v>14</v>
      </c>
      <c r="L308" s="5">
        <v>145</v>
      </c>
      <c r="M308" s="5">
        <v>366</v>
      </c>
      <c r="N308" s="6">
        <f t="shared" si="14"/>
        <v>9.6551724137931033E-2</v>
      </c>
      <c r="O308" s="11">
        <v>28</v>
      </c>
      <c r="P308" s="11">
        <v>0</v>
      </c>
      <c r="Q308" s="11">
        <v>2</v>
      </c>
      <c r="R308" s="11">
        <v>2</v>
      </c>
      <c r="S308" s="11">
        <v>0</v>
      </c>
      <c r="T308" s="11">
        <v>1</v>
      </c>
      <c r="U308" s="11">
        <v>0</v>
      </c>
      <c r="V308" s="11">
        <v>2</v>
      </c>
      <c r="W308" s="11">
        <v>1</v>
      </c>
      <c r="X308" s="11">
        <v>0</v>
      </c>
      <c r="Y308" s="11">
        <v>0</v>
      </c>
      <c r="Z308" s="11">
        <v>0</v>
      </c>
      <c r="AA308" s="11">
        <v>0</v>
      </c>
      <c r="AB308" s="11">
        <v>1</v>
      </c>
      <c r="AC308" s="11">
        <v>0</v>
      </c>
      <c r="AD308" s="11">
        <v>0</v>
      </c>
      <c r="AE308" s="11">
        <v>0</v>
      </c>
      <c r="AF308" s="11">
        <v>16</v>
      </c>
    </row>
    <row r="309" spans="1:32">
      <c r="A309" t="s">
        <v>32</v>
      </c>
      <c r="B309">
        <v>2023</v>
      </c>
      <c r="C309" t="str">
        <f t="shared" si="13"/>
        <v>2023-Q1</v>
      </c>
      <c r="D309" t="s">
        <v>44</v>
      </c>
      <c r="E309" t="str">
        <f t="shared" si="12"/>
        <v>South South</v>
      </c>
      <c r="F309" s="5">
        <v>14</v>
      </c>
      <c r="G309" s="5">
        <v>37</v>
      </c>
      <c r="H309" s="5">
        <v>4</v>
      </c>
      <c r="I309" s="5">
        <v>55</v>
      </c>
      <c r="J309" s="5">
        <v>183</v>
      </c>
      <c r="K309" s="5">
        <v>41</v>
      </c>
      <c r="L309" s="5">
        <v>224</v>
      </c>
      <c r="M309" s="5">
        <v>426</v>
      </c>
      <c r="N309" s="6">
        <f t="shared" si="14"/>
        <v>0.18303571428571427</v>
      </c>
      <c r="O309" s="11">
        <v>25</v>
      </c>
      <c r="P309" s="11">
        <v>0</v>
      </c>
      <c r="Q309" s="11">
        <v>6</v>
      </c>
      <c r="R309" s="11">
        <v>11</v>
      </c>
      <c r="S309" s="11">
        <v>9</v>
      </c>
      <c r="T309" s="11">
        <v>2</v>
      </c>
      <c r="U309" s="11">
        <v>0</v>
      </c>
      <c r="V309" s="11">
        <v>4</v>
      </c>
      <c r="W309" s="11">
        <v>3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33</v>
      </c>
      <c r="AF309" s="11">
        <v>1</v>
      </c>
    </row>
    <row r="310" spans="1:32">
      <c r="A310" t="s">
        <v>32</v>
      </c>
      <c r="B310">
        <v>2023</v>
      </c>
      <c r="C310" t="str">
        <f t="shared" si="13"/>
        <v>2023-Q1</v>
      </c>
      <c r="D310" t="s">
        <v>45</v>
      </c>
      <c r="E310" t="str">
        <f t="shared" si="12"/>
        <v>South West</v>
      </c>
      <c r="F310" s="5">
        <v>1</v>
      </c>
      <c r="G310" s="5">
        <v>14</v>
      </c>
      <c r="H310" s="5">
        <v>7</v>
      </c>
      <c r="I310" s="5">
        <v>22</v>
      </c>
      <c r="J310" s="5">
        <v>48</v>
      </c>
      <c r="K310" s="5">
        <v>2</v>
      </c>
      <c r="L310" s="5">
        <v>50</v>
      </c>
      <c r="M310" s="5">
        <v>120</v>
      </c>
      <c r="N310" s="6">
        <f t="shared" si="14"/>
        <v>0.04</v>
      </c>
      <c r="O310" s="11">
        <v>39</v>
      </c>
      <c r="P310" s="11">
        <v>0</v>
      </c>
      <c r="Q310" s="11">
        <v>1</v>
      </c>
      <c r="R310" s="11">
        <v>2</v>
      </c>
      <c r="S310" s="11">
        <v>4</v>
      </c>
      <c r="T310" s="11">
        <v>0</v>
      </c>
      <c r="U310" s="11">
        <v>0</v>
      </c>
      <c r="V310" s="11">
        <v>0</v>
      </c>
      <c r="W310" s="11">
        <v>1</v>
      </c>
      <c r="X310" s="11">
        <v>0</v>
      </c>
      <c r="Y310" s="11">
        <v>1</v>
      </c>
      <c r="Z310" s="11">
        <v>0</v>
      </c>
      <c r="AA310" s="11">
        <v>0</v>
      </c>
      <c r="AB310" s="11">
        <v>1</v>
      </c>
      <c r="AC310" s="11">
        <v>0</v>
      </c>
      <c r="AD310" s="11">
        <v>0</v>
      </c>
      <c r="AE310" s="11">
        <v>1</v>
      </c>
      <c r="AF310" s="11">
        <v>0</v>
      </c>
    </row>
    <row r="311" spans="1:32">
      <c r="A311" t="s">
        <v>32</v>
      </c>
      <c r="B311">
        <v>2023</v>
      </c>
      <c r="C311" t="str">
        <f t="shared" si="13"/>
        <v>2023-Q1</v>
      </c>
      <c r="D311" t="s">
        <v>46</v>
      </c>
      <c r="E311" t="str">
        <f t="shared" si="12"/>
        <v>South East</v>
      </c>
      <c r="F311" s="5">
        <v>10</v>
      </c>
      <c r="G311" s="5">
        <v>23</v>
      </c>
      <c r="H311" s="5">
        <v>4</v>
      </c>
      <c r="I311" s="5">
        <v>37</v>
      </c>
      <c r="J311" s="5">
        <v>99</v>
      </c>
      <c r="K311" s="5">
        <v>21</v>
      </c>
      <c r="L311" s="5">
        <v>120</v>
      </c>
      <c r="M311" s="5">
        <v>237</v>
      </c>
      <c r="N311" s="6">
        <f t="shared" si="14"/>
        <v>0.17499999999999999</v>
      </c>
      <c r="O311" s="11">
        <v>28</v>
      </c>
      <c r="P311" s="11">
        <v>0</v>
      </c>
      <c r="Q311" s="11">
        <v>0</v>
      </c>
      <c r="R311" s="11">
        <v>0</v>
      </c>
      <c r="S311" s="11">
        <v>7</v>
      </c>
      <c r="T311" s="11">
        <v>0</v>
      </c>
      <c r="U311" s="11">
        <v>0</v>
      </c>
      <c r="V311" s="11">
        <v>1</v>
      </c>
      <c r="W311" s="11">
        <v>3</v>
      </c>
      <c r="X311" s="11">
        <v>0</v>
      </c>
      <c r="Y311" s="11">
        <v>2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4</v>
      </c>
      <c r="AF311" s="11">
        <v>3</v>
      </c>
    </row>
    <row r="312" spans="1:32">
      <c r="A312" t="s">
        <v>32</v>
      </c>
      <c r="B312">
        <v>2023</v>
      </c>
      <c r="C312" t="str">
        <f t="shared" si="13"/>
        <v>2023-Q1</v>
      </c>
      <c r="D312" t="s">
        <v>47</v>
      </c>
      <c r="E312" t="str">
        <f t="shared" si="12"/>
        <v>North Central</v>
      </c>
      <c r="F312" s="5">
        <v>71</v>
      </c>
      <c r="G312" s="5">
        <v>245</v>
      </c>
      <c r="H312" s="5">
        <v>66</v>
      </c>
      <c r="I312" s="5">
        <v>382</v>
      </c>
      <c r="J312" s="5">
        <v>667</v>
      </c>
      <c r="K312" s="5">
        <v>100</v>
      </c>
      <c r="L312" s="5">
        <v>767</v>
      </c>
      <c r="M312" s="5">
        <v>1663</v>
      </c>
      <c r="N312" s="6">
        <f t="shared" si="14"/>
        <v>0.1303780964797914</v>
      </c>
      <c r="O312" s="11">
        <v>300</v>
      </c>
      <c r="P312" s="11">
        <v>0</v>
      </c>
      <c r="Q312" s="11">
        <v>21</v>
      </c>
      <c r="R312" s="11">
        <v>6</v>
      </c>
      <c r="S312" s="11">
        <v>11</v>
      </c>
      <c r="T312" s="11">
        <v>2</v>
      </c>
      <c r="U312" s="11">
        <v>3</v>
      </c>
      <c r="V312" s="11">
        <v>3</v>
      </c>
      <c r="W312" s="11">
        <v>33</v>
      </c>
      <c r="X312" s="11">
        <v>5</v>
      </c>
      <c r="Y312" s="11">
        <v>27</v>
      </c>
      <c r="Z312" s="11">
        <v>5</v>
      </c>
      <c r="AA312" s="11">
        <v>0</v>
      </c>
      <c r="AB312" s="11">
        <v>0</v>
      </c>
      <c r="AC312" s="11">
        <v>2</v>
      </c>
      <c r="AD312" s="11">
        <v>6</v>
      </c>
      <c r="AE312" s="11">
        <v>179</v>
      </c>
      <c r="AF312" s="11">
        <v>13</v>
      </c>
    </row>
    <row r="313" spans="1:32">
      <c r="A313" t="s">
        <v>32</v>
      </c>
      <c r="B313">
        <v>2023</v>
      </c>
      <c r="C313" t="str">
        <f t="shared" si="13"/>
        <v>2023-Q1</v>
      </c>
      <c r="D313" t="s">
        <v>48</v>
      </c>
      <c r="E313" t="str">
        <f t="shared" si="12"/>
        <v>North East</v>
      </c>
      <c r="F313" s="5">
        <v>12</v>
      </c>
      <c r="G313" s="5">
        <v>48</v>
      </c>
      <c r="H313" s="5">
        <v>1</v>
      </c>
      <c r="I313" s="5">
        <v>61</v>
      </c>
      <c r="J313" s="5">
        <v>240</v>
      </c>
      <c r="K313" s="5">
        <v>26</v>
      </c>
      <c r="L313" s="5">
        <v>266</v>
      </c>
      <c r="M313" s="5">
        <v>394</v>
      </c>
      <c r="N313" s="6">
        <f t="shared" si="14"/>
        <v>9.7744360902255634E-2</v>
      </c>
      <c r="O313" s="11">
        <v>47</v>
      </c>
      <c r="P313" s="11">
        <v>2</v>
      </c>
      <c r="Q313" s="11">
        <v>0</v>
      </c>
      <c r="R313" s="11">
        <v>1</v>
      </c>
      <c r="S313" s="11">
        <v>0</v>
      </c>
      <c r="T313" s="11">
        <v>0</v>
      </c>
      <c r="U313" s="11">
        <v>0</v>
      </c>
      <c r="V313" s="11">
        <v>0</v>
      </c>
      <c r="W313" s="11">
        <v>14</v>
      </c>
      <c r="X313" s="11">
        <v>0</v>
      </c>
      <c r="Y313" s="11">
        <v>4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18</v>
      </c>
      <c r="AF313" s="11">
        <v>1</v>
      </c>
    </row>
    <row r="314" spans="1:32">
      <c r="A314" t="s">
        <v>32</v>
      </c>
      <c r="B314">
        <v>2023</v>
      </c>
      <c r="C314" t="str">
        <f t="shared" si="13"/>
        <v>2023-Q1</v>
      </c>
      <c r="D314" t="s">
        <v>49</v>
      </c>
      <c r="E314" t="str">
        <f t="shared" si="12"/>
        <v>South East</v>
      </c>
      <c r="F314" s="5">
        <v>9</v>
      </c>
      <c r="G314" s="5">
        <v>8</v>
      </c>
      <c r="H314" s="5">
        <v>1</v>
      </c>
      <c r="I314" s="5">
        <v>18</v>
      </c>
      <c r="J314" s="5">
        <v>58</v>
      </c>
      <c r="K314" s="5">
        <v>11</v>
      </c>
      <c r="L314" s="5">
        <v>69</v>
      </c>
      <c r="M314" s="5">
        <v>123</v>
      </c>
      <c r="N314" s="6">
        <f t="shared" si="14"/>
        <v>0.15942028985507245</v>
      </c>
      <c r="O314" s="11">
        <v>8</v>
      </c>
      <c r="P314" s="11">
        <v>0</v>
      </c>
      <c r="Q314" s="11">
        <v>0</v>
      </c>
      <c r="R314" s="11">
        <v>0</v>
      </c>
      <c r="S314" s="11">
        <v>2</v>
      </c>
      <c r="T314" s="11">
        <v>0</v>
      </c>
      <c r="U314" s="11">
        <v>0</v>
      </c>
      <c r="V314" s="11">
        <v>2</v>
      </c>
      <c r="W314" s="11">
        <v>0</v>
      </c>
      <c r="X314" s="11">
        <v>1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1</v>
      </c>
    </row>
    <row r="315" spans="1:32">
      <c r="A315" t="s">
        <v>32</v>
      </c>
      <c r="B315">
        <v>2023</v>
      </c>
      <c r="C315" t="str">
        <f t="shared" si="13"/>
        <v>2023-Q1</v>
      </c>
      <c r="D315" t="s">
        <v>50</v>
      </c>
      <c r="E315" t="str">
        <f t="shared" si="12"/>
        <v>North West</v>
      </c>
      <c r="F315" s="5">
        <v>23</v>
      </c>
      <c r="G315" s="5">
        <v>105</v>
      </c>
      <c r="H315" s="5">
        <v>1</v>
      </c>
      <c r="I315" s="5">
        <v>129</v>
      </c>
      <c r="J315" s="5">
        <v>400</v>
      </c>
      <c r="K315" s="5">
        <v>26</v>
      </c>
      <c r="L315" s="5">
        <v>426</v>
      </c>
      <c r="M315" s="5">
        <v>717</v>
      </c>
      <c r="N315" s="6">
        <f t="shared" si="14"/>
        <v>6.1032863849765258E-2</v>
      </c>
      <c r="O315" s="11">
        <v>185</v>
      </c>
      <c r="P315" s="11">
        <v>0</v>
      </c>
      <c r="Q315" s="11">
        <v>6</v>
      </c>
      <c r="R315" s="11">
        <v>0</v>
      </c>
      <c r="S315" s="11">
        <v>0</v>
      </c>
      <c r="T315" s="11">
        <v>3</v>
      </c>
      <c r="U315" s="11">
        <v>0</v>
      </c>
      <c r="V315" s="11">
        <v>7</v>
      </c>
      <c r="W315" s="11">
        <v>6</v>
      </c>
      <c r="X315" s="11">
        <v>0</v>
      </c>
      <c r="Y315" s="11">
        <v>5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14</v>
      </c>
    </row>
    <row r="316" spans="1:32">
      <c r="A316" t="s">
        <v>32</v>
      </c>
      <c r="B316">
        <v>2023</v>
      </c>
      <c r="C316" t="str">
        <f t="shared" si="13"/>
        <v>2023-Q1</v>
      </c>
      <c r="D316" t="s">
        <v>51</v>
      </c>
      <c r="E316" t="str">
        <f t="shared" si="12"/>
        <v>North West</v>
      </c>
      <c r="F316" s="5">
        <v>65</v>
      </c>
      <c r="G316" s="5">
        <v>129</v>
      </c>
      <c r="H316" s="5">
        <v>9</v>
      </c>
      <c r="I316" s="5">
        <v>203</v>
      </c>
      <c r="J316" s="5">
        <v>782</v>
      </c>
      <c r="K316" s="5">
        <v>139</v>
      </c>
      <c r="L316" s="5">
        <v>921</v>
      </c>
      <c r="M316" s="5">
        <v>1730</v>
      </c>
      <c r="N316" s="6">
        <f t="shared" si="14"/>
        <v>0.15092290988056462</v>
      </c>
      <c r="O316" s="11">
        <v>109</v>
      </c>
      <c r="P316" s="11">
        <v>0</v>
      </c>
      <c r="Q316" s="11">
        <v>11</v>
      </c>
      <c r="R316" s="11">
        <v>3</v>
      </c>
      <c r="S316" s="11">
        <v>0</v>
      </c>
      <c r="T316" s="11">
        <v>0</v>
      </c>
      <c r="U316" s="11">
        <v>1</v>
      </c>
      <c r="V316" s="11">
        <v>17</v>
      </c>
      <c r="W316" s="11">
        <v>26</v>
      </c>
      <c r="X316" s="11">
        <v>3</v>
      </c>
      <c r="Y316" s="11">
        <v>16</v>
      </c>
      <c r="Z316" s="11">
        <v>0</v>
      </c>
      <c r="AA316" s="11">
        <v>0</v>
      </c>
      <c r="AB316" s="11">
        <v>0</v>
      </c>
      <c r="AC316" s="11">
        <v>0</v>
      </c>
      <c r="AD316" s="11">
        <v>8</v>
      </c>
      <c r="AE316" s="11">
        <v>0</v>
      </c>
      <c r="AF316" s="11">
        <v>1</v>
      </c>
    </row>
    <row r="317" spans="1:32">
      <c r="A317" t="s">
        <v>32</v>
      </c>
      <c r="B317">
        <v>2023</v>
      </c>
      <c r="C317" t="str">
        <f t="shared" si="13"/>
        <v>2023-Q1</v>
      </c>
      <c r="D317" t="s">
        <v>52</v>
      </c>
      <c r="E317" t="str">
        <f t="shared" si="12"/>
        <v>North West</v>
      </c>
      <c r="F317" s="5">
        <v>23</v>
      </c>
      <c r="G317" s="5">
        <v>39</v>
      </c>
      <c r="H317" s="5">
        <v>4</v>
      </c>
      <c r="I317" s="5">
        <v>66</v>
      </c>
      <c r="J317" s="5">
        <v>309</v>
      </c>
      <c r="K317" s="5">
        <v>69</v>
      </c>
      <c r="L317" s="5">
        <v>378</v>
      </c>
      <c r="M317" s="5">
        <v>587</v>
      </c>
      <c r="N317" s="6">
        <f t="shared" si="14"/>
        <v>0.18253968253968253</v>
      </c>
      <c r="O317" s="11">
        <v>53</v>
      </c>
      <c r="P317" s="11">
        <v>0</v>
      </c>
      <c r="Q317" s="11">
        <v>5</v>
      </c>
      <c r="R317" s="11">
        <v>1</v>
      </c>
      <c r="S317" s="11">
        <v>0</v>
      </c>
      <c r="T317" s="11">
        <v>1</v>
      </c>
      <c r="U317" s="11">
        <v>0</v>
      </c>
      <c r="V317" s="11">
        <v>3</v>
      </c>
      <c r="W317" s="11">
        <v>6</v>
      </c>
      <c r="X317" s="11">
        <v>0</v>
      </c>
      <c r="Y317" s="11">
        <v>1</v>
      </c>
      <c r="Z317" s="11">
        <v>1</v>
      </c>
      <c r="AA317" s="11">
        <v>0</v>
      </c>
      <c r="AB317" s="11">
        <v>0</v>
      </c>
      <c r="AC317" s="11">
        <v>0</v>
      </c>
      <c r="AD317" s="11">
        <v>0</v>
      </c>
      <c r="AE317" s="11">
        <v>5</v>
      </c>
      <c r="AF317" s="11">
        <v>2</v>
      </c>
    </row>
    <row r="318" spans="1:32">
      <c r="A318" t="s">
        <v>32</v>
      </c>
      <c r="B318">
        <v>2023</v>
      </c>
      <c r="C318" t="str">
        <f t="shared" si="13"/>
        <v>2023-Q1</v>
      </c>
      <c r="D318" t="s">
        <v>53</v>
      </c>
      <c r="E318" t="str">
        <f t="shared" si="12"/>
        <v>North West</v>
      </c>
      <c r="F318" s="5">
        <v>13</v>
      </c>
      <c r="G318" s="5">
        <v>10</v>
      </c>
      <c r="H318" s="5">
        <v>0</v>
      </c>
      <c r="I318" s="5">
        <v>23</v>
      </c>
      <c r="J318" s="5">
        <v>143</v>
      </c>
      <c r="K318" s="5">
        <v>29</v>
      </c>
      <c r="L318" s="5">
        <v>172</v>
      </c>
      <c r="M318" s="5">
        <v>206</v>
      </c>
      <c r="N318" s="6">
        <f t="shared" si="14"/>
        <v>0.16860465116279069</v>
      </c>
      <c r="O318" s="11">
        <v>18</v>
      </c>
      <c r="P318" s="11">
        <v>0</v>
      </c>
      <c r="Q318" s="11">
        <v>1</v>
      </c>
      <c r="R318" s="11">
        <v>0</v>
      </c>
      <c r="S318" s="11">
        <v>0</v>
      </c>
      <c r="T318" s="11">
        <v>1</v>
      </c>
      <c r="U318" s="11">
        <v>0</v>
      </c>
      <c r="V318" s="11">
        <v>1</v>
      </c>
      <c r="W318" s="11">
        <v>1</v>
      </c>
      <c r="X318" s="11">
        <v>0</v>
      </c>
      <c r="Y318" s="11">
        <v>1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2</v>
      </c>
      <c r="AF318" s="11">
        <v>0</v>
      </c>
    </row>
    <row r="319" spans="1:32">
      <c r="A319" t="s">
        <v>32</v>
      </c>
      <c r="B319">
        <v>2023</v>
      </c>
      <c r="C319" t="str">
        <f t="shared" si="13"/>
        <v>2023-Q1</v>
      </c>
      <c r="D319" t="s">
        <v>54</v>
      </c>
      <c r="E319" t="str">
        <f t="shared" si="12"/>
        <v>North West</v>
      </c>
      <c r="F319" s="5">
        <v>9</v>
      </c>
      <c r="G319" s="5">
        <v>18</v>
      </c>
      <c r="H319" s="5">
        <v>0</v>
      </c>
      <c r="I319" s="5">
        <v>27</v>
      </c>
      <c r="J319" s="5">
        <v>128</v>
      </c>
      <c r="K319" s="5">
        <v>62</v>
      </c>
      <c r="L319" s="5">
        <v>190</v>
      </c>
      <c r="M319" s="5">
        <v>252</v>
      </c>
      <c r="N319" s="6">
        <f t="shared" si="14"/>
        <v>0.32631578947368423</v>
      </c>
      <c r="O319" s="11">
        <v>25</v>
      </c>
      <c r="P319" s="11">
        <v>0</v>
      </c>
      <c r="Q319" s="11">
        <v>0</v>
      </c>
      <c r="R319" s="11">
        <v>0</v>
      </c>
      <c r="S319" s="11">
        <v>0</v>
      </c>
      <c r="T319" s="11">
        <v>1</v>
      </c>
      <c r="U319" s="11">
        <v>0</v>
      </c>
      <c r="V319" s="11">
        <v>1</v>
      </c>
      <c r="W319" s="11">
        <v>2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1</v>
      </c>
      <c r="AF319" s="11">
        <v>1</v>
      </c>
    </row>
    <row r="320" spans="1:32">
      <c r="A320" t="s">
        <v>32</v>
      </c>
      <c r="B320">
        <v>2023</v>
      </c>
      <c r="C320" t="str">
        <f t="shared" si="13"/>
        <v>2023-Q1</v>
      </c>
      <c r="D320" t="s">
        <v>55</v>
      </c>
      <c r="E320" t="str">
        <f t="shared" si="12"/>
        <v>North Central</v>
      </c>
      <c r="F320" s="5">
        <v>30</v>
      </c>
      <c r="G320" s="5">
        <v>61</v>
      </c>
      <c r="H320" s="5">
        <v>6</v>
      </c>
      <c r="I320" s="5">
        <v>97</v>
      </c>
      <c r="J320" s="5">
        <v>313</v>
      </c>
      <c r="K320" s="5">
        <v>64</v>
      </c>
      <c r="L320" s="5">
        <v>377</v>
      </c>
      <c r="M320" s="5">
        <v>718</v>
      </c>
      <c r="N320" s="6">
        <f t="shared" si="14"/>
        <v>0.16976127320954906</v>
      </c>
      <c r="O320" s="11">
        <v>73</v>
      </c>
      <c r="P320" s="11">
        <v>1</v>
      </c>
      <c r="Q320" s="11">
        <v>12</v>
      </c>
      <c r="R320" s="11">
        <v>7</v>
      </c>
      <c r="S320" s="11">
        <v>9</v>
      </c>
      <c r="T320" s="11">
        <v>0</v>
      </c>
      <c r="U320" s="11">
        <v>0</v>
      </c>
      <c r="V320" s="11">
        <v>13</v>
      </c>
      <c r="W320" s="11">
        <v>2</v>
      </c>
      <c r="X320" s="11">
        <v>0</v>
      </c>
      <c r="Y320" s="11">
        <v>8</v>
      </c>
      <c r="Z320" s="11">
        <v>0</v>
      </c>
      <c r="AA320" s="11">
        <v>1</v>
      </c>
      <c r="AB320" s="11">
        <v>0</v>
      </c>
      <c r="AC320" s="11">
        <v>0</v>
      </c>
      <c r="AD320" s="11">
        <v>1</v>
      </c>
      <c r="AE320" s="11">
        <v>0</v>
      </c>
      <c r="AF320" s="11">
        <v>4</v>
      </c>
    </row>
    <row r="321" spans="1:32">
      <c r="A321" t="s">
        <v>32</v>
      </c>
      <c r="B321">
        <v>2023</v>
      </c>
      <c r="C321" t="str">
        <f t="shared" si="13"/>
        <v>2023-Q1</v>
      </c>
      <c r="D321" t="s">
        <v>56</v>
      </c>
      <c r="E321" t="str">
        <f t="shared" si="12"/>
        <v>North Central</v>
      </c>
      <c r="F321" s="5">
        <v>28</v>
      </c>
      <c r="G321" s="5">
        <v>60</v>
      </c>
      <c r="H321" s="5">
        <v>3</v>
      </c>
      <c r="I321" s="5">
        <v>91</v>
      </c>
      <c r="J321" s="5">
        <v>328</v>
      </c>
      <c r="K321" s="5">
        <v>54</v>
      </c>
      <c r="L321" s="5">
        <v>382</v>
      </c>
      <c r="M321" s="5">
        <v>663</v>
      </c>
      <c r="N321" s="6">
        <f t="shared" si="14"/>
        <v>0.14136125654450263</v>
      </c>
      <c r="O321" s="11">
        <v>88</v>
      </c>
      <c r="P321" s="11">
        <v>0</v>
      </c>
      <c r="Q321" s="11">
        <v>11</v>
      </c>
      <c r="R321" s="11">
        <v>8</v>
      </c>
      <c r="S321" s="11">
        <v>5</v>
      </c>
      <c r="T321" s="11">
        <v>0</v>
      </c>
      <c r="U321" s="11">
        <v>0</v>
      </c>
      <c r="V321" s="11">
        <v>16</v>
      </c>
      <c r="W321" s="11">
        <v>1</v>
      </c>
      <c r="X321" s="11">
        <v>0</v>
      </c>
      <c r="Y321" s="11">
        <v>3</v>
      </c>
      <c r="Z321" s="11">
        <v>1</v>
      </c>
      <c r="AA321" s="11">
        <v>0</v>
      </c>
      <c r="AB321" s="11">
        <v>1</v>
      </c>
      <c r="AC321" s="11">
        <v>0</v>
      </c>
      <c r="AD321" s="11">
        <v>0</v>
      </c>
      <c r="AE321" s="11">
        <v>2</v>
      </c>
      <c r="AF321" s="11">
        <v>3</v>
      </c>
    </row>
    <row r="322" spans="1:32">
      <c r="A322" t="s">
        <v>32</v>
      </c>
      <c r="B322">
        <v>2023</v>
      </c>
      <c r="C322" t="str">
        <f t="shared" si="13"/>
        <v>2023-Q1</v>
      </c>
      <c r="D322" t="s">
        <v>57</v>
      </c>
      <c r="E322" t="str">
        <f t="shared" ref="E322:E385" si="15">IF(OR(D322="Adamawa", D322="Bauchi", D322="Borno", D322="Gombe", D322="Taraba", D322="Yobe"), "North East",
IF(OR(D322="Jigawa", D322="Kaduna", D322="Kano", D322="Katsina", D322="Kebbi", D322="Sokoto", D322="Zamfara"), "North West",
IF(OR(D322="Benue", D322="Kogi", D322="Kwara", D322="Nasarawa", D322="Niger", D322="Plateau", D322="FCT"), "North Central",
IF(OR(D322="Abia", D322="Anambra", D322="Ebonyi", D322="Enugu", D322="Imo"), "South East",
IF(OR(D322="Akwa Ibom", D322="Bayelsa", D322="Cross River", D322="Delta", D322="Edo", D322="Rivers"), "South South",
IF(OR(D322="Ekiti", D322="Lagos", D322="Ogun", D322="Ondo", D322="Osun", D322="Oyo"), "South West",
"Zone Not Found"))))))</f>
        <v>South West</v>
      </c>
      <c r="F322" s="5">
        <v>18</v>
      </c>
      <c r="G322" s="5">
        <v>60</v>
      </c>
      <c r="H322" s="5">
        <v>35</v>
      </c>
      <c r="I322" s="5">
        <v>113</v>
      </c>
      <c r="J322" s="5">
        <v>230</v>
      </c>
      <c r="K322" s="5">
        <v>40</v>
      </c>
      <c r="L322" s="5">
        <v>270</v>
      </c>
      <c r="M322" s="5">
        <v>613</v>
      </c>
      <c r="N322" s="6">
        <f t="shared" si="14"/>
        <v>0.14814814814814814</v>
      </c>
      <c r="O322" s="11">
        <v>66</v>
      </c>
      <c r="P322" s="11">
        <v>0</v>
      </c>
      <c r="Q322" s="11">
        <v>3</v>
      </c>
      <c r="R322" s="11">
        <v>8</v>
      </c>
      <c r="S322" s="11">
        <v>12</v>
      </c>
      <c r="T322" s="11">
        <v>0</v>
      </c>
      <c r="U322" s="11">
        <v>0</v>
      </c>
      <c r="V322" s="11">
        <v>9</v>
      </c>
      <c r="W322" s="11">
        <v>1</v>
      </c>
      <c r="X322" s="11">
        <v>0</v>
      </c>
      <c r="Y322" s="11">
        <v>4</v>
      </c>
      <c r="Z322" s="11">
        <v>0</v>
      </c>
      <c r="AA322" s="11">
        <v>0</v>
      </c>
      <c r="AB322" s="11">
        <v>0</v>
      </c>
      <c r="AC322" s="11">
        <v>0</v>
      </c>
      <c r="AD322" s="11">
        <v>1</v>
      </c>
      <c r="AE322" s="11">
        <v>0</v>
      </c>
      <c r="AF322" s="11">
        <v>9</v>
      </c>
    </row>
    <row r="323" spans="1:32">
      <c r="A323" t="s">
        <v>32</v>
      </c>
      <c r="B323">
        <v>2023</v>
      </c>
      <c r="C323" t="str">
        <f t="shared" ref="C323:C386" si="16">B323&amp;"-"&amp;A323</f>
        <v>2023-Q1</v>
      </c>
      <c r="D323" t="s">
        <v>58</v>
      </c>
      <c r="E323" t="str">
        <f t="shared" si="15"/>
        <v>North Central</v>
      </c>
      <c r="F323" s="5">
        <v>18</v>
      </c>
      <c r="G323" s="5">
        <v>118</v>
      </c>
      <c r="H323" s="5">
        <v>7</v>
      </c>
      <c r="I323" s="5">
        <v>143</v>
      </c>
      <c r="J323" s="5">
        <v>315</v>
      </c>
      <c r="K323" s="5">
        <v>23</v>
      </c>
      <c r="L323" s="5">
        <v>338</v>
      </c>
      <c r="M323" s="5">
        <v>565</v>
      </c>
      <c r="N323" s="6">
        <f t="shared" ref="N323:N386" si="17">K323/L323</f>
        <v>6.8047337278106509E-2</v>
      </c>
      <c r="O323" s="11">
        <v>73</v>
      </c>
      <c r="P323" s="11">
        <v>0</v>
      </c>
      <c r="Q323" s="11">
        <v>4</v>
      </c>
      <c r="R323" s="11">
        <v>5</v>
      </c>
      <c r="S323" s="11">
        <v>4</v>
      </c>
      <c r="T323" s="11">
        <v>4</v>
      </c>
      <c r="U323" s="11">
        <v>0</v>
      </c>
      <c r="V323" s="11">
        <v>19</v>
      </c>
      <c r="W323" s="11">
        <v>16</v>
      </c>
      <c r="X323" s="11">
        <v>0</v>
      </c>
      <c r="Y323" s="11">
        <v>9</v>
      </c>
      <c r="Z323" s="11">
        <v>1</v>
      </c>
      <c r="AA323" s="11">
        <v>0</v>
      </c>
      <c r="AB323" s="11">
        <v>0</v>
      </c>
      <c r="AC323" s="11">
        <v>0</v>
      </c>
      <c r="AD323" s="11">
        <v>0</v>
      </c>
      <c r="AE323" s="11">
        <v>34</v>
      </c>
      <c r="AF323" s="11">
        <v>14</v>
      </c>
    </row>
    <row r="324" spans="1:32">
      <c r="A324" t="s">
        <v>32</v>
      </c>
      <c r="B324">
        <v>2023</v>
      </c>
      <c r="C324" t="str">
        <f t="shared" si="16"/>
        <v>2023-Q1</v>
      </c>
      <c r="D324" t="s">
        <v>59</v>
      </c>
      <c r="E324" t="str">
        <f t="shared" si="15"/>
        <v>North Central</v>
      </c>
      <c r="F324" s="5">
        <v>34</v>
      </c>
      <c r="G324" s="5">
        <v>83</v>
      </c>
      <c r="H324" s="5">
        <v>6</v>
      </c>
      <c r="I324" s="5">
        <v>123</v>
      </c>
      <c r="J324" s="5">
        <v>407</v>
      </c>
      <c r="K324" s="5">
        <v>94</v>
      </c>
      <c r="L324" s="5">
        <v>501</v>
      </c>
      <c r="M324" s="5">
        <v>895</v>
      </c>
      <c r="N324" s="6">
        <f t="shared" si="17"/>
        <v>0.18762475049900199</v>
      </c>
      <c r="O324" s="11">
        <v>103</v>
      </c>
      <c r="P324" s="11">
        <v>0</v>
      </c>
      <c r="Q324" s="11">
        <v>5</v>
      </c>
      <c r="R324" s="11">
        <v>1</v>
      </c>
      <c r="S324" s="11">
        <v>7</v>
      </c>
      <c r="T324" s="11">
        <v>3</v>
      </c>
      <c r="U324" s="11">
        <v>2</v>
      </c>
      <c r="V324" s="11">
        <v>13</v>
      </c>
      <c r="W324" s="11">
        <v>6</v>
      </c>
      <c r="X324" s="11">
        <v>0</v>
      </c>
      <c r="Y324" s="11">
        <v>2</v>
      </c>
      <c r="Z324" s="11">
        <v>1</v>
      </c>
      <c r="AA324" s="11">
        <v>0</v>
      </c>
      <c r="AB324" s="11">
        <v>0</v>
      </c>
      <c r="AC324" s="11">
        <v>1</v>
      </c>
      <c r="AD324" s="11">
        <v>3</v>
      </c>
      <c r="AE324" s="11">
        <v>4</v>
      </c>
      <c r="AF324" s="11">
        <v>10</v>
      </c>
    </row>
    <row r="325" spans="1:32">
      <c r="A325" t="s">
        <v>32</v>
      </c>
      <c r="B325">
        <v>2023</v>
      </c>
      <c r="C325" t="str">
        <f t="shared" si="16"/>
        <v>2023-Q1</v>
      </c>
      <c r="D325" t="s">
        <v>60</v>
      </c>
      <c r="E325" t="str">
        <f t="shared" si="15"/>
        <v>South West</v>
      </c>
      <c r="F325" s="5">
        <v>60</v>
      </c>
      <c r="G325" s="5">
        <v>175</v>
      </c>
      <c r="H325" s="5">
        <v>34</v>
      </c>
      <c r="I325" s="5">
        <v>269</v>
      </c>
      <c r="J325" s="5">
        <v>707</v>
      </c>
      <c r="K325" s="5">
        <v>113</v>
      </c>
      <c r="L325" s="5">
        <v>820</v>
      </c>
      <c r="M325" s="5">
        <v>1742</v>
      </c>
      <c r="N325" s="6">
        <f t="shared" si="17"/>
        <v>0.1378048780487805</v>
      </c>
      <c r="O325" s="11">
        <v>320</v>
      </c>
      <c r="P325" s="11">
        <v>0</v>
      </c>
      <c r="Q325" s="11">
        <v>14</v>
      </c>
      <c r="R325" s="11">
        <v>14</v>
      </c>
      <c r="S325" s="11">
        <v>16</v>
      </c>
      <c r="T325" s="11">
        <v>3</v>
      </c>
      <c r="U325" s="11">
        <v>0</v>
      </c>
      <c r="V325" s="11">
        <v>18</v>
      </c>
      <c r="W325" s="11">
        <v>4</v>
      </c>
      <c r="X325" s="11">
        <v>0</v>
      </c>
      <c r="Y325" s="11">
        <v>20</v>
      </c>
      <c r="Z325" s="11">
        <v>5</v>
      </c>
      <c r="AA325" s="11">
        <v>4</v>
      </c>
      <c r="AB325" s="11">
        <v>1</v>
      </c>
      <c r="AC325" s="11">
        <v>0</v>
      </c>
      <c r="AD325" s="11">
        <v>6</v>
      </c>
      <c r="AE325" s="11">
        <v>7</v>
      </c>
      <c r="AF325" s="11">
        <v>25</v>
      </c>
    </row>
    <row r="326" spans="1:32">
      <c r="A326" t="s">
        <v>32</v>
      </c>
      <c r="B326">
        <v>2023</v>
      </c>
      <c r="C326" t="str">
        <f t="shared" si="16"/>
        <v>2023-Q1</v>
      </c>
      <c r="D326" t="s">
        <v>61</v>
      </c>
      <c r="E326" t="str">
        <f t="shared" si="15"/>
        <v>South West</v>
      </c>
      <c r="F326" s="5">
        <v>23</v>
      </c>
      <c r="G326" s="5">
        <v>71</v>
      </c>
      <c r="H326" s="5">
        <v>5</v>
      </c>
      <c r="I326" s="5">
        <v>99</v>
      </c>
      <c r="J326" s="5">
        <v>239</v>
      </c>
      <c r="K326" s="5">
        <v>43</v>
      </c>
      <c r="L326" s="5">
        <v>282</v>
      </c>
      <c r="M326" s="5">
        <v>618</v>
      </c>
      <c r="N326" s="6">
        <f t="shared" si="17"/>
        <v>0.1524822695035461</v>
      </c>
      <c r="O326" s="11">
        <v>70</v>
      </c>
      <c r="P326" s="11">
        <v>1</v>
      </c>
      <c r="Q326" s="11">
        <v>12</v>
      </c>
      <c r="R326" s="11">
        <v>0</v>
      </c>
      <c r="S326" s="11">
        <v>4</v>
      </c>
      <c r="T326" s="11">
        <v>0</v>
      </c>
      <c r="U326" s="11">
        <v>0</v>
      </c>
      <c r="V326" s="11">
        <v>1</v>
      </c>
      <c r="W326" s="11">
        <v>12</v>
      </c>
      <c r="X326" s="11">
        <v>1</v>
      </c>
      <c r="Y326" s="11">
        <v>6</v>
      </c>
      <c r="Z326" s="11">
        <v>1</v>
      </c>
      <c r="AA326" s="11">
        <v>1</v>
      </c>
      <c r="AB326" s="11">
        <v>0</v>
      </c>
      <c r="AC326" s="11">
        <v>0</v>
      </c>
      <c r="AD326" s="11">
        <v>1</v>
      </c>
      <c r="AE326" s="11">
        <v>0</v>
      </c>
      <c r="AF326" s="11">
        <v>2</v>
      </c>
    </row>
    <row r="327" spans="1:32">
      <c r="A327" t="s">
        <v>32</v>
      </c>
      <c r="B327">
        <v>2023</v>
      </c>
      <c r="C327" t="str">
        <f t="shared" si="16"/>
        <v>2023-Q1</v>
      </c>
      <c r="D327" t="s">
        <v>62</v>
      </c>
      <c r="E327" t="str">
        <f t="shared" si="15"/>
        <v>South West</v>
      </c>
      <c r="F327" s="5">
        <v>10</v>
      </c>
      <c r="G327" s="5">
        <v>54</v>
      </c>
      <c r="H327" s="5">
        <v>5</v>
      </c>
      <c r="I327" s="5">
        <v>69</v>
      </c>
      <c r="J327" s="5">
        <v>255</v>
      </c>
      <c r="K327" s="5">
        <v>13</v>
      </c>
      <c r="L327" s="5">
        <v>268</v>
      </c>
      <c r="M327" s="5">
        <v>559</v>
      </c>
      <c r="N327" s="6">
        <f t="shared" si="17"/>
        <v>4.8507462686567165E-2</v>
      </c>
      <c r="O327" s="11">
        <v>53</v>
      </c>
      <c r="P327" s="11">
        <v>0</v>
      </c>
      <c r="Q327" s="11">
        <v>11</v>
      </c>
      <c r="R327" s="11">
        <v>2</v>
      </c>
      <c r="S327" s="11">
        <v>0</v>
      </c>
      <c r="T327" s="11">
        <v>0</v>
      </c>
      <c r="U327" s="11">
        <v>4</v>
      </c>
      <c r="V327" s="11">
        <v>2</v>
      </c>
      <c r="W327" s="11">
        <v>1</v>
      </c>
      <c r="X327" s="11">
        <v>0</v>
      </c>
      <c r="Y327" s="11">
        <v>8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2</v>
      </c>
    </row>
    <row r="328" spans="1:32">
      <c r="A328" t="s">
        <v>32</v>
      </c>
      <c r="B328">
        <v>2023</v>
      </c>
      <c r="C328" t="str">
        <f t="shared" si="16"/>
        <v>2023-Q1</v>
      </c>
      <c r="D328" t="s">
        <v>63</v>
      </c>
      <c r="E328" t="str">
        <f t="shared" si="15"/>
        <v>South West</v>
      </c>
      <c r="F328" s="5">
        <v>32</v>
      </c>
      <c r="G328" s="5">
        <v>69</v>
      </c>
      <c r="H328" s="5">
        <v>5</v>
      </c>
      <c r="I328" s="5">
        <v>106</v>
      </c>
      <c r="J328" s="5">
        <v>247</v>
      </c>
      <c r="K328" s="5">
        <v>53</v>
      </c>
      <c r="L328" s="5">
        <v>300</v>
      </c>
      <c r="M328" s="5">
        <v>591</v>
      </c>
      <c r="N328" s="6">
        <f t="shared" si="17"/>
        <v>0.17666666666666667</v>
      </c>
      <c r="O328" s="11">
        <v>84</v>
      </c>
      <c r="P328" s="11">
        <v>0</v>
      </c>
      <c r="Q328" s="11">
        <v>8</v>
      </c>
      <c r="R328" s="11">
        <v>5</v>
      </c>
      <c r="S328" s="11">
        <v>9</v>
      </c>
      <c r="T328" s="11">
        <v>2</v>
      </c>
      <c r="U328" s="11">
        <v>3</v>
      </c>
      <c r="V328" s="11">
        <v>6</v>
      </c>
      <c r="W328" s="11">
        <v>12</v>
      </c>
      <c r="X328" s="11">
        <v>2</v>
      </c>
      <c r="Y328" s="11">
        <v>3</v>
      </c>
      <c r="Z328" s="11">
        <v>0</v>
      </c>
      <c r="AA328" s="11">
        <v>0</v>
      </c>
      <c r="AB328" s="11">
        <v>0</v>
      </c>
      <c r="AC328" s="11">
        <v>0</v>
      </c>
      <c r="AD328" s="11">
        <v>1</v>
      </c>
      <c r="AE328" s="11">
        <v>0</v>
      </c>
      <c r="AF328" s="11">
        <v>1</v>
      </c>
    </row>
    <row r="329" spans="1:32">
      <c r="A329" t="s">
        <v>32</v>
      </c>
      <c r="B329">
        <v>2023</v>
      </c>
      <c r="C329" t="str">
        <f t="shared" si="16"/>
        <v>2023-Q1</v>
      </c>
      <c r="D329" t="s">
        <v>64</v>
      </c>
      <c r="E329" t="str">
        <f t="shared" si="15"/>
        <v>North Central</v>
      </c>
      <c r="F329" s="5">
        <v>23</v>
      </c>
      <c r="G329" s="5">
        <v>70</v>
      </c>
      <c r="H329" s="5">
        <v>7</v>
      </c>
      <c r="I329" s="5">
        <v>100</v>
      </c>
      <c r="J329" s="5">
        <v>420</v>
      </c>
      <c r="K329" s="5">
        <v>55</v>
      </c>
      <c r="L329" s="5">
        <v>475</v>
      </c>
      <c r="M329" s="5">
        <v>824</v>
      </c>
      <c r="N329" s="6">
        <f t="shared" si="17"/>
        <v>0.11578947368421053</v>
      </c>
      <c r="O329" s="11">
        <v>42</v>
      </c>
      <c r="P329" s="11">
        <v>0</v>
      </c>
      <c r="Q329" s="11">
        <v>1</v>
      </c>
      <c r="R329" s="11">
        <v>18</v>
      </c>
      <c r="S329" s="11">
        <v>11</v>
      </c>
      <c r="T329" s="11">
        <v>2</v>
      </c>
      <c r="U329" s="11">
        <v>1</v>
      </c>
      <c r="V329" s="11">
        <v>13</v>
      </c>
      <c r="W329" s="11">
        <v>18</v>
      </c>
      <c r="X329" s="11">
        <v>0</v>
      </c>
      <c r="Y329" s="11">
        <v>0</v>
      </c>
      <c r="Z329" s="11">
        <v>3</v>
      </c>
      <c r="AA329" s="11">
        <v>0</v>
      </c>
      <c r="AB329" s="11">
        <v>0</v>
      </c>
      <c r="AC329" s="11">
        <v>0</v>
      </c>
      <c r="AD329" s="11">
        <v>0</v>
      </c>
      <c r="AE329" s="11">
        <v>2</v>
      </c>
      <c r="AF329" s="11">
        <v>9</v>
      </c>
    </row>
    <row r="330" spans="1:32">
      <c r="A330" t="s">
        <v>32</v>
      </c>
      <c r="B330">
        <v>2023</v>
      </c>
      <c r="C330" t="str">
        <f t="shared" si="16"/>
        <v>2023-Q1</v>
      </c>
      <c r="D330" t="s">
        <v>65</v>
      </c>
      <c r="E330" t="str">
        <f t="shared" si="15"/>
        <v>South South</v>
      </c>
      <c r="F330" s="5">
        <v>5</v>
      </c>
      <c r="G330" s="5">
        <v>8</v>
      </c>
      <c r="H330" s="5">
        <v>5</v>
      </c>
      <c r="I330" s="5">
        <v>18</v>
      </c>
      <c r="J330" s="5">
        <v>37</v>
      </c>
      <c r="K330" s="5">
        <v>9</v>
      </c>
      <c r="L330" s="5">
        <v>46</v>
      </c>
      <c r="M330" s="5">
        <v>80</v>
      </c>
      <c r="N330" s="6">
        <f t="shared" si="17"/>
        <v>0.19565217391304349</v>
      </c>
      <c r="O330" s="11">
        <v>16</v>
      </c>
      <c r="P330" s="11">
        <v>0</v>
      </c>
      <c r="Q330" s="11">
        <v>0</v>
      </c>
      <c r="R330" s="11">
        <v>0</v>
      </c>
      <c r="S330" s="11">
        <v>1</v>
      </c>
      <c r="T330" s="11">
        <v>0</v>
      </c>
      <c r="U330" s="11">
        <v>0</v>
      </c>
      <c r="V330" s="11">
        <v>0</v>
      </c>
      <c r="W330" s="11">
        <v>1</v>
      </c>
      <c r="X330" s="11">
        <v>0</v>
      </c>
      <c r="Y330" s="11">
        <v>2</v>
      </c>
      <c r="Z330" s="11">
        <v>0</v>
      </c>
      <c r="AA330" s="11">
        <v>0</v>
      </c>
      <c r="AB330" s="11">
        <v>1</v>
      </c>
      <c r="AC330" s="11">
        <v>0</v>
      </c>
      <c r="AD330" s="11">
        <v>0</v>
      </c>
      <c r="AE330" s="11">
        <v>0</v>
      </c>
      <c r="AF330" s="11">
        <v>0</v>
      </c>
    </row>
    <row r="331" spans="1:32">
      <c r="A331" t="s">
        <v>32</v>
      </c>
      <c r="B331">
        <v>2023</v>
      </c>
      <c r="C331" t="str">
        <f t="shared" si="16"/>
        <v>2023-Q1</v>
      </c>
      <c r="D331" t="s">
        <v>66</v>
      </c>
      <c r="E331" t="str">
        <f t="shared" si="15"/>
        <v>North West</v>
      </c>
      <c r="F331" s="5">
        <v>9</v>
      </c>
      <c r="G331" s="5">
        <v>9</v>
      </c>
      <c r="H331" s="5">
        <v>0</v>
      </c>
      <c r="I331" s="5">
        <v>18</v>
      </c>
      <c r="J331" s="5">
        <v>69</v>
      </c>
      <c r="K331" s="5">
        <v>40</v>
      </c>
      <c r="L331" s="5">
        <v>109</v>
      </c>
      <c r="M331" s="5">
        <v>148</v>
      </c>
      <c r="N331" s="6">
        <f t="shared" si="17"/>
        <v>0.3669724770642202</v>
      </c>
      <c r="O331" s="11">
        <v>14</v>
      </c>
      <c r="P331" s="11">
        <v>0</v>
      </c>
      <c r="Q331" s="11">
        <v>1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3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2</v>
      </c>
      <c r="AF331" s="11">
        <v>3</v>
      </c>
    </row>
    <row r="332" spans="1:32">
      <c r="A332" t="s">
        <v>32</v>
      </c>
      <c r="B332">
        <v>2023</v>
      </c>
      <c r="C332" t="str">
        <f t="shared" si="16"/>
        <v>2023-Q1</v>
      </c>
      <c r="D332" t="s">
        <v>67</v>
      </c>
      <c r="E332" t="str">
        <f t="shared" si="15"/>
        <v>North East</v>
      </c>
      <c r="F332" s="5">
        <v>8</v>
      </c>
      <c r="G332" s="5">
        <v>47</v>
      </c>
      <c r="H332" s="5">
        <v>0</v>
      </c>
      <c r="I332" s="5">
        <v>55</v>
      </c>
      <c r="J332" s="5">
        <v>201</v>
      </c>
      <c r="K332" s="5">
        <v>24</v>
      </c>
      <c r="L332" s="5">
        <v>225</v>
      </c>
      <c r="M332" s="5">
        <v>397</v>
      </c>
      <c r="N332" s="6">
        <f t="shared" si="17"/>
        <v>0.10666666666666667</v>
      </c>
      <c r="O332" s="11">
        <v>9</v>
      </c>
      <c r="P332" s="11">
        <v>0</v>
      </c>
      <c r="Q332" s="11">
        <v>3</v>
      </c>
      <c r="R332" s="11">
        <v>0</v>
      </c>
      <c r="S332" s="11">
        <v>0</v>
      </c>
      <c r="T332" s="11">
        <v>0</v>
      </c>
      <c r="U332" s="11">
        <v>0</v>
      </c>
      <c r="V332" s="11">
        <v>3</v>
      </c>
      <c r="W332" s="11">
        <v>14</v>
      </c>
      <c r="X332" s="11">
        <v>0</v>
      </c>
      <c r="Y332" s="11">
        <v>3</v>
      </c>
      <c r="Z332" s="11">
        <v>1</v>
      </c>
      <c r="AA332" s="11">
        <v>0</v>
      </c>
      <c r="AB332" s="11">
        <v>0</v>
      </c>
      <c r="AC332" s="11">
        <v>0</v>
      </c>
      <c r="AD332" s="11">
        <v>0</v>
      </c>
      <c r="AE332" s="11">
        <v>21</v>
      </c>
      <c r="AF332" s="11">
        <v>2</v>
      </c>
    </row>
    <row r="333" spans="1:32">
      <c r="A333" t="s">
        <v>32</v>
      </c>
      <c r="B333">
        <v>2023</v>
      </c>
      <c r="C333" t="str">
        <f t="shared" si="16"/>
        <v>2023-Q1</v>
      </c>
      <c r="D333" t="s">
        <v>68</v>
      </c>
      <c r="E333" t="str">
        <f t="shared" si="15"/>
        <v>North East</v>
      </c>
      <c r="F333" s="5">
        <v>14</v>
      </c>
      <c r="G333" s="5">
        <v>23</v>
      </c>
      <c r="H333" s="5">
        <v>1</v>
      </c>
      <c r="I333" s="5">
        <v>38</v>
      </c>
      <c r="J333" s="5">
        <v>215</v>
      </c>
      <c r="K333" s="5">
        <v>26</v>
      </c>
      <c r="L333" s="5">
        <v>241</v>
      </c>
      <c r="M333" s="5">
        <v>338</v>
      </c>
      <c r="N333" s="6">
        <f t="shared" si="17"/>
        <v>0.1078838174273859</v>
      </c>
      <c r="O333" s="11">
        <v>36</v>
      </c>
      <c r="P333" s="11">
        <v>0</v>
      </c>
      <c r="Q333" s="11">
        <v>6</v>
      </c>
      <c r="R333" s="11">
        <v>5</v>
      </c>
      <c r="S333" s="11">
        <v>0</v>
      </c>
      <c r="T333" s="11">
        <v>1</v>
      </c>
      <c r="U333" s="11">
        <v>0</v>
      </c>
      <c r="V333" s="11">
        <v>3</v>
      </c>
      <c r="W333" s="11">
        <v>1</v>
      </c>
      <c r="X333" s="11">
        <v>0</v>
      </c>
      <c r="Y333" s="11">
        <v>2</v>
      </c>
      <c r="Z333" s="11">
        <v>0</v>
      </c>
      <c r="AA333" s="11">
        <v>1</v>
      </c>
      <c r="AB333" s="11">
        <v>0</v>
      </c>
      <c r="AC333" s="11">
        <v>0</v>
      </c>
      <c r="AD333" s="11">
        <v>0</v>
      </c>
      <c r="AE333" s="11">
        <v>0</v>
      </c>
      <c r="AF333" s="11">
        <v>2</v>
      </c>
    </row>
    <row r="334" spans="1:32">
      <c r="A334" t="s">
        <v>32</v>
      </c>
      <c r="B334">
        <v>2023</v>
      </c>
      <c r="C334" t="str">
        <f t="shared" si="16"/>
        <v>2023-Q1</v>
      </c>
      <c r="D334" t="s">
        <v>69</v>
      </c>
      <c r="E334" t="str">
        <f t="shared" si="15"/>
        <v>North West</v>
      </c>
      <c r="F334" s="5">
        <v>8</v>
      </c>
      <c r="G334" s="5">
        <v>12</v>
      </c>
      <c r="H334" s="5">
        <v>0</v>
      </c>
      <c r="I334" s="5">
        <v>20</v>
      </c>
      <c r="J334" s="5">
        <v>113</v>
      </c>
      <c r="K334" s="5">
        <v>14</v>
      </c>
      <c r="L334" s="5">
        <v>127</v>
      </c>
      <c r="M334" s="5">
        <v>189</v>
      </c>
      <c r="N334" s="6">
        <f t="shared" si="17"/>
        <v>0.11023622047244094</v>
      </c>
      <c r="O334" s="11">
        <v>14</v>
      </c>
      <c r="P334" s="11">
        <v>0</v>
      </c>
      <c r="Q334" s="11">
        <v>0</v>
      </c>
      <c r="R334" s="11">
        <v>0</v>
      </c>
      <c r="S334" s="11">
        <v>0</v>
      </c>
      <c r="T334" s="11">
        <v>3</v>
      </c>
      <c r="U334" s="11">
        <v>0</v>
      </c>
      <c r="V334" s="11">
        <v>4</v>
      </c>
      <c r="W334" s="11">
        <v>0</v>
      </c>
      <c r="X334" s="11">
        <v>0</v>
      </c>
      <c r="Y334" s="11">
        <v>1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2</v>
      </c>
      <c r="AF334" s="11">
        <v>0</v>
      </c>
    </row>
    <row r="335" spans="1:32">
      <c r="A335" t="s">
        <v>70</v>
      </c>
      <c r="B335">
        <v>2023</v>
      </c>
      <c r="C335" t="str">
        <f t="shared" si="16"/>
        <v>2023-Q2</v>
      </c>
      <c r="D335" t="s">
        <v>33</v>
      </c>
      <c r="E335" t="str">
        <f t="shared" si="15"/>
        <v>South East</v>
      </c>
      <c r="F335" s="5">
        <v>3</v>
      </c>
      <c r="G335" s="5">
        <v>6</v>
      </c>
      <c r="H335" s="5">
        <v>3</v>
      </c>
      <c r="I335" s="5">
        <v>12</v>
      </c>
      <c r="J335" s="5">
        <v>22</v>
      </c>
      <c r="K335" s="5">
        <v>3</v>
      </c>
      <c r="L335" s="5">
        <v>25</v>
      </c>
      <c r="M335" s="5">
        <v>78</v>
      </c>
      <c r="N335" s="6">
        <f t="shared" si="17"/>
        <v>0.12</v>
      </c>
      <c r="O335" s="11">
        <v>2</v>
      </c>
      <c r="P335" s="11">
        <v>0</v>
      </c>
      <c r="Q335" s="11">
        <v>5</v>
      </c>
      <c r="R335" s="11">
        <v>1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3</v>
      </c>
    </row>
    <row r="336" spans="1:32">
      <c r="A336" t="s">
        <v>70</v>
      </c>
      <c r="B336">
        <v>2023</v>
      </c>
      <c r="C336" t="str">
        <f t="shared" si="16"/>
        <v>2023-Q2</v>
      </c>
      <c r="D336" t="s">
        <v>34</v>
      </c>
      <c r="E336" t="str">
        <f t="shared" si="15"/>
        <v>North East</v>
      </c>
      <c r="F336" s="5">
        <v>5</v>
      </c>
      <c r="G336" s="5">
        <v>51</v>
      </c>
      <c r="H336" s="5">
        <v>1</v>
      </c>
      <c r="I336" s="5">
        <v>57</v>
      </c>
      <c r="J336" s="5">
        <v>175</v>
      </c>
      <c r="K336" s="5">
        <v>5</v>
      </c>
      <c r="L336" s="5">
        <v>180</v>
      </c>
      <c r="M336" s="5">
        <v>301</v>
      </c>
      <c r="N336" s="6">
        <f t="shared" si="17"/>
        <v>2.7777777777777776E-2</v>
      </c>
      <c r="O336" s="11">
        <v>39</v>
      </c>
      <c r="P336" s="11">
        <v>0</v>
      </c>
      <c r="Q336" s="11">
        <v>0</v>
      </c>
      <c r="R336" s="11">
        <v>0</v>
      </c>
      <c r="S336" s="11">
        <v>1</v>
      </c>
      <c r="T336" s="11">
        <v>1</v>
      </c>
      <c r="U336" s="11">
        <v>0</v>
      </c>
      <c r="V336" s="11">
        <v>11</v>
      </c>
      <c r="W336" s="11">
        <v>3</v>
      </c>
      <c r="X336" s="11">
        <v>0</v>
      </c>
      <c r="Y336" s="11">
        <v>2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4</v>
      </c>
      <c r="AF336" s="11">
        <v>0</v>
      </c>
    </row>
    <row r="337" spans="1:32">
      <c r="A337" t="s">
        <v>70</v>
      </c>
      <c r="B337">
        <v>2023</v>
      </c>
      <c r="C337" t="str">
        <f t="shared" si="16"/>
        <v>2023-Q2</v>
      </c>
      <c r="D337" t="s">
        <v>35</v>
      </c>
      <c r="E337" t="str">
        <f t="shared" si="15"/>
        <v>South South</v>
      </c>
      <c r="F337" s="5">
        <v>5</v>
      </c>
      <c r="G337" s="5">
        <v>10</v>
      </c>
      <c r="H337" s="5">
        <v>2</v>
      </c>
      <c r="I337" s="5">
        <v>17</v>
      </c>
      <c r="J337" s="5">
        <v>32</v>
      </c>
      <c r="K337" s="5">
        <v>6</v>
      </c>
      <c r="L337" s="5">
        <v>38</v>
      </c>
      <c r="M337" s="5">
        <v>75</v>
      </c>
      <c r="N337" s="6">
        <f t="shared" si="17"/>
        <v>0.15789473684210525</v>
      </c>
      <c r="O337" s="11">
        <v>12</v>
      </c>
      <c r="P337" s="11">
        <v>0</v>
      </c>
      <c r="Q337" s="11">
        <v>0</v>
      </c>
      <c r="R337" s="11">
        <v>0</v>
      </c>
      <c r="S337" s="11">
        <v>2</v>
      </c>
      <c r="T337" s="11">
        <v>0</v>
      </c>
      <c r="U337" s="11">
        <v>0</v>
      </c>
      <c r="V337" s="11">
        <v>1</v>
      </c>
      <c r="W337" s="11">
        <v>3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0</v>
      </c>
      <c r="AF337" s="11">
        <v>1</v>
      </c>
    </row>
    <row r="338" spans="1:32">
      <c r="A338" t="s">
        <v>70</v>
      </c>
      <c r="B338">
        <v>2023</v>
      </c>
      <c r="C338" t="str">
        <f t="shared" si="16"/>
        <v>2023-Q2</v>
      </c>
      <c r="D338" t="s">
        <v>36</v>
      </c>
      <c r="E338" t="str">
        <f t="shared" si="15"/>
        <v>South East</v>
      </c>
      <c r="F338" s="5">
        <v>10</v>
      </c>
      <c r="G338" s="5">
        <v>11</v>
      </c>
      <c r="H338" s="5">
        <v>13</v>
      </c>
      <c r="I338" s="5">
        <v>34</v>
      </c>
      <c r="J338" s="5">
        <v>60</v>
      </c>
      <c r="K338" s="5">
        <v>12</v>
      </c>
      <c r="L338" s="5">
        <v>72</v>
      </c>
      <c r="M338" s="5">
        <v>273</v>
      </c>
      <c r="N338" s="6">
        <f t="shared" si="17"/>
        <v>0.16666666666666666</v>
      </c>
      <c r="O338" s="11">
        <v>11</v>
      </c>
      <c r="P338" s="11">
        <v>0</v>
      </c>
      <c r="Q338" s="11">
        <v>1</v>
      </c>
      <c r="R338" s="11">
        <v>1</v>
      </c>
      <c r="S338" s="11">
        <v>8</v>
      </c>
      <c r="T338" s="11">
        <v>1</v>
      </c>
      <c r="U338" s="11">
        <v>0</v>
      </c>
      <c r="V338" s="11">
        <v>7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1</v>
      </c>
      <c r="AE338" s="11">
        <v>4</v>
      </c>
      <c r="AF338" s="11">
        <v>0</v>
      </c>
    </row>
    <row r="339" spans="1:32">
      <c r="A339" t="s">
        <v>70</v>
      </c>
      <c r="B339">
        <v>2023</v>
      </c>
      <c r="C339" t="str">
        <f t="shared" si="16"/>
        <v>2023-Q2</v>
      </c>
      <c r="D339" t="s">
        <v>37</v>
      </c>
      <c r="E339" t="str">
        <f t="shared" si="15"/>
        <v>North East</v>
      </c>
      <c r="F339" s="5">
        <v>33</v>
      </c>
      <c r="G339" s="5">
        <v>66</v>
      </c>
      <c r="H339" s="5">
        <v>1</v>
      </c>
      <c r="I339" s="5">
        <v>100</v>
      </c>
      <c r="J339" s="5">
        <v>399</v>
      </c>
      <c r="K339" s="5">
        <v>84</v>
      </c>
      <c r="L339" s="5">
        <v>483</v>
      </c>
      <c r="M339" s="5">
        <v>656</v>
      </c>
      <c r="N339" s="6">
        <f t="shared" si="17"/>
        <v>0.17391304347826086</v>
      </c>
      <c r="O339" s="11">
        <v>80</v>
      </c>
      <c r="P339" s="11">
        <v>0</v>
      </c>
      <c r="Q339" s="11">
        <v>21</v>
      </c>
      <c r="R339" s="11">
        <v>8</v>
      </c>
      <c r="S339" s="11">
        <v>0</v>
      </c>
      <c r="T339" s="11">
        <v>1</v>
      </c>
      <c r="U339" s="11">
        <v>0</v>
      </c>
      <c r="V339" s="11">
        <v>8</v>
      </c>
      <c r="W339" s="11">
        <v>4</v>
      </c>
      <c r="X339" s="11">
        <v>0</v>
      </c>
      <c r="Y339" s="11">
        <v>2</v>
      </c>
      <c r="Z339" s="11">
        <v>2</v>
      </c>
      <c r="AA339" s="11">
        <v>0</v>
      </c>
      <c r="AB339" s="11">
        <v>0</v>
      </c>
      <c r="AC339" s="11">
        <v>0</v>
      </c>
      <c r="AD339" s="11">
        <v>0</v>
      </c>
      <c r="AE339" s="11">
        <v>3</v>
      </c>
      <c r="AF339" s="11">
        <v>4</v>
      </c>
    </row>
    <row r="340" spans="1:32">
      <c r="A340" t="s">
        <v>70</v>
      </c>
      <c r="B340">
        <v>2023</v>
      </c>
      <c r="C340" t="str">
        <f t="shared" si="16"/>
        <v>2023-Q2</v>
      </c>
      <c r="D340" t="s">
        <v>38</v>
      </c>
      <c r="E340" t="str">
        <f t="shared" si="15"/>
        <v>South South</v>
      </c>
      <c r="F340" s="5">
        <v>2</v>
      </c>
      <c r="G340" s="5">
        <v>5</v>
      </c>
      <c r="H340" s="5">
        <v>0</v>
      </c>
      <c r="I340" s="5">
        <v>7</v>
      </c>
      <c r="J340" s="5">
        <v>30</v>
      </c>
      <c r="K340" s="5">
        <v>8</v>
      </c>
      <c r="L340" s="5">
        <v>38</v>
      </c>
      <c r="M340" s="5">
        <v>53</v>
      </c>
      <c r="N340" s="6">
        <f t="shared" si="17"/>
        <v>0.21052631578947367</v>
      </c>
      <c r="O340" s="11">
        <v>3</v>
      </c>
      <c r="P340" s="11">
        <v>0</v>
      </c>
      <c r="Q340" s="11">
        <v>2</v>
      </c>
      <c r="R340" s="11">
        <v>0</v>
      </c>
      <c r="S340" s="11">
        <v>0</v>
      </c>
      <c r="T340" s="11">
        <v>1</v>
      </c>
      <c r="U340" s="11">
        <v>0</v>
      </c>
      <c r="V340" s="11">
        <v>3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</row>
    <row r="341" spans="1:32">
      <c r="A341" t="s">
        <v>70</v>
      </c>
      <c r="B341">
        <v>2023</v>
      </c>
      <c r="C341" t="str">
        <f t="shared" si="16"/>
        <v>2023-Q2</v>
      </c>
      <c r="D341" t="s">
        <v>39</v>
      </c>
      <c r="E341" t="str">
        <f t="shared" si="15"/>
        <v>North Central</v>
      </c>
      <c r="F341" s="5">
        <v>19</v>
      </c>
      <c r="G341" s="5">
        <v>38</v>
      </c>
      <c r="H341" s="5">
        <v>0</v>
      </c>
      <c r="I341" s="5">
        <v>57</v>
      </c>
      <c r="J341" s="5">
        <v>156</v>
      </c>
      <c r="K341" s="5">
        <v>29</v>
      </c>
      <c r="L341" s="5">
        <v>185</v>
      </c>
      <c r="M341" s="5">
        <v>302</v>
      </c>
      <c r="N341" s="6">
        <f t="shared" si="17"/>
        <v>0.15675675675675677</v>
      </c>
      <c r="O341" s="11">
        <v>47</v>
      </c>
      <c r="P341" s="11">
        <v>0</v>
      </c>
      <c r="Q341" s="11">
        <v>2</v>
      </c>
      <c r="R341" s="11">
        <v>0</v>
      </c>
      <c r="S341" s="11">
        <v>0</v>
      </c>
      <c r="T341" s="11">
        <v>0</v>
      </c>
      <c r="U341" s="11">
        <v>0</v>
      </c>
      <c r="V341" s="11">
        <v>6</v>
      </c>
      <c r="W341" s="11">
        <v>0</v>
      </c>
      <c r="X341" s="11">
        <v>0</v>
      </c>
      <c r="Y341" s="11">
        <v>1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1</v>
      </c>
    </row>
    <row r="342" spans="1:32">
      <c r="A342" t="s">
        <v>70</v>
      </c>
      <c r="B342">
        <v>2023</v>
      </c>
      <c r="C342" t="str">
        <f t="shared" si="16"/>
        <v>2023-Q2</v>
      </c>
      <c r="D342" t="s">
        <v>40</v>
      </c>
      <c r="E342" t="str">
        <f t="shared" si="15"/>
        <v>North East</v>
      </c>
      <c r="F342" s="5">
        <v>9</v>
      </c>
      <c r="G342" s="5">
        <v>43</v>
      </c>
      <c r="H342" s="5">
        <v>2</v>
      </c>
      <c r="I342" s="5">
        <v>54</v>
      </c>
      <c r="J342" s="5">
        <v>164</v>
      </c>
      <c r="K342" s="5">
        <v>13</v>
      </c>
      <c r="L342" s="5">
        <v>177</v>
      </c>
      <c r="M342" s="5">
        <v>315</v>
      </c>
      <c r="N342" s="6">
        <f t="shared" si="17"/>
        <v>7.3446327683615822E-2</v>
      </c>
      <c r="O342" s="11">
        <v>20</v>
      </c>
      <c r="P342" s="11">
        <v>0</v>
      </c>
      <c r="Q342" s="11">
        <v>10</v>
      </c>
      <c r="R342" s="11">
        <v>2</v>
      </c>
      <c r="S342" s="11">
        <v>0</v>
      </c>
      <c r="T342" s="11">
        <v>0</v>
      </c>
      <c r="U342" s="11">
        <v>0</v>
      </c>
      <c r="V342" s="11">
        <v>5</v>
      </c>
      <c r="W342" s="11">
        <v>3</v>
      </c>
      <c r="X342" s="11">
        <v>0</v>
      </c>
      <c r="Y342" s="11">
        <v>1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13</v>
      </c>
      <c r="AF342" s="11">
        <v>1</v>
      </c>
    </row>
    <row r="343" spans="1:32">
      <c r="A343" t="s">
        <v>70</v>
      </c>
      <c r="B343">
        <v>2023</v>
      </c>
      <c r="C343" t="str">
        <f t="shared" si="16"/>
        <v>2023-Q2</v>
      </c>
      <c r="D343" t="s">
        <v>41</v>
      </c>
      <c r="E343" t="str">
        <f t="shared" si="15"/>
        <v>South South</v>
      </c>
      <c r="F343" s="5">
        <v>9</v>
      </c>
      <c r="G343" s="5">
        <v>15</v>
      </c>
      <c r="H343" s="5">
        <v>3</v>
      </c>
      <c r="I343" s="5">
        <v>27</v>
      </c>
      <c r="J343" s="5">
        <v>85</v>
      </c>
      <c r="K343" s="5">
        <v>22</v>
      </c>
      <c r="L343" s="5">
        <v>107</v>
      </c>
      <c r="M343" s="5">
        <v>206</v>
      </c>
      <c r="N343" s="6">
        <f t="shared" si="17"/>
        <v>0.20560747663551401</v>
      </c>
      <c r="O343" s="11">
        <v>25</v>
      </c>
      <c r="P343" s="11">
        <v>0</v>
      </c>
      <c r="Q343" s="11">
        <v>2</v>
      </c>
      <c r="R343" s="11">
        <v>0</v>
      </c>
      <c r="S343" s="11">
        <v>0</v>
      </c>
      <c r="T343" s="11">
        <v>0</v>
      </c>
      <c r="U343" s="11">
        <v>0</v>
      </c>
      <c r="V343" s="11">
        <v>5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</row>
    <row r="344" spans="1:32">
      <c r="A344" t="s">
        <v>70</v>
      </c>
      <c r="B344">
        <v>2023</v>
      </c>
      <c r="C344" t="str">
        <f t="shared" si="16"/>
        <v>2023-Q2</v>
      </c>
      <c r="D344" t="s">
        <v>42</v>
      </c>
      <c r="E344" t="str">
        <f t="shared" si="15"/>
        <v>South South</v>
      </c>
      <c r="F344" s="5">
        <v>9</v>
      </c>
      <c r="G344" s="5">
        <v>13</v>
      </c>
      <c r="H344" s="5">
        <v>6</v>
      </c>
      <c r="I344" s="5">
        <v>28</v>
      </c>
      <c r="J344" s="5">
        <v>84</v>
      </c>
      <c r="K344" s="5">
        <v>17</v>
      </c>
      <c r="L344" s="5">
        <v>101</v>
      </c>
      <c r="M344" s="5">
        <v>224</v>
      </c>
      <c r="N344" s="6">
        <f t="shared" si="17"/>
        <v>0.16831683168316833</v>
      </c>
      <c r="O344" s="11">
        <v>14</v>
      </c>
      <c r="P344" s="11">
        <v>1</v>
      </c>
      <c r="Q344" s="11">
        <v>6</v>
      </c>
      <c r="R344" s="11">
        <v>0</v>
      </c>
      <c r="S344" s="11">
        <v>6</v>
      </c>
      <c r="T344" s="11">
        <v>0</v>
      </c>
      <c r="U344" s="11">
        <v>0</v>
      </c>
      <c r="V344" s="11">
        <v>4</v>
      </c>
      <c r="W344" s="11">
        <v>1</v>
      </c>
      <c r="X344" s="11">
        <v>0</v>
      </c>
      <c r="Y344" s="11">
        <v>0</v>
      </c>
      <c r="Z344" s="11">
        <v>0</v>
      </c>
      <c r="AA344" s="11">
        <v>2</v>
      </c>
      <c r="AB344" s="11">
        <v>1</v>
      </c>
      <c r="AC344" s="11">
        <v>0</v>
      </c>
      <c r="AD344" s="11">
        <v>0</v>
      </c>
      <c r="AE344" s="11">
        <v>5</v>
      </c>
      <c r="AF344" s="11">
        <v>0</v>
      </c>
    </row>
    <row r="345" spans="1:32">
      <c r="A345" t="s">
        <v>70</v>
      </c>
      <c r="B345">
        <v>2023</v>
      </c>
      <c r="C345" t="str">
        <f t="shared" si="16"/>
        <v>2023-Q2</v>
      </c>
      <c r="D345" t="s">
        <v>43</v>
      </c>
      <c r="E345" t="str">
        <f t="shared" si="15"/>
        <v>South East</v>
      </c>
      <c r="F345" s="5">
        <v>15</v>
      </c>
      <c r="G345" s="5">
        <v>29</v>
      </c>
      <c r="H345" s="5">
        <v>4</v>
      </c>
      <c r="I345" s="5">
        <v>48</v>
      </c>
      <c r="J345" s="5">
        <v>97</v>
      </c>
      <c r="K345" s="5">
        <v>43</v>
      </c>
      <c r="L345" s="5">
        <v>140</v>
      </c>
      <c r="M345" s="5">
        <v>294</v>
      </c>
      <c r="N345" s="6">
        <f t="shared" si="17"/>
        <v>0.30714285714285716</v>
      </c>
      <c r="O345" s="11">
        <v>35</v>
      </c>
      <c r="P345" s="11">
        <v>0</v>
      </c>
      <c r="Q345" s="11">
        <v>4</v>
      </c>
      <c r="R345" s="11">
        <v>1</v>
      </c>
      <c r="S345" s="11">
        <v>2</v>
      </c>
      <c r="T345" s="11">
        <v>1</v>
      </c>
      <c r="U345" s="11">
        <v>0</v>
      </c>
      <c r="V345" s="11">
        <v>2</v>
      </c>
      <c r="W345" s="11">
        <v>2</v>
      </c>
      <c r="X345" s="11">
        <v>0</v>
      </c>
      <c r="Y345" s="11">
        <v>5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1</v>
      </c>
    </row>
    <row r="346" spans="1:32">
      <c r="A346" t="s">
        <v>70</v>
      </c>
      <c r="B346">
        <v>2023</v>
      </c>
      <c r="C346" t="str">
        <f t="shared" si="16"/>
        <v>2023-Q2</v>
      </c>
      <c r="D346" t="s">
        <v>44</v>
      </c>
      <c r="E346" t="str">
        <f t="shared" si="15"/>
        <v>South South</v>
      </c>
      <c r="F346" s="5">
        <v>27</v>
      </c>
      <c r="G346" s="5">
        <v>28</v>
      </c>
      <c r="H346" s="5">
        <v>16</v>
      </c>
      <c r="I346" s="5">
        <v>71</v>
      </c>
      <c r="J346" s="5">
        <v>222</v>
      </c>
      <c r="K346" s="5">
        <v>50</v>
      </c>
      <c r="L346" s="5">
        <v>272</v>
      </c>
      <c r="M346" s="5">
        <v>724</v>
      </c>
      <c r="N346" s="6">
        <f t="shared" si="17"/>
        <v>0.18382352941176472</v>
      </c>
      <c r="O346" s="11">
        <v>35</v>
      </c>
      <c r="P346" s="11">
        <v>0</v>
      </c>
      <c r="Q346" s="11">
        <v>2</v>
      </c>
      <c r="R346" s="11">
        <v>0</v>
      </c>
      <c r="S346" s="11">
        <v>24</v>
      </c>
      <c r="T346" s="11">
        <v>0</v>
      </c>
      <c r="U346" s="11">
        <v>0</v>
      </c>
      <c r="V346" s="11">
        <v>4</v>
      </c>
      <c r="W346" s="11">
        <v>1</v>
      </c>
      <c r="X346" s="11">
        <v>0</v>
      </c>
      <c r="Y346" s="11">
        <v>1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27</v>
      </c>
      <c r="AF346" s="11">
        <v>3</v>
      </c>
    </row>
    <row r="347" spans="1:32">
      <c r="A347" t="s">
        <v>70</v>
      </c>
      <c r="B347">
        <v>2023</v>
      </c>
      <c r="C347" t="str">
        <f t="shared" si="16"/>
        <v>2023-Q2</v>
      </c>
      <c r="D347" t="s">
        <v>45</v>
      </c>
      <c r="E347" t="str">
        <f t="shared" si="15"/>
        <v>South West</v>
      </c>
      <c r="F347" s="5">
        <v>6</v>
      </c>
      <c r="G347" s="5">
        <v>17</v>
      </c>
      <c r="H347" s="5">
        <v>5</v>
      </c>
      <c r="I347" s="5">
        <v>28</v>
      </c>
      <c r="J347" s="5">
        <v>51</v>
      </c>
      <c r="K347" s="5">
        <v>9</v>
      </c>
      <c r="L347" s="5">
        <v>60</v>
      </c>
      <c r="M347" s="5">
        <v>117</v>
      </c>
      <c r="N347" s="6">
        <f t="shared" si="17"/>
        <v>0.15</v>
      </c>
      <c r="O347" s="11">
        <v>38</v>
      </c>
      <c r="P347" s="11">
        <v>2</v>
      </c>
      <c r="Q347" s="11">
        <v>1</v>
      </c>
      <c r="R347" s="11">
        <v>0</v>
      </c>
      <c r="S347" s="11">
        <v>4</v>
      </c>
      <c r="T347" s="11">
        <v>0</v>
      </c>
      <c r="U347" s="11">
        <v>0</v>
      </c>
      <c r="V347" s="11">
        <v>2</v>
      </c>
      <c r="W347" s="11">
        <v>0</v>
      </c>
      <c r="X347" s="11">
        <v>0</v>
      </c>
      <c r="Y347" s="11">
        <v>0</v>
      </c>
      <c r="Z347" s="11">
        <v>1</v>
      </c>
      <c r="AA347" s="11">
        <v>0</v>
      </c>
      <c r="AB347" s="11">
        <v>0</v>
      </c>
      <c r="AC347" s="11">
        <v>0</v>
      </c>
      <c r="AD347" s="11">
        <v>0</v>
      </c>
      <c r="AE347" s="11">
        <v>1</v>
      </c>
      <c r="AF347" s="11">
        <v>2</v>
      </c>
    </row>
    <row r="348" spans="1:32">
      <c r="A348" t="s">
        <v>70</v>
      </c>
      <c r="B348">
        <v>2023</v>
      </c>
      <c r="C348" t="str">
        <f t="shared" si="16"/>
        <v>2023-Q2</v>
      </c>
      <c r="D348" t="s">
        <v>46</v>
      </c>
      <c r="E348" t="str">
        <f t="shared" si="15"/>
        <v>South East</v>
      </c>
      <c r="F348" s="5">
        <v>13</v>
      </c>
      <c r="G348" s="5">
        <v>25</v>
      </c>
      <c r="H348" s="5">
        <v>6</v>
      </c>
      <c r="I348" s="5">
        <v>44</v>
      </c>
      <c r="J348" s="5">
        <v>129</v>
      </c>
      <c r="K348" s="5">
        <v>40</v>
      </c>
      <c r="L348" s="5">
        <v>169</v>
      </c>
      <c r="M348" s="5">
        <v>284</v>
      </c>
      <c r="N348" s="6">
        <f t="shared" si="17"/>
        <v>0.23668639053254437</v>
      </c>
      <c r="O348" s="11">
        <v>26</v>
      </c>
      <c r="P348" s="11">
        <v>0</v>
      </c>
      <c r="Q348" s="11">
        <v>4</v>
      </c>
      <c r="R348" s="11">
        <v>0</v>
      </c>
      <c r="S348" s="11">
        <v>22</v>
      </c>
      <c r="T348" s="11">
        <v>0</v>
      </c>
      <c r="U348" s="11">
        <v>0</v>
      </c>
      <c r="V348" s="11">
        <v>8</v>
      </c>
      <c r="W348" s="11">
        <v>3</v>
      </c>
      <c r="X348" s="11">
        <v>0</v>
      </c>
      <c r="Y348" s="11">
        <v>3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2</v>
      </c>
    </row>
    <row r="349" spans="1:32">
      <c r="A349" t="s">
        <v>70</v>
      </c>
      <c r="B349">
        <v>2023</v>
      </c>
      <c r="C349" t="str">
        <f t="shared" si="16"/>
        <v>2023-Q2</v>
      </c>
      <c r="D349" t="s">
        <v>47</v>
      </c>
      <c r="E349" t="str">
        <f t="shared" si="15"/>
        <v>North Central</v>
      </c>
      <c r="F349" s="5">
        <v>52</v>
      </c>
      <c r="G349" s="5">
        <v>214</v>
      </c>
      <c r="H349" s="5">
        <v>54</v>
      </c>
      <c r="I349" s="5">
        <v>320</v>
      </c>
      <c r="J349" s="5">
        <v>653</v>
      </c>
      <c r="K349" s="5">
        <v>65</v>
      </c>
      <c r="L349" s="5">
        <v>718</v>
      </c>
      <c r="M349" s="5">
        <v>1713</v>
      </c>
      <c r="N349" s="6">
        <f t="shared" si="17"/>
        <v>9.0529247910863503E-2</v>
      </c>
      <c r="O349" s="11">
        <v>285</v>
      </c>
      <c r="P349" s="11">
        <v>1</v>
      </c>
      <c r="Q349" s="11">
        <v>11</v>
      </c>
      <c r="R349" s="11">
        <v>8</v>
      </c>
      <c r="S349" s="11">
        <v>6</v>
      </c>
      <c r="T349" s="11">
        <v>0</v>
      </c>
      <c r="U349" s="11">
        <v>3</v>
      </c>
      <c r="V349" s="11">
        <v>1</v>
      </c>
      <c r="W349" s="11">
        <v>19</v>
      </c>
      <c r="X349" s="11">
        <v>6</v>
      </c>
      <c r="Y349" s="11">
        <v>13</v>
      </c>
      <c r="Z349" s="11">
        <v>8</v>
      </c>
      <c r="AA349" s="11">
        <v>0</v>
      </c>
      <c r="AB349" s="11">
        <v>1</v>
      </c>
      <c r="AC349" s="11">
        <v>2</v>
      </c>
      <c r="AD349" s="11">
        <v>0</v>
      </c>
      <c r="AE349" s="11">
        <v>136</v>
      </c>
      <c r="AF349" s="11">
        <v>2</v>
      </c>
    </row>
    <row r="350" spans="1:32">
      <c r="A350" t="s">
        <v>70</v>
      </c>
      <c r="B350">
        <v>2023</v>
      </c>
      <c r="C350" t="str">
        <f t="shared" si="16"/>
        <v>2023-Q2</v>
      </c>
      <c r="D350" t="s">
        <v>48</v>
      </c>
      <c r="E350" t="str">
        <f t="shared" si="15"/>
        <v>North East</v>
      </c>
      <c r="F350" s="5">
        <v>17</v>
      </c>
      <c r="G350" s="5">
        <v>42</v>
      </c>
      <c r="H350" s="5">
        <v>1</v>
      </c>
      <c r="I350" s="5">
        <v>60</v>
      </c>
      <c r="J350" s="5">
        <v>220</v>
      </c>
      <c r="K350" s="5">
        <v>30</v>
      </c>
      <c r="L350" s="5">
        <v>250</v>
      </c>
      <c r="M350" s="5">
        <v>388</v>
      </c>
      <c r="N350" s="6">
        <f t="shared" si="17"/>
        <v>0.12</v>
      </c>
      <c r="O350" s="11">
        <v>40</v>
      </c>
      <c r="P350" s="11">
        <v>0</v>
      </c>
      <c r="Q350" s="11">
        <v>4</v>
      </c>
      <c r="R350" s="11">
        <v>2</v>
      </c>
      <c r="S350" s="11">
        <v>2</v>
      </c>
      <c r="T350" s="11">
        <v>0</v>
      </c>
      <c r="U350" s="11">
        <v>0</v>
      </c>
      <c r="V350" s="11">
        <v>4</v>
      </c>
      <c r="W350" s="11">
        <v>11</v>
      </c>
      <c r="X350" s="11">
        <v>0</v>
      </c>
      <c r="Y350" s="11">
        <v>2</v>
      </c>
      <c r="Z350" s="11">
        <v>1</v>
      </c>
      <c r="AA350" s="11">
        <v>0</v>
      </c>
      <c r="AB350" s="11">
        <v>0</v>
      </c>
      <c r="AC350" s="11">
        <v>0</v>
      </c>
      <c r="AD350" s="11">
        <v>0</v>
      </c>
      <c r="AE350" s="11">
        <v>4</v>
      </c>
      <c r="AF350" s="11">
        <v>0</v>
      </c>
    </row>
    <row r="351" spans="1:32">
      <c r="A351" t="s">
        <v>70</v>
      </c>
      <c r="B351">
        <v>2023</v>
      </c>
      <c r="C351" t="str">
        <f t="shared" si="16"/>
        <v>2023-Q2</v>
      </c>
      <c r="D351" t="s">
        <v>49</v>
      </c>
      <c r="E351" t="str">
        <f t="shared" si="15"/>
        <v>South East</v>
      </c>
      <c r="F351" s="5">
        <v>6</v>
      </c>
      <c r="G351" s="5">
        <v>11</v>
      </c>
      <c r="H351" s="5">
        <v>3</v>
      </c>
      <c r="I351" s="5">
        <v>20</v>
      </c>
      <c r="J351" s="5">
        <v>37</v>
      </c>
      <c r="K351" s="5">
        <v>8</v>
      </c>
      <c r="L351" s="5">
        <v>45</v>
      </c>
      <c r="M351" s="5">
        <v>120</v>
      </c>
      <c r="N351" s="6">
        <f t="shared" si="17"/>
        <v>0.17777777777777778</v>
      </c>
      <c r="O351" s="11">
        <v>16</v>
      </c>
      <c r="P351" s="11">
        <v>0</v>
      </c>
      <c r="Q351" s="11">
        <v>2</v>
      </c>
      <c r="R351" s="11">
        <v>0</v>
      </c>
      <c r="S351" s="11">
        <v>2</v>
      </c>
      <c r="T351" s="11">
        <v>0</v>
      </c>
      <c r="U351" s="11">
        <v>0</v>
      </c>
      <c r="V351" s="11">
        <v>1</v>
      </c>
      <c r="W351" s="11">
        <v>1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  <c r="AE351" s="11">
        <v>0</v>
      </c>
      <c r="AF351" s="11">
        <v>3</v>
      </c>
    </row>
    <row r="352" spans="1:32">
      <c r="A352" t="s">
        <v>70</v>
      </c>
      <c r="B352">
        <v>2023</v>
      </c>
      <c r="C352" t="str">
        <f t="shared" si="16"/>
        <v>2023-Q2</v>
      </c>
      <c r="D352" t="s">
        <v>50</v>
      </c>
      <c r="E352" t="str">
        <f t="shared" si="15"/>
        <v>North West</v>
      </c>
      <c r="F352" s="5">
        <v>29</v>
      </c>
      <c r="G352" s="5">
        <v>77</v>
      </c>
      <c r="H352" s="5">
        <v>1</v>
      </c>
      <c r="I352" s="5">
        <v>107</v>
      </c>
      <c r="J352" s="5">
        <v>291</v>
      </c>
      <c r="K352" s="5">
        <v>53</v>
      </c>
      <c r="L352" s="5">
        <v>344</v>
      </c>
      <c r="M352" s="5">
        <v>591</v>
      </c>
      <c r="N352" s="6">
        <f t="shared" si="17"/>
        <v>0.15406976744186046</v>
      </c>
      <c r="O352" s="11">
        <v>136</v>
      </c>
      <c r="P352" s="11">
        <v>0</v>
      </c>
      <c r="Q352" s="11">
        <v>15</v>
      </c>
      <c r="R352" s="11">
        <v>4</v>
      </c>
      <c r="S352" s="11">
        <v>0</v>
      </c>
      <c r="T352" s="11">
        <v>7</v>
      </c>
      <c r="U352" s="11">
        <v>0</v>
      </c>
      <c r="V352" s="11">
        <v>2</v>
      </c>
      <c r="W352" s="11">
        <v>3</v>
      </c>
      <c r="X352" s="11">
        <v>0</v>
      </c>
      <c r="Y352" s="11">
        <v>5</v>
      </c>
      <c r="Z352" s="11">
        <v>16</v>
      </c>
      <c r="AA352" s="11">
        <v>0</v>
      </c>
      <c r="AB352" s="11">
        <v>0</v>
      </c>
      <c r="AC352" s="11">
        <v>0</v>
      </c>
      <c r="AD352" s="11">
        <v>0</v>
      </c>
      <c r="AE352" s="11">
        <v>1</v>
      </c>
      <c r="AF352" s="11">
        <v>5</v>
      </c>
    </row>
    <row r="353" spans="1:32">
      <c r="A353" t="s">
        <v>70</v>
      </c>
      <c r="B353">
        <v>2023</v>
      </c>
      <c r="C353" t="str">
        <f t="shared" si="16"/>
        <v>2023-Q2</v>
      </c>
      <c r="D353" t="s">
        <v>51</v>
      </c>
      <c r="E353" t="str">
        <f t="shared" si="15"/>
        <v>North West</v>
      </c>
      <c r="F353" s="5">
        <v>61</v>
      </c>
      <c r="G353" s="5">
        <v>117</v>
      </c>
      <c r="H353" s="5">
        <v>12</v>
      </c>
      <c r="I353" s="5">
        <v>190</v>
      </c>
      <c r="J353" s="5">
        <v>755</v>
      </c>
      <c r="K353" s="5">
        <v>119</v>
      </c>
      <c r="L353" s="5">
        <v>874</v>
      </c>
      <c r="M353" s="5">
        <v>1489</v>
      </c>
      <c r="N353" s="6">
        <f t="shared" si="17"/>
        <v>0.13615560640732266</v>
      </c>
      <c r="O353" s="11">
        <v>125</v>
      </c>
      <c r="P353" s="11">
        <v>0</v>
      </c>
      <c r="Q353" s="11">
        <v>7</v>
      </c>
      <c r="R353" s="11">
        <v>2</v>
      </c>
      <c r="S353" s="11">
        <v>2</v>
      </c>
      <c r="T353" s="11">
        <v>1</v>
      </c>
      <c r="U353" s="11">
        <v>7</v>
      </c>
      <c r="V353" s="11">
        <v>18</v>
      </c>
      <c r="W353" s="11">
        <v>23</v>
      </c>
      <c r="X353" s="11">
        <v>2</v>
      </c>
      <c r="Y353" s="11">
        <v>6</v>
      </c>
      <c r="Z353" s="11">
        <v>4</v>
      </c>
      <c r="AA353" s="11">
        <v>0</v>
      </c>
      <c r="AB353" s="11">
        <v>1</v>
      </c>
      <c r="AC353" s="11">
        <v>0</v>
      </c>
      <c r="AD353" s="11">
        <v>7</v>
      </c>
      <c r="AE353" s="11">
        <v>5</v>
      </c>
      <c r="AF353" s="11">
        <v>8</v>
      </c>
    </row>
    <row r="354" spans="1:32">
      <c r="A354" t="s">
        <v>70</v>
      </c>
      <c r="B354">
        <v>2023</v>
      </c>
      <c r="C354" t="str">
        <f t="shared" si="16"/>
        <v>2023-Q2</v>
      </c>
      <c r="D354" t="s">
        <v>52</v>
      </c>
      <c r="E354" t="str">
        <f t="shared" si="15"/>
        <v>North West</v>
      </c>
      <c r="F354" s="5">
        <v>22</v>
      </c>
      <c r="G354" s="5">
        <v>60</v>
      </c>
      <c r="H354" s="5">
        <v>5</v>
      </c>
      <c r="I354" s="5">
        <v>87</v>
      </c>
      <c r="J354" s="5">
        <v>272</v>
      </c>
      <c r="K354" s="5">
        <v>46</v>
      </c>
      <c r="L354" s="5">
        <v>318</v>
      </c>
      <c r="M354" s="5">
        <v>556</v>
      </c>
      <c r="N354" s="6">
        <f t="shared" si="17"/>
        <v>0.14465408805031446</v>
      </c>
      <c r="O354" s="11">
        <v>54</v>
      </c>
      <c r="P354" s="11">
        <v>0</v>
      </c>
      <c r="Q354" s="11">
        <v>4</v>
      </c>
      <c r="R354" s="11">
        <v>3</v>
      </c>
      <c r="S354" s="11">
        <v>2</v>
      </c>
      <c r="T354" s="11">
        <v>2</v>
      </c>
      <c r="U354" s="11">
        <v>0</v>
      </c>
      <c r="V354" s="11">
        <v>6</v>
      </c>
      <c r="W354" s="11">
        <v>8</v>
      </c>
      <c r="X354" s="11">
        <v>0</v>
      </c>
      <c r="Y354" s="11">
        <v>11</v>
      </c>
      <c r="Z354" s="11">
        <v>2</v>
      </c>
      <c r="AA354" s="11">
        <v>0</v>
      </c>
      <c r="AB354" s="11">
        <v>0</v>
      </c>
      <c r="AC354" s="11">
        <v>0</v>
      </c>
      <c r="AD354" s="11">
        <v>1</v>
      </c>
      <c r="AE354" s="11">
        <v>19</v>
      </c>
      <c r="AF354" s="11">
        <v>3</v>
      </c>
    </row>
    <row r="355" spans="1:32">
      <c r="A355" t="s">
        <v>70</v>
      </c>
      <c r="B355">
        <v>2023</v>
      </c>
      <c r="C355" t="str">
        <f t="shared" si="16"/>
        <v>2023-Q2</v>
      </c>
      <c r="D355" t="s">
        <v>53</v>
      </c>
      <c r="E355" t="str">
        <f t="shared" si="15"/>
        <v>North West</v>
      </c>
      <c r="F355" s="5">
        <v>17</v>
      </c>
      <c r="G355" s="5">
        <v>20</v>
      </c>
      <c r="H355" s="5">
        <v>0</v>
      </c>
      <c r="I355" s="5">
        <v>37</v>
      </c>
      <c r="J355" s="5">
        <v>131</v>
      </c>
      <c r="K355" s="5">
        <v>34</v>
      </c>
      <c r="L355" s="5">
        <v>165</v>
      </c>
      <c r="M355" s="5">
        <v>242</v>
      </c>
      <c r="N355" s="6">
        <f t="shared" si="17"/>
        <v>0.20606060606060606</v>
      </c>
      <c r="O355" s="11">
        <v>31</v>
      </c>
      <c r="P355" s="11">
        <v>0</v>
      </c>
      <c r="Q355" s="11">
        <v>5</v>
      </c>
      <c r="R355" s="11">
        <v>0</v>
      </c>
      <c r="S355" s="11">
        <v>0</v>
      </c>
      <c r="T355" s="11">
        <v>1</v>
      </c>
      <c r="U355" s="11">
        <v>0</v>
      </c>
      <c r="V355" s="11">
        <v>2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8</v>
      </c>
      <c r="AF355" s="11">
        <v>0</v>
      </c>
    </row>
    <row r="356" spans="1:32">
      <c r="A356" t="s">
        <v>70</v>
      </c>
      <c r="B356">
        <v>2023</v>
      </c>
      <c r="C356" t="str">
        <f t="shared" si="16"/>
        <v>2023-Q2</v>
      </c>
      <c r="D356" t="s">
        <v>54</v>
      </c>
      <c r="E356" t="str">
        <f t="shared" si="15"/>
        <v>North West</v>
      </c>
      <c r="F356" s="5">
        <v>10</v>
      </c>
      <c r="G356" s="5">
        <v>25</v>
      </c>
      <c r="H356" s="5">
        <v>2</v>
      </c>
      <c r="I356" s="5">
        <v>37</v>
      </c>
      <c r="J356" s="5">
        <v>89</v>
      </c>
      <c r="K356" s="5">
        <v>24</v>
      </c>
      <c r="L356" s="5">
        <v>113</v>
      </c>
      <c r="M356" s="5">
        <v>207</v>
      </c>
      <c r="N356" s="6">
        <f t="shared" si="17"/>
        <v>0.21238938053097345</v>
      </c>
      <c r="O356" s="11">
        <v>26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1</v>
      </c>
      <c r="V356" s="11">
        <v>0</v>
      </c>
      <c r="W356" s="11">
        <v>1</v>
      </c>
      <c r="X356" s="11">
        <v>0</v>
      </c>
      <c r="Y356" s="11">
        <v>2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1</v>
      </c>
      <c r="AF356" s="11">
        <v>1</v>
      </c>
    </row>
    <row r="357" spans="1:32">
      <c r="A357" t="s">
        <v>70</v>
      </c>
      <c r="B357">
        <v>2023</v>
      </c>
      <c r="C357" t="str">
        <f t="shared" si="16"/>
        <v>2023-Q2</v>
      </c>
      <c r="D357" t="s">
        <v>55</v>
      </c>
      <c r="E357" t="str">
        <f t="shared" si="15"/>
        <v>North Central</v>
      </c>
      <c r="F357" s="5">
        <v>31</v>
      </c>
      <c r="G357" s="5">
        <v>68</v>
      </c>
      <c r="H357" s="5">
        <v>8</v>
      </c>
      <c r="I357" s="5">
        <v>107</v>
      </c>
      <c r="J357" s="5">
        <v>360</v>
      </c>
      <c r="K357" s="5">
        <v>57</v>
      </c>
      <c r="L357" s="5">
        <v>417</v>
      </c>
      <c r="M357" s="5">
        <v>995</v>
      </c>
      <c r="N357" s="6">
        <f t="shared" si="17"/>
        <v>0.1366906474820144</v>
      </c>
      <c r="O357" s="11">
        <v>64</v>
      </c>
      <c r="P357" s="11">
        <v>0</v>
      </c>
      <c r="Q357" s="11">
        <v>7</v>
      </c>
      <c r="R357" s="11">
        <v>7</v>
      </c>
      <c r="S357" s="11">
        <v>6</v>
      </c>
      <c r="T357" s="11">
        <v>0</v>
      </c>
      <c r="U357" s="11">
        <v>0</v>
      </c>
      <c r="V357" s="11">
        <v>14</v>
      </c>
      <c r="W357" s="11">
        <v>2</v>
      </c>
      <c r="X357" s="11">
        <v>0</v>
      </c>
      <c r="Y357" s="11">
        <v>5</v>
      </c>
      <c r="Z357" s="11">
        <v>2</v>
      </c>
      <c r="AA357" s="11">
        <v>1</v>
      </c>
      <c r="AB357" s="11">
        <v>0</v>
      </c>
      <c r="AC357" s="11">
        <v>0</v>
      </c>
      <c r="AD357" s="11">
        <v>0</v>
      </c>
      <c r="AE357" s="11">
        <v>0</v>
      </c>
      <c r="AF357" s="11">
        <v>10</v>
      </c>
    </row>
    <row r="358" spans="1:32">
      <c r="A358" t="s">
        <v>70</v>
      </c>
      <c r="B358">
        <v>2023</v>
      </c>
      <c r="C358" t="str">
        <f t="shared" si="16"/>
        <v>2023-Q2</v>
      </c>
      <c r="D358" t="s">
        <v>56</v>
      </c>
      <c r="E358" t="str">
        <f t="shared" si="15"/>
        <v>North Central</v>
      </c>
      <c r="F358" s="5">
        <v>18</v>
      </c>
      <c r="G358" s="5">
        <v>55</v>
      </c>
      <c r="H358" s="5">
        <v>4</v>
      </c>
      <c r="I358" s="5">
        <v>77</v>
      </c>
      <c r="J358" s="5">
        <v>288</v>
      </c>
      <c r="K358" s="5">
        <v>37</v>
      </c>
      <c r="L358" s="5">
        <v>325</v>
      </c>
      <c r="M358" s="5">
        <v>633</v>
      </c>
      <c r="N358" s="6">
        <f t="shared" si="17"/>
        <v>0.11384615384615385</v>
      </c>
      <c r="O358" s="11">
        <v>95</v>
      </c>
      <c r="P358" s="11">
        <v>0</v>
      </c>
      <c r="Q358" s="11">
        <v>6</v>
      </c>
      <c r="R358" s="11">
        <v>2</v>
      </c>
      <c r="S358" s="11">
        <v>0</v>
      </c>
      <c r="T358" s="11">
        <v>0</v>
      </c>
      <c r="U358" s="11">
        <v>0</v>
      </c>
      <c r="V358" s="11">
        <v>10</v>
      </c>
      <c r="W358" s="11">
        <v>0</v>
      </c>
      <c r="X358" s="11">
        <v>0</v>
      </c>
      <c r="Y358" s="11">
        <v>8</v>
      </c>
      <c r="Z358" s="11">
        <v>2</v>
      </c>
      <c r="AA358" s="11">
        <v>0</v>
      </c>
      <c r="AB358" s="11">
        <v>0</v>
      </c>
      <c r="AC358" s="11">
        <v>0</v>
      </c>
      <c r="AD358" s="11">
        <v>0</v>
      </c>
      <c r="AE358" s="11">
        <v>4</v>
      </c>
      <c r="AF358" s="11">
        <v>0</v>
      </c>
    </row>
    <row r="359" spans="1:32">
      <c r="A359" t="s">
        <v>70</v>
      </c>
      <c r="B359">
        <v>2023</v>
      </c>
      <c r="C359" t="str">
        <f t="shared" si="16"/>
        <v>2023-Q2</v>
      </c>
      <c r="D359" t="s">
        <v>57</v>
      </c>
      <c r="E359" t="str">
        <f t="shared" si="15"/>
        <v>South West</v>
      </c>
      <c r="F359" s="5">
        <v>35</v>
      </c>
      <c r="G359" s="5">
        <v>58</v>
      </c>
      <c r="H359" s="5">
        <v>45</v>
      </c>
      <c r="I359" s="5">
        <v>138</v>
      </c>
      <c r="J359" s="5">
        <v>209</v>
      </c>
      <c r="K359" s="5">
        <v>52</v>
      </c>
      <c r="L359" s="5">
        <v>261</v>
      </c>
      <c r="M359" s="5">
        <v>689</v>
      </c>
      <c r="N359" s="6">
        <f t="shared" si="17"/>
        <v>0.19923371647509577</v>
      </c>
      <c r="O359" s="11">
        <v>77</v>
      </c>
      <c r="P359" s="11">
        <v>0</v>
      </c>
      <c r="Q359" s="11">
        <v>2</v>
      </c>
      <c r="R359" s="11">
        <v>13</v>
      </c>
      <c r="S359" s="11">
        <v>9</v>
      </c>
      <c r="T359" s="11">
        <v>0</v>
      </c>
      <c r="U359" s="11">
        <v>0</v>
      </c>
      <c r="V359" s="11">
        <v>13</v>
      </c>
      <c r="W359" s="11">
        <v>8</v>
      </c>
      <c r="X359" s="11">
        <v>0</v>
      </c>
      <c r="Y359" s="11">
        <v>7</v>
      </c>
      <c r="Z359" s="11">
        <v>0</v>
      </c>
      <c r="AA359" s="11">
        <v>0</v>
      </c>
      <c r="AB359" s="11">
        <v>4</v>
      </c>
      <c r="AC359" s="11">
        <v>0</v>
      </c>
      <c r="AD359" s="11">
        <v>0</v>
      </c>
      <c r="AE359" s="11">
        <v>0</v>
      </c>
      <c r="AF359" s="11">
        <v>5</v>
      </c>
    </row>
    <row r="360" spans="1:32">
      <c r="A360" t="s">
        <v>70</v>
      </c>
      <c r="B360">
        <v>2023</v>
      </c>
      <c r="C360" t="str">
        <f t="shared" si="16"/>
        <v>2023-Q2</v>
      </c>
      <c r="D360" t="s">
        <v>58</v>
      </c>
      <c r="E360" t="str">
        <f t="shared" si="15"/>
        <v>North Central</v>
      </c>
      <c r="F360" s="5">
        <v>31</v>
      </c>
      <c r="G360" s="5">
        <v>167</v>
      </c>
      <c r="H360" s="5">
        <v>10</v>
      </c>
      <c r="I360" s="5">
        <v>208</v>
      </c>
      <c r="J360" s="5">
        <v>532</v>
      </c>
      <c r="K360" s="5">
        <v>55</v>
      </c>
      <c r="L360" s="5">
        <v>587</v>
      </c>
      <c r="M360" s="5">
        <v>1108</v>
      </c>
      <c r="N360" s="6">
        <f t="shared" si="17"/>
        <v>9.3696763202725727E-2</v>
      </c>
      <c r="O360" s="11">
        <v>140</v>
      </c>
      <c r="P360" s="11">
        <v>0</v>
      </c>
      <c r="Q360" s="11">
        <v>6</v>
      </c>
      <c r="R360" s="11">
        <v>3</v>
      </c>
      <c r="S360" s="11">
        <v>3</v>
      </c>
      <c r="T360" s="11">
        <v>6</v>
      </c>
      <c r="U360" s="11">
        <v>0</v>
      </c>
      <c r="V360" s="11">
        <v>6</v>
      </c>
      <c r="W360" s="11">
        <v>37</v>
      </c>
      <c r="X360" s="11">
        <v>0</v>
      </c>
      <c r="Y360" s="11">
        <v>24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36</v>
      </c>
      <c r="AF360" s="11">
        <v>13</v>
      </c>
    </row>
    <row r="361" spans="1:32">
      <c r="A361" t="s">
        <v>70</v>
      </c>
      <c r="B361">
        <v>2023</v>
      </c>
      <c r="C361" t="str">
        <f t="shared" si="16"/>
        <v>2023-Q2</v>
      </c>
      <c r="D361" t="s">
        <v>59</v>
      </c>
      <c r="E361" t="str">
        <f t="shared" si="15"/>
        <v>North Central</v>
      </c>
      <c r="F361" s="5">
        <v>39</v>
      </c>
      <c r="G361" s="5">
        <v>107</v>
      </c>
      <c r="H361" s="5">
        <v>4</v>
      </c>
      <c r="I361" s="5">
        <v>150</v>
      </c>
      <c r="J361" s="5">
        <v>499</v>
      </c>
      <c r="K361" s="5">
        <v>78</v>
      </c>
      <c r="L361" s="5">
        <v>577</v>
      </c>
      <c r="M361" s="5">
        <v>1042</v>
      </c>
      <c r="N361" s="6">
        <f t="shared" si="17"/>
        <v>0.13518197573656845</v>
      </c>
      <c r="O361" s="11">
        <v>128</v>
      </c>
      <c r="P361" s="11">
        <v>1</v>
      </c>
      <c r="Q361" s="11">
        <v>2</v>
      </c>
      <c r="R361" s="11">
        <v>3</v>
      </c>
      <c r="S361" s="11">
        <v>4</v>
      </c>
      <c r="T361" s="11">
        <v>2</v>
      </c>
      <c r="U361" s="11">
        <v>0</v>
      </c>
      <c r="V361" s="11">
        <v>10</v>
      </c>
      <c r="W361" s="11">
        <v>6</v>
      </c>
      <c r="X361" s="11">
        <v>1</v>
      </c>
      <c r="Y361" s="11">
        <v>5</v>
      </c>
      <c r="Z361" s="11">
        <v>1</v>
      </c>
      <c r="AA361" s="11">
        <v>0</v>
      </c>
      <c r="AB361" s="11">
        <v>1</v>
      </c>
      <c r="AC361" s="11">
        <v>1</v>
      </c>
      <c r="AD361" s="11">
        <v>2</v>
      </c>
      <c r="AE361" s="11">
        <v>6</v>
      </c>
      <c r="AF361" s="11">
        <v>4</v>
      </c>
    </row>
    <row r="362" spans="1:32">
      <c r="A362" t="s">
        <v>70</v>
      </c>
      <c r="B362">
        <v>2023</v>
      </c>
      <c r="C362" t="str">
        <f t="shared" si="16"/>
        <v>2023-Q2</v>
      </c>
      <c r="D362" t="s">
        <v>60</v>
      </c>
      <c r="E362" t="str">
        <f t="shared" si="15"/>
        <v>South West</v>
      </c>
      <c r="F362" s="5">
        <v>67</v>
      </c>
      <c r="G362" s="5">
        <v>172</v>
      </c>
      <c r="H362" s="5">
        <v>44</v>
      </c>
      <c r="I362" s="5">
        <v>283</v>
      </c>
      <c r="J362" s="5">
        <v>621</v>
      </c>
      <c r="K362" s="5">
        <v>97</v>
      </c>
      <c r="L362" s="5">
        <v>718</v>
      </c>
      <c r="M362" s="5">
        <v>1777</v>
      </c>
      <c r="N362" s="6">
        <f t="shared" si="17"/>
        <v>0.13509749303621169</v>
      </c>
      <c r="O362" s="11">
        <v>340</v>
      </c>
      <c r="P362" s="11">
        <v>1</v>
      </c>
      <c r="Q362" s="11">
        <v>37</v>
      </c>
      <c r="R362" s="11">
        <v>20</v>
      </c>
      <c r="S362" s="11">
        <v>22</v>
      </c>
      <c r="T362" s="11">
        <v>3</v>
      </c>
      <c r="U362" s="11">
        <v>0</v>
      </c>
      <c r="V362" s="11">
        <v>14</v>
      </c>
      <c r="W362" s="11">
        <v>15</v>
      </c>
      <c r="X362" s="11">
        <v>2</v>
      </c>
      <c r="Y362" s="11">
        <v>22</v>
      </c>
      <c r="Z362" s="11">
        <v>2</v>
      </c>
      <c r="AA362" s="11">
        <v>4</v>
      </c>
      <c r="AB362" s="11">
        <v>0</v>
      </c>
      <c r="AC362" s="11">
        <v>0</v>
      </c>
      <c r="AD362" s="11">
        <v>2</v>
      </c>
      <c r="AE362" s="11">
        <v>4</v>
      </c>
      <c r="AF362" s="11">
        <v>14</v>
      </c>
    </row>
    <row r="363" spans="1:32">
      <c r="A363" t="s">
        <v>70</v>
      </c>
      <c r="B363">
        <v>2023</v>
      </c>
      <c r="C363" t="str">
        <f t="shared" si="16"/>
        <v>2023-Q2</v>
      </c>
      <c r="D363" t="s">
        <v>61</v>
      </c>
      <c r="E363" t="str">
        <f t="shared" si="15"/>
        <v>South West</v>
      </c>
      <c r="F363" s="5">
        <v>29</v>
      </c>
      <c r="G363" s="5">
        <v>76</v>
      </c>
      <c r="H363" s="5">
        <v>8</v>
      </c>
      <c r="I363" s="5">
        <v>113</v>
      </c>
      <c r="J363" s="5">
        <v>278</v>
      </c>
      <c r="K363" s="5">
        <v>39</v>
      </c>
      <c r="L363" s="5">
        <v>317</v>
      </c>
      <c r="M363" s="5">
        <v>668</v>
      </c>
      <c r="N363" s="6">
        <f t="shared" si="17"/>
        <v>0.12302839116719243</v>
      </c>
      <c r="O363" s="11">
        <v>83</v>
      </c>
      <c r="P363" s="11">
        <v>1</v>
      </c>
      <c r="Q363" s="11">
        <v>6</v>
      </c>
      <c r="R363" s="11">
        <v>2</v>
      </c>
      <c r="S363" s="11">
        <v>3</v>
      </c>
      <c r="T363" s="11">
        <v>1</v>
      </c>
      <c r="U363" s="11">
        <v>1</v>
      </c>
      <c r="V363" s="11">
        <v>12</v>
      </c>
      <c r="W363" s="11">
        <v>6</v>
      </c>
      <c r="X363" s="11">
        <v>0</v>
      </c>
      <c r="Y363" s="11">
        <v>4</v>
      </c>
      <c r="Z363" s="11">
        <v>3</v>
      </c>
      <c r="AA363" s="11">
        <v>3</v>
      </c>
      <c r="AB363" s="11">
        <v>0</v>
      </c>
      <c r="AC363" s="11">
        <v>1</v>
      </c>
      <c r="AD363" s="11">
        <v>1</v>
      </c>
      <c r="AE363" s="11">
        <v>0</v>
      </c>
      <c r="AF363" s="11">
        <v>2</v>
      </c>
    </row>
    <row r="364" spans="1:32">
      <c r="A364" t="s">
        <v>70</v>
      </c>
      <c r="B364">
        <v>2023</v>
      </c>
      <c r="C364" t="str">
        <f t="shared" si="16"/>
        <v>2023-Q2</v>
      </c>
      <c r="D364" t="s">
        <v>62</v>
      </c>
      <c r="E364" t="str">
        <f t="shared" si="15"/>
        <v>South West</v>
      </c>
      <c r="F364" s="5">
        <v>18</v>
      </c>
      <c r="G364" s="5">
        <v>58</v>
      </c>
      <c r="H364" s="5">
        <v>13</v>
      </c>
      <c r="I364" s="5">
        <v>89</v>
      </c>
      <c r="J364" s="5">
        <v>230</v>
      </c>
      <c r="K364" s="5">
        <v>54</v>
      </c>
      <c r="L364" s="5">
        <v>284</v>
      </c>
      <c r="M364" s="5">
        <v>639</v>
      </c>
      <c r="N364" s="6">
        <f t="shared" si="17"/>
        <v>0.19014084507042253</v>
      </c>
      <c r="O364" s="11">
        <v>56</v>
      </c>
      <c r="P364" s="11">
        <v>0</v>
      </c>
      <c r="Q364" s="11">
        <v>12</v>
      </c>
      <c r="R364" s="11">
        <v>0</v>
      </c>
      <c r="S364" s="11">
        <v>4</v>
      </c>
      <c r="T364" s="11">
        <v>1</v>
      </c>
      <c r="U364" s="11">
        <v>3</v>
      </c>
      <c r="V364" s="11">
        <v>5</v>
      </c>
      <c r="W364" s="11">
        <v>1</v>
      </c>
      <c r="X364" s="11">
        <v>0</v>
      </c>
      <c r="Y364" s="11">
        <v>11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2</v>
      </c>
    </row>
    <row r="365" spans="1:32">
      <c r="A365" t="s">
        <v>70</v>
      </c>
      <c r="B365">
        <v>2023</v>
      </c>
      <c r="C365" t="str">
        <f t="shared" si="16"/>
        <v>2023-Q2</v>
      </c>
      <c r="D365" t="s">
        <v>63</v>
      </c>
      <c r="E365" t="str">
        <f t="shared" si="15"/>
        <v>South West</v>
      </c>
      <c r="F365" s="5">
        <v>55</v>
      </c>
      <c r="G365" s="5">
        <v>83</v>
      </c>
      <c r="H365" s="5">
        <v>6</v>
      </c>
      <c r="I365" s="5">
        <v>144</v>
      </c>
      <c r="J365" s="5">
        <v>370</v>
      </c>
      <c r="K365" s="5">
        <v>94</v>
      </c>
      <c r="L365" s="5">
        <v>464</v>
      </c>
      <c r="M365" s="5">
        <v>779</v>
      </c>
      <c r="N365" s="6">
        <f t="shared" si="17"/>
        <v>0.20258620689655171</v>
      </c>
      <c r="O365" s="11">
        <v>87</v>
      </c>
      <c r="P365" s="11">
        <v>2</v>
      </c>
      <c r="Q365" s="11">
        <v>5</v>
      </c>
      <c r="R365" s="11">
        <v>5</v>
      </c>
      <c r="S365" s="11">
        <v>9</v>
      </c>
      <c r="T365" s="11">
        <v>2</v>
      </c>
      <c r="U365" s="11">
        <v>2</v>
      </c>
      <c r="V365" s="11">
        <v>6</v>
      </c>
      <c r="W365" s="11">
        <v>19</v>
      </c>
      <c r="X365" s="11">
        <v>2</v>
      </c>
      <c r="Y365" s="11">
        <v>12</v>
      </c>
      <c r="Z365" s="11">
        <v>0</v>
      </c>
      <c r="AA365" s="11">
        <v>1</v>
      </c>
      <c r="AB365" s="11">
        <v>0</v>
      </c>
      <c r="AC365" s="11">
        <v>1</v>
      </c>
      <c r="AD365" s="11">
        <v>0</v>
      </c>
      <c r="AE365" s="11">
        <v>0</v>
      </c>
      <c r="AF365" s="11">
        <v>2</v>
      </c>
    </row>
    <row r="366" spans="1:32">
      <c r="A366" t="s">
        <v>70</v>
      </c>
      <c r="B366">
        <v>2023</v>
      </c>
      <c r="C366" t="str">
        <f t="shared" si="16"/>
        <v>2023-Q2</v>
      </c>
      <c r="D366" t="s">
        <v>64</v>
      </c>
      <c r="E366" t="str">
        <f t="shared" si="15"/>
        <v>North Central</v>
      </c>
      <c r="F366" s="5">
        <v>11</v>
      </c>
      <c r="G366" s="5">
        <v>46</v>
      </c>
      <c r="H366" s="5">
        <v>4</v>
      </c>
      <c r="I366" s="5">
        <v>61</v>
      </c>
      <c r="J366" s="5">
        <v>194</v>
      </c>
      <c r="K366" s="5">
        <v>33</v>
      </c>
      <c r="L366" s="5">
        <v>227</v>
      </c>
      <c r="M366" s="5">
        <v>400</v>
      </c>
      <c r="N366" s="6">
        <f t="shared" si="17"/>
        <v>0.14537444933920704</v>
      </c>
      <c r="O366" s="11">
        <v>25</v>
      </c>
      <c r="P366" s="11">
        <v>0</v>
      </c>
      <c r="Q366" s="11">
        <v>6</v>
      </c>
      <c r="R366" s="11">
        <v>6</v>
      </c>
      <c r="S366" s="11">
        <v>11</v>
      </c>
      <c r="T366" s="11">
        <v>0</v>
      </c>
      <c r="U366" s="11">
        <v>0</v>
      </c>
      <c r="V366" s="11">
        <v>6</v>
      </c>
      <c r="W366" s="11">
        <v>6</v>
      </c>
      <c r="X366" s="11">
        <v>0</v>
      </c>
      <c r="Y366" s="11">
        <v>3</v>
      </c>
      <c r="Z366" s="11">
        <v>4</v>
      </c>
      <c r="AA366" s="11">
        <v>0</v>
      </c>
      <c r="AB366" s="11">
        <v>0</v>
      </c>
      <c r="AC366" s="11">
        <v>0</v>
      </c>
      <c r="AD366" s="11">
        <v>1</v>
      </c>
      <c r="AE366" s="11">
        <v>1</v>
      </c>
      <c r="AF366" s="11">
        <v>2</v>
      </c>
    </row>
    <row r="367" spans="1:32">
      <c r="A367" t="s">
        <v>70</v>
      </c>
      <c r="B367">
        <v>2023</v>
      </c>
      <c r="C367" t="str">
        <f t="shared" si="16"/>
        <v>2023-Q2</v>
      </c>
      <c r="D367" t="s">
        <v>65</v>
      </c>
      <c r="E367" t="str">
        <f t="shared" si="15"/>
        <v>South South</v>
      </c>
      <c r="F367" s="5">
        <v>8</v>
      </c>
      <c r="G367" s="5">
        <v>10</v>
      </c>
      <c r="H367" s="5">
        <v>4</v>
      </c>
      <c r="I367" s="5">
        <v>22</v>
      </c>
      <c r="J367" s="5">
        <v>34</v>
      </c>
      <c r="K367" s="5">
        <v>11</v>
      </c>
      <c r="L367" s="5">
        <v>45</v>
      </c>
      <c r="M367" s="5">
        <v>116</v>
      </c>
      <c r="N367" s="6">
        <f t="shared" si="17"/>
        <v>0.24444444444444444</v>
      </c>
      <c r="O367" s="11">
        <v>18</v>
      </c>
      <c r="P367" s="11">
        <v>0</v>
      </c>
      <c r="Q367" s="11">
        <v>2</v>
      </c>
      <c r="R367" s="11">
        <v>2</v>
      </c>
      <c r="S367" s="11">
        <v>1</v>
      </c>
      <c r="T367" s="11">
        <v>0</v>
      </c>
      <c r="U367" s="11">
        <v>0</v>
      </c>
      <c r="V367" s="11">
        <v>2</v>
      </c>
      <c r="W367" s="11">
        <v>1</v>
      </c>
      <c r="X367" s="11">
        <v>0</v>
      </c>
      <c r="Y367" s="11">
        <v>5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</row>
    <row r="368" spans="1:32">
      <c r="A368" t="s">
        <v>70</v>
      </c>
      <c r="B368">
        <v>2023</v>
      </c>
      <c r="C368" t="str">
        <f t="shared" si="16"/>
        <v>2023-Q2</v>
      </c>
      <c r="D368" t="s">
        <v>66</v>
      </c>
      <c r="E368" t="str">
        <f t="shared" si="15"/>
        <v>North West</v>
      </c>
      <c r="F368" s="5">
        <v>6</v>
      </c>
      <c r="G368" s="5">
        <v>11</v>
      </c>
      <c r="H368" s="5">
        <v>0</v>
      </c>
      <c r="I368" s="5">
        <v>17</v>
      </c>
      <c r="J368" s="5">
        <v>58</v>
      </c>
      <c r="K368" s="5">
        <v>8</v>
      </c>
      <c r="L368" s="5">
        <v>66</v>
      </c>
      <c r="M368" s="5">
        <v>90</v>
      </c>
      <c r="N368" s="6">
        <f t="shared" si="17"/>
        <v>0.12121212121212122</v>
      </c>
      <c r="O368" s="11">
        <v>13</v>
      </c>
      <c r="P368" s="11">
        <v>0</v>
      </c>
      <c r="Q368" s="11">
        <v>2</v>
      </c>
      <c r="R368" s="11">
        <v>1</v>
      </c>
      <c r="S368" s="11">
        <v>0</v>
      </c>
      <c r="T368" s="11">
        <v>1</v>
      </c>
      <c r="U368" s="11">
        <v>0</v>
      </c>
      <c r="V368" s="11">
        <v>2</v>
      </c>
      <c r="W368" s="11">
        <v>10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1</v>
      </c>
    </row>
    <row r="369" spans="1:32">
      <c r="A369" t="s">
        <v>70</v>
      </c>
      <c r="B369">
        <v>2023</v>
      </c>
      <c r="C369" t="str">
        <f t="shared" si="16"/>
        <v>2023-Q2</v>
      </c>
      <c r="D369" t="s">
        <v>67</v>
      </c>
      <c r="E369" t="str">
        <f t="shared" si="15"/>
        <v>North East</v>
      </c>
      <c r="F369" s="5">
        <v>8</v>
      </c>
      <c r="G369" s="5">
        <v>38</v>
      </c>
      <c r="H369" s="5">
        <v>1</v>
      </c>
      <c r="I369" s="5">
        <v>47</v>
      </c>
      <c r="J369" s="5">
        <v>99</v>
      </c>
      <c r="K369" s="5">
        <v>10</v>
      </c>
      <c r="L369" s="5">
        <v>109</v>
      </c>
      <c r="M369" s="5">
        <v>202</v>
      </c>
      <c r="N369" s="6">
        <f t="shared" si="17"/>
        <v>9.1743119266055051E-2</v>
      </c>
      <c r="O369" s="11">
        <v>22</v>
      </c>
      <c r="P369" s="11">
        <v>0</v>
      </c>
      <c r="Q369" s="11">
        <v>2</v>
      </c>
      <c r="R369" s="11">
        <v>1</v>
      </c>
      <c r="S369" s="11">
        <v>0</v>
      </c>
      <c r="T369" s="11">
        <v>0</v>
      </c>
      <c r="U369" s="11">
        <v>0</v>
      </c>
      <c r="V369" s="11">
        <v>6</v>
      </c>
      <c r="W369" s="11">
        <v>12</v>
      </c>
      <c r="X369" s="11">
        <v>0</v>
      </c>
      <c r="Y369" s="11">
        <v>2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17</v>
      </c>
      <c r="AF369" s="11">
        <v>1</v>
      </c>
    </row>
    <row r="370" spans="1:32">
      <c r="A370" t="s">
        <v>70</v>
      </c>
      <c r="B370">
        <v>2023</v>
      </c>
      <c r="C370" t="str">
        <f t="shared" si="16"/>
        <v>2023-Q2</v>
      </c>
      <c r="D370" t="s">
        <v>68</v>
      </c>
      <c r="E370" t="str">
        <f t="shared" si="15"/>
        <v>North East</v>
      </c>
      <c r="F370" s="5">
        <v>16</v>
      </c>
      <c r="G370" s="5">
        <v>33</v>
      </c>
      <c r="H370" s="5">
        <v>1</v>
      </c>
      <c r="I370" s="5">
        <v>50</v>
      </c>
      <c r="J370" s="5">
        <v>305</v>
      </c>
      <c r="K370" s="5">
        <v>32</v>
      </c>
      <c r="L370" s="5">
        <v>337</v>
      </c>
      <c r="M370" s="5">
        <v>438</v>
      </c>
      <c r="N370" s="6">
        <f t="shared" si="17"/>
        <v>9.4955489614243327E-2</v>
      </c>
      <c r="O370" s="11">
        <v>36</v>
      </c>
      <c r="P370" s="11">
        <v>0</v>
      </c>
      <c r="Q370" s="11">
        <v>7</v>
      </c>
      <c r="R370" s="11">
        <v>0</v>
      </c>
      <c r="S370" s="11">
        <v>0</v>
      </c>
      <c r="T370" s="11">
        <v>3</v>
      </c>
      <c r="U370" s="11">
        <v>0</v>
      </c>
      <c r="V370" s="11">
        <v>8</v>
      </c>
      <c r="W370" s="11">
        <v>2</v>
      </c>
      <c r="X370" s="11">
        <v>0</v>
      </c>
      <c r="Y370" s="11">
        <v>4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2</v>
      </c>
      <c r="AF370" s="11">
        <v>2</v>
      </c>
    </row>
    <row r="371" spans="1:32">
      <c r="A371" t="s">
        <v>70</v>
      </c>
      <c r="B371">
        <v>2023</v>
      </c>
      <c r="C371" t="str">
        <f t="shared" si="16"/>
        <v>2023-Q2</v>
      </c>
      <c r="D371" t="s">
        <v>69</v>
      </c>
      <c r="E371" t="str">
        <f t="shared" si="15"/>
        <v>North West</v>
      </c>
      <c r="F371" s="5">
        <v>5</v>
      </c>
      <c r="G371" s="5">
        <v>14</v>
      </c>
      <c r="H371" s="5">
        <v>0</v>
      </c>
      <c r="I371" s="5">
        <v>19</v>
      </c>
      <c r="J371" s="5">
        <v>146</v>
      </c>
      <c r="K371" s="5">
        <v>32</v>
      </c>
      <c r="L371" s="5">
        <v>178</v>
      </c>
      <c r="M371" s="5">
        <v>142</v>
      </c>
      <c r="N371" s="6">
        <f t="shared" si="17"/>
        <v>0.1797752808988764</v>
      </c>
      <c r="O371" s="11">
        <v>14</v>
      </c>
      <c r="P371" s="11">
        <v>1</v>
      </c>
      <c r="Q371" s="11">
        <v>1</v>
      </c>
      <c r="R371" s="11">
        <v>1</v>
      </c>
      <c r="S371" s="11">
        <v>0</v>
      </c>
      <c r="T371" s="11">
        <v>0</v>
      </c>
      <c r="U371" s="11">
        <v>1</v>
      </c>
      <c r="V371" s="11">
        <v>2</v>
      </c>
      <c r="W371" s="11">
        <v>0</v>
      </c>
      <c r="X371" s="11">
        <v>0</v>
      </c>
      <c r="Y371" s="11">
        <v>3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</row>
    <row r="372" spans="1:32">
      <c r="A372" t="s">
        <v>71</v>
      </c>
      <c r="B372">
        <v>2023</v>
      </c>
      <c r="C372" t="str">
        <f t="shared" si="16"/>
        <v>2023-Q3</v>
      </c>
      <c r="D372" t="s">
        <v>33</v>
      </c>
      <c r="E372" t="str">
        <f t="shared" si="15"/>
        <v>South East</v>
      </c>
      <c r="F372" s="5">
        <v>2</v>
      </c>
      <c r="G372" s="5">
        <v>8</v>
      </c>
      <c r="H372" s="5">
        <v>5</v>
      </c>
      <c r="I372" s="5">
        <v>15</v>
      </c>
      <c r="J372" s="5">
        <v>42</v>
      </c>
      <c r="K372" s="5">
        <v>11</v>
      </c>
      <c r="L372" s="5">
        <v>53</v>
      </c>
      <c r="M372" s="5">
        <v>129</v>
      </c>
      <c r="N372" s="6">
        <f t="shared" si="17"/>
        <v>0.20754716981132076</v>
      </c>
      <c r="O372" s="11">
        <v>5</v>
      </c>
      <c r="P372" s="11">
        <v>0</v>
      </c>
      <c r="Q372" s="11">
        <v>7</v>
      </c>
      <c r="R372" s="11">
        <v>2</v>
      </c>
      <c r="S372" s="11">
        <v>4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</row>
    <row r="373" spans="1:32">
      <c r="A373" t="s">
        <v>71</v>
      </c>
      <c r="B373">
        <v>2023</v>
      </c>
      <c r="C373" t="str">
        <f t="shared" si="16"/>
        <v>2023-Q3</v>
      </c>
      <c r="D373" t="s">
        <v>34</v>
      </c>
      <c r="E373" t="str">
        <f t="shared" si="15"/>
        <v>North East</v>
      </c>
      <c r="F373" s="5">
        <v>5</v>
      </c>
      <c r="G373" s="5">
        <v>26</v>
      </c>
      <c r="H373" s="5">
        <v>1</v>
      </c>
      <c r="I373" s="5">
        <v>32</v>
      </c>
      <c r="J373" s="5">
        <v>89</v>
      </c>
      <c r="K373" s="5">
        <v>6</v>
      </c>
      <c r="L373" s="5">
        <v>95</v>
      </c>
      <c r="M373" s="5">
        <v>160</v>
      </c>
      <c r="N373" s="6">
        <f t="shared" si="17"/>
        <v>6.3157894736842107E-2</v>
      </c>
      <c r="O373" s="11">
        <v>21</v>
      </c>
      <c r="P373" s="11">
        <v>0</v>
      </c>
      <c r="Q373" s="11">
        <v>1</v>
      </c>
      <c r="R373" s="11">
        <v>1</v>
      </c>
      <c r="S373" s="11">
        <v>2</v>
      </c>
      <c r="T373" s="11">
        <v>0</v>
      </c>
      <c r="U373" s="11">
        <v>0</v>
      </c>
      <c r="V373" s="11">
        <v>2</v>
      </c>
      <c r="W373" s="11">
        <v>4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2</v>
      </c>
      <c r="AF373" s="11">
        <v>0</v>
      </c>
    </row>
    <row r="374" spans="1:32">
      <c r="A374" t="s">
        <v>71</v>
      </c>
      <c r="B374">
        <v>2023</v>
      </c>
      <c r="C374" t="str">
        <f t="shared" si="16"/>
        <v>2023-Q3</v>
      </c>
      <c r="D374" t="s">
        <v>35</v>
      </c>
      <c r="E374" t="str">
        <f t="shared" si="15"/>
        <v>South South</v>
      </c>
      <c r="F374" s="5">
        <v>2</v>
      </c>
      <c r="G374" s="5">
        <v>6</v>
      </c>
      <c r="H374" s="5">
        <v>0</v>
      </c>
      <c r="I374" s="5">
        <v>8</v>
      </c>
      <c r="J374" s="5">
        <v>14</v>
      </c>
      <c r="K374" s="5">
        <v>3</v>
      </c>
      <c r="L374" s="5">
        <v>17</v>
      </c>
      <c r="M374" s="5">
        <v>22</v>
      </c>
      <c r="N374" s="6">
        <f t="shared" si="17"/>
        <v>0.17647058823529413</v>
      </c>
      <c r="O374" s="11">
        <v>9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1</v>
      </c>
    </row>
    <row r="375" spans="1:32">
      <c r="A375" t="s">
        <v>71</v>
      </c>
      <c r="B375">
        <v>2023</v>
      </c>
      <c r="C375" t="str">
        <f t="shared" si="16"/>
        <v>2023-Q3</v>
      </c>
      <c r="D375" t="s">
        <v>36</v>
      </c>
      <c r="E375" t="str">
        <f t="shared" si="15"/>
        <v>South East</v>
      </c>
      <c r="F375" s="5">
        <v>10</v>
      </c>
      <c r="G375" s="5">
        <v>18</v>
      </c>
      <c r="H375" s="5">
        <v>6</v>
      </c>
      <c r="I375" s="5">
        <v>34</v>
      </c>
      <c r="J375" s="5">
        <v>90</v>
      </c>
      <c r="K375" s="5">
        <v>19</v>
      </c>
      <c r="L375" s="5">
        <v>109</v>
      </c>
      <c r="M375" s="5">
        <v>252</v>
      </c>
      <c r="N375" s="6">
        <f t="shared" si="17"/>
        <v>0.1743119266055046</v>
      </c>
      <c r="O375" s="11">
        <v>14</v>
      </c>
      <c r="P375" s="11">
        <v>1</v>
      </c>
      <c r="Q375" s="11">
        <v>4</v>
      </c>
      <c r="R375" s="11">
        <v>0</v>
      </c>
      <c r="S375" s="11">
        <v>10</v>
      </c>
      <c r="T375" s="11">
        <v>0</v>
      </c>
      <c r="U375" s="11">
        <v>0</v>
      </c>
      <c r="V375" s="11">
        <v>10</v>
      </c>
      <c r="W375" s="11">
        <v>0</v>
      </c>
      <c r="X375" s="11">
        <v>0</v>
      </c>
      <c r="Y375" s="11">
        <v>0</v>
      </c>
      <c r="Z375" s="11">
        <v>1</v>
      </c>
      <c r="AA375" s="11">
        <v>0</v>
      </c>
      <c r="AB375" s="11">
        <v>0</v>
      </c>
      <c r="AC375" s="11">
        <v>0</v>
      </c>
      <c r="AD375" s="11">
        <v>0</v>
      </c>
      <c r="AE375" s="11">
        <v>0</v>
      </c>
      <c r="AF375" s="11">
        <v>2</v>
      </c>
    </row>
    <row r="376" spans="1:32">
      <c r="A376" t="s">
        <v>71</v>
      </c>
      <c r="B376">
        <v>2023</v>
      </c>
      <c r="C376" t="str">
        <f t="shared" si="16"/>
        <v>2023-Q3</v>
      </c>
      <c r="D376" t="s">
        <v>37</v>
      </c>
      <c r="E376" t="str">
        <f t="shared" si="15"/>
        <v>North East</v>
      </c>
      <c r="F376" s="5">
        <v>13</v>
      </c>
      <c r="G376" s="5">
        <v>35</v>
      </c>
      <c r="H376" s="5">
        <v>3</v>
      </c>
      <c r="I376" s="5">
        <v>51</v>
      </c>
      <c r="J376" s="5">
        <v>159</v>
      </c>
      <c r="K376" s="5">
        <v>16</v>
      </c>
      <c r="L376" s="5">
        <v>175</v>
      </c>
      <c r="M376" s="5">
        <v>309</v>
      </c>
      <c r="N376" s="6">
        <f t="shared" si="17"/>
        <v>9.1428571428571428E-2</v>
      </c>
      <c r="O376" s="11">
        <v>36</v>
      </c>
      <c r="P376" s="11">
        <v>0</v>
      </c>
      <c r="Q376" s="11">
        <v>9</v>
      </c>
      <c r="R376" s="11">
        <v>4</v>
      </c>
      <c r="S376" s="11">
        <v>0</v>
      </c>
      <c r="T376" s="11">
        <v>1</v>
      </c>
      <c r="U376" s="11">
        <v>0</v>
      </c>
      <c r="V376" s="11">
        <v>2</v>
      </c>
      <c r="W376" s="11">
        <v>1</v>
      </c>
      <c r="X376" s="11">
        <v>1</v>
      </c>
      <c r="Y376" s="11">
        <v>1</v>
      </c>
      <c r="Z376" s="11">
        <v>1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1</v>
      </c>
    </row>
    <row r="377" spans="1:32">
      <c r="A377" t="s">
        <v>71</v>
      </c>
      <c r="B377">
        <v>2023</v>
      </c>
      <c r="C377" t="str">
        <f t="shared" si="16"/>
        <v>2023-Q3</v>
      </c>
      <c r="D377" t="s">
        <v>38</v>
      </c>
      <c r="E377" t="str">
        <f t="shared" si="15"/>
        <v>South South</v>
      </c>
      <c r="F377" s="5">
        <v>0</v>
      </c>
      <c r="G377" s="5">
        <v>2</v>
      </c>
      <c r="H377" s="5">
        <v>3</v>
      </c>
      <c r="I377" s="5">
        <v>5</v>
      </c>
      <c r="J377" s="5">
        <v>2</v>
      </c>
      <c r="K377" s="5">
        <v>0</v>
      </c>
      <c r="L377" s="5">
        <v>2</v>
      </c>
      <c r="M377" s="5">
        <v>22</v>
      </c>
      <c r="N377" s="6">
        <f t="shared" si="17"/>
        <v>0</v>
      </c>
      <c r="O377" s="11">
        <v>6</v>
      </c>
      <c r="P377" s="11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1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</row>
    <row r="378" spans="1:32">
      <c r="A378" t="s">
        <v>71</v>
      </c>
      <c r="B378">
        <v>2023</v>
      </c>
      <c r="C378" t="str">
        <f t="shared" si="16"/>
        <v>2023-Q3</v>
      </c>
      <c r="D378" t="s">
        <v>39</v>
      </c>
      <c r="E378" t="str">
        <f t="shared" si="15"/>
        <v>North Central</v>
      </c>
      <c r="F378" s="5">
        <v>10</v>
      </c>
      <c r="G378" s="5">
        <v>45</v>
      </c>
      <c r="H378" s="5">
        <v>0</v>
      </c>
      <c r="I378" s="5">
        <v>55</v>
      </c>
      <c r="J378" s="5">
        <v>176</v>
      </c>
      <c r="K378" s="5">
        <v>13</v>
      </c>
      <c r="L378" s="5">
        <v>189</v>
      </c>
      <c r="M378" s="5">
        <v>320</v>
      </c>
      <c r="N378" s="6">
        <f t="shared" si="17"/>
        <v>6.8783068783068779E-2</v>
      </c>
      <c r="O378" s="11">
        <v>44</v>
      </c>
      <c r="P378" s="11">
        <v>0</v>
      </c>
      <c r="Q378" s="11">
        <v>3</v>
      </c>
      <c r="R378" s="11">
        <v>1</v>
      </c>
      <c r="S378" s="11">
        <v>1</v>
      </c>
      <c r="T378" s="11">
        <v>0</v>
      </c>
      <c r="U378" s="11">
        <v>0</v>
      </c>
      <c r="V378" s="11">
        <v>2</v>
      </c>
      <c r="W378" s="11">
        <v>1</v>
      </c>
      <c r="X378" s="11">
        <v>0</v>
      </c>
      <c r="Y378" s="11">
        <v>3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1</v>
      </c>
      <c r="AF378" s="11">
        <v>1</v>
      </c>
    </row>
    <row r="379" spans="1:32">
      <c r="A379" t="s">
        <v>71</v>
      </c>
      <c r="B379">
        <v>2023</v>
      </c>
      <c r="C379" t="str">
        <f t="shared" si="16"/>
        <v>2023-Q3</v>
      </c>
      <c r="D379" t="s">
        <v>40</v>
      </c>
      <c r="E379" t="str">
        <f t="shared" si="15"/>
        <v>North East</v>
      </c>
      <c r="F379" s="5">
        <v>9</v>
      </c>
      <c r="G379" s="5">
        <v>19</v>
      </c>
      <c r="H379" s="5">
        <v>0</v>
      </c>
      <c r="I379" s="5">
        <v>28</v>
      </c>
      <c r="J379" s="5">
        <v>93</v>
      </c>
      <c r="K379" s="5">
        <v>17</v>
      </c>
      <c r="L379" s="5">
        <v>110</v>
      </c>
      <c r="M379" s="5">
        <v>199</v>
      </c>
      <c r="N379" s="6">
        <f t="shared" si="17"/>
        <v>0.15454545454545454</v>
      </c>
      <c r="O379" s="11">
        <v>8</v>
      </c>
      <c r="P379" s="11">
        <v>0</v>
      </c>
      <c r="Q379" s="11">
        <v>2</v>
      </c>
      <c r="R379" s="11">
        <v>0</v>
      </c>
      <c r="S379" s="11">
        <v>0</v>
      </c>
      <c r="T379" s="11">
        <v>2</v>
      </c>
      <c r="U379" s="11">
        <v>0</v>
      </c>
      <c r="V379" s="11">
        <v>6</v>
      </c>
      <c r="W379" s="11">
        <v>0</v>
      </c>
      <c r="X379" s="11">
        <v>0</v>
      </c>
      <c r="Y379" s="11">
        <v>1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7</v>
      </c>
      <c r="AF379" s="11">
        <v>0</v>
      </c>
    </row>
    <row r="380" spans="1:32">
      <c r="A380" t="s">
        <v>71</v>
      </c>
      <c r="B380">
        <v>2023</v>
      </c>
      <c r="C380" t="str">
        <f t="shared" si="16"/>
        <v>2023-Q3</v>
      </c>
      <c r="D380" t="s">
        <v>41</v>
      </c>
      <c r="E380" t="str">
        <f t="shared" si="15"/>
        <v>South South</v>
      </c>
      <c r="F380" s="5">
        <v>3</v>
      </c>
      <c r="G380" s="5">
        <v>11</v>
      </c>
      <c r="H380" s="5">
        <v>4</v>
      </c>
      <c r="I380" s="5">
        <v>18</v>
      </c>
      <c r="J380" s="5">
        <v>25</v>
      </c>
      <c r="K380" s="5">
        <v>12</v>
      </c>
      <c r="L380" s="5">
        <v>37</v>
      </c>
      <c r="M380" s="5">
        <v>141</v>
      </c>
      <c r="N380" s="6">
        <f t="shared" si="17"/>
        <v>0.32432432432432434</v>
      </c>
      <c r="O380" s="11">
        <v>10</v>
      </c>
      <c r="P380" s="11">
        <v>0</v>
      </c>
      <c r="Q380" s="11">
        <v>1</v>
      </c>
      <c r="R380" s="11">
        <v>0</v>
      </c>
      <c r="S380" s="11">
        <v>7</v>
      </c>
      <c r="T380" s="11">
        <v>0</v>
      </c>
      <c r="U380" s="11">
        <v>0</v>
      </c>
      <c r="V380" s="11">
        <v>2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1</v>
      </c>
      <c r="AF380" s="11">
        <v>0</v>
      </c>
    </row>
    <row r="381" spans="1:32">
      <c r="A381" t="s">
        <v>71</v>
      </c>
      <c r="B381">
        <v>2023</v>
      </c>
      <c r="C381" t="str">
        <f t="shared" si="16"/>
        <v>2023-Q3</v>
      </c>
      <c r="D381" t="s">
        <v>42</v>
      </c>
      <c r="E381" t="str">
        <f t="shared" si="15"/>
        <v>South South</v>
      </c>
      <c r="F381" s="5">
        <v>15</v>
      </c>
      <c r="G381" s="5">
        <v>11</v>
      </c>
      <c r="H381" s="5">
        <v>4</v>
      </c>
      <c r="I381" s="5">
        <v>30</v>
      </c>
      <c r="J381" s="5">
        <v>63</v>
      </c>
      <c r="K381" s="5">
        <v>15</v>
      </c>
      <c r="L381" s="5">
        <v>78</v>
      </c>
      <c r="M381" s="5">
        <v>154</v>
      </c>
      <c r="N381" s="6">
        <f t="shared" si="17"/>
        <v>0.19230769230769232</v>
      </c>
      <c r="O381" s="11">
        <v>17</v>
      </c>
      <c r="P381" s="11">
        <v>0</v>
      </c>
      <c r="Q381" s="11">
        <v>5</v>
      </c>
      <c r="R381" s="11">
        <v>0</v>
      </c>
      <c r="S381" s="11">
        <v>3</v>
      </c>
      <c r="T381" s="11">
        <v>0</v>
      </c>
      <c r="U381" s="11">
        <v>0</v>
      </c>
      <c r="V381" s="11">
        <v>3</v>
      </c>
      <c r="W381" s="11">
        <v>0</v>
      </c>
      <c r="X381" s="11">
        <v>0</v>
      </c>
      <c r="Y381" s="11">
        <v>5</v>
      </c>
      <c r="Z381" s="11">
        <v>1</v>
      </c>
      <c r="AA381" s="11">
        <v>0</v>
      </c>
      <c r="AB381" s="11">
        <v>0</v>
      </c>
      <c r="AC381" s="11">
        <v>0</v>
      </c>
      <c r="AD381" s="11">
        <v>0</v>
      </c>
      <c r="AE381" s="11">
        <v>6</v>
      </c>
      <c r="AF381" s="11">
        <v>2</v>
      </c>
    </row>
    <row r="382" spans="1:32">
      <c r="A382" t="s">
        <v>71</v>
      </c>
      <c r="B382">
        <v>2023</v>
      </c>
      <c r="C382" t="str">
        <f t="shared" si="16"/>
        <v>2023-Q3</v>
      </c>
      <c r="D382" t="s">
        <v>43</v>
      </c>
      <c r="E382" t="str">
        <f t="shared" si="15"/>
        <v>South East</v>
      </c>
      <c r="F382" s="5">
        <v>7</v>
      </c>
      <c r="G382" s="5">
        <v>12</v>
      </c>
      <c r="H382" s="5">
        <v>0</v>
      </c>
      <c r="I382" s="5">
        <v>19</v>
      </c>
      <c r="J382" s="5">
        <v>39</v>
      </c>
      <c r="K382" s="5">
        <v>10</v>
      </c>
      <c r="L382" s="5">
        <v>49</v>
      </c>
      <c r="M382" s="5">
        <v>104</v>
      </c>
      <c r="N382" s="6">
        <f t="shared" si="17"/>
        <v>0.20408163265306123</v>
      </c>
      <c r="O382" s="11">
        <v>12</v>
      </c>
      <c r="P382" s="11">
        <v>0</v>
      </c>
      <c r="Q382" s="11">
        <v>1</v>
      </c>
      <c r="R382" s="11">
        <v>0</v>
      </c>
      <c r="S382" s="11">
        <v>0</v>
      </c>
      <c r="T382" s="11">
        <v>0</v>
      </c>
      <c r="U382" s="11">
        <v>0</v>
      </c>
      <c r="V382" s="11">
        <v>4</v>
      </c>
      <c r="W382" s="11">
        <v>0</v>
      </c>
      <c r="X382" s="11">
        <v>0</v>
      </c>
      <c r="Y382" s="11">
        <v>1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</row>
    <row r="383" spans="1:32">
      <c r="A383" t="s">
        <v>71</v>
      </c>
      <c r="B383">
        <v>2023</v>
      </c>
      <c r="C383" t="str">
        <f t="shared" si="16"/>
        <v>2023-Q3</v>
      </c>
      <c r="D383" t="s">
        <v>44</v>
      </c>
      <c r="E383" t="str">
        <f t="shared" si="15"/>
        <v>South South</v>
      </c>
      <c r="F383" s="5">
        <v>10</v>
      </c>
      <c r="G383" s="5">
        <v>20</v>
      </c>
      <c r="H383" s="5">
        <v>3</v>
      </c>
      <c r="I383" s="5">
        <v>33</v>
      </c>
      <c r="J383" s="5">
        <v>79</v>
      </c>
      <c r="K383" s="5">
        <v>16</v>
      </c>
      <c r="L383" s="5">
        <v>95</v>
      </c>
      <c r="M383" s="5">
        <v>266</v>
      </c>
      <c r="N383" s="6">
        <f t="shared" si="17"/>
        <v>0.16842105263157894</v>
      </c>
      <c r="O383" s="11">
        <v>40</v>
      </c>
      <c r="P383" s="11">
        <v>0</v>
      </c>
      <c r="Q383" s="11">
        <v>2</v>
      </c>
      <c r="R383" s="11">
        <v>2</v>
      </c>
      <c r="S383" s="11">
        <v>11</v>
      </c>
      <c r="T383" s="11">
        <v>0</v>
      </c>
      <c r="U383" s="11">
        <v>0</v>
      </c>
      <c r="V383" s="11">
        <v>1</v>
      </c>
      <c r="W383" s="11">
        <v>0</v>
      </c>
      <c r="X383" s="11">
        <v>1</v>
      </c>
      <c r="Y383" s="11">
        <v>1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3</v>
      </c>
      <c r="AF383" s="11">
        <v>0</v>
      </c>
    </row>
    <row r="384" spans="1:32">
      <c r="A384" t="s">
        <v>71</v>
      </c>
      <c r="B384">
        <v>2023</v>
      </c>
      <c r="C384" t="str">
        <f t="shared" si="16"/>
        <v>2023-Q3</v>
      </c>
      <c r="D384" t="s">
        <v>45</v>
      </c>
      <c r="E384" t="str">
        <f t="shared" si="15"/>
        <v>South West</v>
      </c>
      <c r="F384" s="5">
        <v>10</v>
      </c>
      <c r="G384" s="5">
        <v>15</v>
      </c>
      <c r="H384" s="5">
        <v>4</v>
      </c>
      <c r="I384" s="5">
        <v>29</v>
      </c>
      <c r="J384" s="5">
        <v>53</v>
      </c>
      <c r="K384" s="5">
        <v>23</v>
      </c>
      <c r="L384" s="5">
        <v>76</v>
      </c>
      <c r="M384" s="5">
        <v>146</v>
      </c>
      <c r="N384" s="6">
        <f t="shared" si="17"/>
        <v>0.30263157894736842</v>
      </c>
      <c r="O384" s="11">
        <v>28</v>
      </c>
      <c r="P384" s="11">
        <v>0</v>
      </c>
      <c r="Q384" s="11">
        <v>1</v>
      </c>
      <c r="R384" s="11">
        <v>0</v>
      </c>
      <c r="S384" s="11">
        <v>1</v>
      </c>
      <c r="T384" s="11">
        <v>0</v>
      </c>
      <c r="U384" s="11">
        <v>0</v>
      </c>
      <c r="V384" s="11">
        <v>1</v>
      </c>
      <c r="W384" s="11">
        <v>0</v>
      </c>
      <c r="X384" s="11">
        <v>0</v>
      </c>
      <c r="Y384" s="11">
        <v>1</v>
      </c>
      <c r="Z384" s="11">
        <v>0</v>
      </c>
      <c r="AA384" s="11">
        <v>0</v>
      </c>
      <c r="AB384" s="11">
        <v>1</v>
      </c>
      <c r="AC384" s="11">
        <v>0</v>
      </c>
      <c r="AD384" s="11">
        <v>0</v>
      </c>
      <c r="AE384" s="11">
        <v>16</v>
      </c>
      <c r="AF384" s="11">
        <v>1</v>
      </c>
    </row>
    <row r="385" spans="1:32">
      <c r="A385" t="s">
        <v>71</v>
      </c>
      <c r="B385">
        <v>2023</v>
      </c>
      <c r="C385" t="str">
        <f t="shared" si="16"/>
        <v>2023-Q3</v>
      </c>
      <c r="D385" t="s">
        <v>46</v>
      </c>
      <c r="E385" t="str">
        <f t="shared" si="15"/>
        <v>South East</v>
      </c>
      <c r="F385" s="5">
        <v>13</v>
      </c>
      <c r="G385" s="5">
        <v>16</v>
      </c>
      <c r="H385" s="5">
        <v>3</v>
      </c>
      <c r="I385" s="5">
        <v>32</v>
      </c>
      <c r="J385" s="5">
        <v>96</v>
      </c>
      <c r="K385" s="5">
        <v>31</v>
      </c>
      <c r="L385" s="5">
        <v>127</v>
      </c>
      <c r="M385" s="5">
        <v>248</v>
      </c>
      <c r="N385" s="6">
        <f t="shared" si="17"/>
        <v>0.24409448818897639</v>
      </c>
      <c r="O385" s="11">
        <v>18</v>
      </c>
      <c r="P385" s="11">
        <v>0</v>
      </c>
      <c r="Q385" s="11">
        <v>1</v>
      </c>
      <c r="R385" s="11">
        <v>0</v>
      </c>
      <c r="S385" s="11">
        <v>14</v>
      </c>
      <c r="T385" s="11">
        <v>0</v>
      </c>
      <c r="U385" s="11">
        <v>0</v>
      </c>
      <c r="V385" s="11">
        <v>1</v>
      </c>
      <c r="W385" s="11">
        <v>1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1</v>
      </c>
      <c r="AF385" s="11">
        <v>0</v>
      </c>
    </row>
    <row r="386" spans="1:32">
      <c r="A386" t="s">
        <v>71</v>
      </c>
      <c r="B386">
        <v>2023</v>
      </c>
      <c r="C386" t="str">
        <f t="shared" si="16"/>
        <v>2023-Q3</v>
      </c>
      <c r="D386" t="s">
        <v>47</v>
      </c>
      <c r="E386" t="str">
        <f t="shared" ref="E386:E449" si="18">IF(OR(D386="Adamawa", D386="Bauchi", D386="Borno", D386="Gombe", D386="Taraba", D386="Yobe"), "North East",
IF(OR(D386="Jigawa", D386="Kaduna", D386="Kano", D386="Katsina", D386="Kebbi", D386="Sokoto", D386="Zamfara"), "North West",
IF(OR(D386="Benue", D386="Kogi", D386="Kwara", D386="Nasarawa", D386="Niger", D386="Plateau", D386="FCT"), "North Central",
IF(OR(D386="Abia", D386="Anambra", D386="Ebonyi", D386="Enugu", D386="Imo"), "South East",
IF(OR(D386="Akwa Ibom", D386="Bayelsa", D386="Cross River", D386="Delta", D386="Edo", D386="Rivers"), "South South",
IF(OR(D386="Ekiti", D386="Lagos", D386="Ogun", D386="Ondo", D386="Osun", D386="Oyo"), "South West",
"Zone Not Found"))))))</f>
        <v>North Central</v>
      </c>
      <c r="F386" s="5">
        <v>63</v>
      </c>
      <c r="G386" s="5">
        <v>216</v>
      </c>
      <c r="H386" s="5">
        <v>70</v>
      </c>
      <c r="I386" s="5">
        <v>349</v>
      </c>
      <c r="J386" s="5">
        <v>607</v>
      </c>
      <c r="K386" s="5">
        <v>82</v>
      </c>
      <c r="L386" s="5">
        <v>689</v>
      </c>
      <c r="M386" s="5">
        <v>1824</v>
      </c>
      <c r="N386" s="6">
        <f t="shared" si="17"/>
        <v>0.11901306240928883</v>
      </c>
      <c r="O386" s="11">
        <v>278</v>
      </c>
      <c r="P386" s="11">
        <v>0</v>
      </c>
      <c r="Q386" s="11">
        <v>17</v>
      </c>
      <c r="R386" s="11">
        <v>12</v>
      </c>
      <c r="S386" s="11">
        <v>9</v>
      </c>
      <c r="T386" s="11">
        <v>0</v>
      </c>
      <c r="U386" s="11">
        <v>4</v>
      </c>
      <c r="V386" s="11">
        <v>8</v>
      </c>
      <c r="W386" s="11">
        <v>16</v>
      </c>
      <c r="X386" s="11">
        <v>0</v>
      </c>
      <c r="Y386" s="11">
        <v>33</v>
      </c>
      <c r="Z386" s="11">
        <v>0</v>
      </c>
      <c r="AA386" s="11">
        <v>0</v>
      </c>
      <c r="AB386" s="11">
        <v>2</v>
      </c>
      <c r="AC386" s="11">
        <v>1</v>
      </c>
      <c r="AD386" s="11">
        <v>1</v>
      </c>
      <c r="AE386" s="11">
        <v>119</v>
      </c>
      <c r="AF386" s="11">
        <v>11</v>
      </c>
    </row>
    <row r="387" spans="1:32">
      <c r="A387" t="s">
        <v>71</v>
      </c>
      <c r="B387">
        <v>2023</v>
      </c>
      <c r="C387" t="str">
        <f t="shared" ref="C387:C450" si="19">B387&amp;"-"&amp;A387</f>
        <v>2023-Q3</v>
      </c>
      <c r="D387" t="s">
        <v>48</v>
      </c>
      <c r="E387" t="str">
        <f t="shared" si="18"/>
        <v>North East</v>
      </c>
      <c r="F387" s="5">
        <v>7</v>
      </c>
      <c r="G387" s="5">
        <v>29</v>
      </c>
      <c r="H387" s="5">
        <v>4</v>
      </c>
      <c r="I387" s="5">
        <v>40</v>
      </c>
      <c r="J387" s="5">
        <v>140</v>
      </c>
      <c r="K387" s="5">
        <v>11</v>
      </c>
      <c r="L387" s="5">
        <v>151</v>
      </c>
      <c r="M387" s="5">
        <v>302</v>
      </c>
      <c r="N387" s="6">
        <f t="shared" ref="N387:N450" si="20">K387/L387</f>
        <v>7.2847682119205295E-2</v>
      </c>
      <c r="O387" s="11">
        <v>17</v>
      </c>
      <c r="P387" s="11">
        <v>0</v>
      </c>
      <c r="Q387" s="11">
        <v>8</v>
      </c>
      <c r="R387" s="11">
        <v>5</v>
      </c>
      <c r="S387" s="11">
        <v>2</v>
      </c>
      <c r="T387" s="11">
        <v>0</v>
      </c>
      <c r="U387" s="11">
        <v>0</v>
      </c>
      <c r="V387" s="11">
        <v>3</v>
      </c>
      <c r="W387" s="11">
        <v>3</v>
      </c>
      <c r="X387" s="11">
        <v>0</v>
      </c>
      <c r="Y387" s="11">
        <v>2</v>
      </c>
      <c r="Z387" s="11">
        <v>0</v>
      </c>
      <c r="AA387" s="11">
        <v>0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</row>
    <row r="388" spans="1:32">
      <c r="A388" t="s">
        <v>71</v>
      </c>
      <c r="B388">
        <v>2023</v>
      </c>
      <c r="C388" t="str">
        <f t="shared" si="19"/>
        <v>2023-Q3</v>
      </c>
      <c r="D388" t="s">
        <v>49</v>
      </c>
      <c r="E388" t="str">
        <f t="shared" si="18"/>
        <v>South East</v>
      </c>
      <c r="F388" s="5">
        <v>7</v>
      </c>
      <c r="G388" s="5">
        <v>10</v>
      </c>
      <c r="H388" s="5">
        <v>3</v>
      </c>
      <c r="I388" s="5">
        <v>20</v>
      </c>
      <c r="J388" s="5">
        <v>107</v>
      </c>
      <c r="K388" s="5">
        <v>10</v>
      </c>
      <c r="L388" s="5">
        <v>117</v>
      </c>
      <c r="M388" s="5">
        <v>211</v>
      </c>
      <c r="N388" s="6">
        <f t="shared" si="20"/>
        <v>8.5470085470085472E-2</v>
      </c>
      <c r="O388" s="11">
        <v>9</v>
      </c>
      <c r="P388" s="11">
        <v>0</v>
      </c>
      <c r="Q388" s="11">
        <v>4</v>
      </c>
      <c r="R388" s="11">
        <v>0</v>
      </c>
      <c r="S388" s="11">
        <v>4</v>
      </c>
      <c r="T388" s="11">
        <v>0</v>
      </c>
      <c r="U388" s="11">
        <v>0</v>
      </c>
      <c r="V388" s="11">
        <v>1</v>
      </c>
      <c r="W388" s="11">
        <v>2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</row>
    <row r="389" spans="1:32">
      <c r="A389" t="s">
        <v>71</v>
      </c>
      <c r="B389">
        <v>2023</v>
      </c>
      <c r="C389" t="str">
        <f t="shared" si="19"/>
        <v>2023-Q3</v>
      </c>
      <c r="D389" t="s">
        <v>50</v>
      </c>
      <c r="E389" t="str">
        <f t="shared" si="18"/>
        <v>North West</v>
      </c>
      <c r="F389" s="5">
        <v>12</v>
      </c>
      <c r="G389" s="5">
        <v>52</v>
      </c>
      <c r="H389" s="5">
        <v>0</v>
      </c>
      <c r="I389" s="5">
        <v>64</v>
      </c>
      <c r="J389" s="5">
        <v>217</v>
      </c>
      <c r="K389" s="5">
        <v>21</v>
      </c>
      <c r="L389" s="5">
        <v>238</v>
      </c>
      <c r="M389" s="5">
        <v>386</v>
      </c>
      <c r="N389" s="6">
        <f t="shared" si="20"/>
        <v>8.8235294117647065E-2</v>
      </c>
      <c r="O389" s="11">
        <v>89</v>
      </c>
      <c r="P389" s="11">
        <v>0</v>
      </c>
      <c r="Q389" s="11">
        <v>8</v>
      </c>
      <c r="R389" s="11">
        <v>0</v>
      </c>
      <c r="S389" s="11">
        <v>0</v>
      </c>
      <c r="T389" s="11">
        <v>5</v>
      </c>
      <c r="U389" s="11">
        <v>0</v>
      </c>
      <c r="V389" s="11">
        <v>2</v>
      </c>
      <c r="W389" s="11">
        <v>1</v>
      </c>
      <c r="X389" s="11">
        <v>0</v>
      </c>
      <c r="Y389" s="11">
        <v>3</v>
      </c>
      <c r="Z389" s="11">
        <v>8</v>
      </c>
      <c r="AA389" s="11">
        <v>0</v>
      </c>
      <c r="AB389" s="11">
        <v>0</v>
      </c>
      <c r="AC389" s="11">
        <v>1</v>
      </c>
      <c r="AD389" s="11">
        <v>0</v>
      </c>
      <c r="AE389" s="11">
        <v>2</v>
      </c>
      <c r="AF389" s="11">
        <v>1</v>
      </c>
    </row>
    <row r="390" spans="1:32">
      <c r="A390" t="s">
        <v>71</v>
      </c>
      <c r="B390">
        <v>2023</v>
      </c>
      <c r="C390" t="str">
        <f t="shared" si="19"/>
        <v>2023-Q3</v>
      </c>
      <c r="D390" t="s">
        <v>51</v>
      </c>
      <c r="E390" t="str">
        <f t="shared" si="18"/>
        <v>North West</v>
      </c>
      <c r="F390" s="5">
        <v>42</v>
      </c>
      <c r="G390" s="5">
        <v>71</v>
      </c>
      <c r="H390" s="5">
        <v>4</v>
      </c>
      <c r="I390" s="5">
        <v>117</v>
      </c>
      <c r="J390" s="5">
        <v>481</v>
      </c>
      <c r="K390" s="5">
        <v>82</v>
      </c>
      <c r="L390" s="5">
        <v>563</v>
      </c>
      <c r="M390" s="5">
        <v>1038</v>
      </c>
      <c r="N390" s="6">
        <f t="shared" si="20"/>
        <v>0.14564831261101244</v>
      </c>
      <c r="O390" s="11">
        <v>71</v>
      </c>
      <c r="P390" s="11">
        <v>0</v>
      </c>
      <c r="Q390" s="11">
        <v>7</v>
      </c>
      <c r="R390" s="11">
        <v>1</v>
      </c>
      <c r="S390" s="11">
        <v>0</v>
      </c>
      <c r="T390" s="11">
        <v>1</v>
      </c>
      <c r="U390" s="11">
        <v>2</v>
      </c>
      <c r="V390" s="11">
        <v>7</v>
      </c>
      <c r="W390" s="11">
        <v>8</v>
      </c>
      <c r="X390" s="11">
        <v>2</v>
      </c>
      <c r="Y390" s="11">
        <v>5</v>
      </c>
      <c r="Z390" s="11">
        <v>1</v>
      </c>
      <c r="AA390" s="11">
        <v>0</v>
      </c>
      <c r="AB390" s="11">
        <v>0</v>
      </c>
      <c r="AC390" s="11">
        <v>0</v>
      </c>
      <c r="AD390" s="11">
        <v>4</v>
      </c>
      <c r="AE390" s="11">
        <v>3</v>
      </c>
      <c r="AF390" s="11">
        <v>3</v>
      </c>
    </row>
    <row r="391" spans="1:32">
      <c r="A391" t="s">
        <v>71</v>
      </c>
      <c r="B391">
        <v>2023</v>
      </c>
      <c r="C391" t="str">
        <f t="shared" si="19"/>
        <v>2023-Q3</v>
      </c>
      <c r="D391" t="s">
        <v>52</v>
      </c>
      <c r="E391" t="str">
        <f t="shared" si="18"/>
        <v>North West</v>
      </c>
      <c r="F391" s="5">
        <v>15</v>
      </c>
      <c r="G391" s="5">
        <v>27</v>
      </c>
      <c r="H391" s="5">
        <v>1</v>
      </c>
      <c r="I391" s="5">
        <v>43</v>
      </c>
      <c r="J391" s="5">
        <v>132</v>
      </c>
      <c r="K391" s="5">
        <v>24</v>
      </c>
      <c r="L391" s="5">
        <v>156</v>
      </c>
      <c r="M391" s="5">
        <v>240</v>
      </c>
      <c r="N391" s="6">
        <f t="shared" si="20"/>
        <v>0.15384615384615385</v>
      </c>
      <c r="O391" s="11">
        <v>25</v>
      </c>
      <c r="P391" s="11">
        <v>0</v>
      </c>
      <c r="Q391" s="11">
        <v>1</v>
      </c>
      <c r="R391" s="11">
        <v>1</v>
      </c>
      <c r="S391" s="11">
        <v>0</v>
      </c>
      <c r="T391" s="11">
        <v>1</v>
      </c>
      <c r="U391" s="11">
        <v>0</v>
      </c>
      <c r="V391" s="11">
        <v>5</v>
      </c>
      <c r="W391" s="11">
        <v>7</v>
      </c>
      <c r="X391" s="11">
        <v>0</v>
      </c>
      <c r="Y391" s="11">
        <v>5</v>
      </c>
      <c r="Z391" s="11">
        <v>1</v>
      </c>
      <c r="AA391" s="11">
        <v>0</v>
      </c>
      <c r="AB391" s="11">
        <v>0</v>
      </c>
      <c r="AC391" s="11">
        <v>0</v>
      </c>
      <c r="AD391" s="11">
        <v>0</v>
      </c>
      <c r="AE391" s="11">
        <v>4</v>
      </c>
      <c r="AF391" s="11">
        <v>2</v>
      </c>
    </row>
    <row r="392" spans="1:32">
      <c r="A392" t="s">
        <v>71</v>
      </c>
      <c r="B392">
        <v>2023</v>
      </c>
      <c r="C392" t="str">
        <f t="shared" si="19"/>
        <v>2023-Q3</v>
      </c>
      <c r="D392" t="s">
        <v>53</v>
      </c>
      <c r="E392" t="str">
        <f t="shared" si="18"/>
        <v>North West</v>
      </c>
      <c r="F392" s="5">
        <v>6</v>
      </c>
      <c r="G392" s="5">
        <v>12</v>
      </c>
      <c r="H392" s="5">
        <v>0</v>
      </c>
      <c r="I392" s="5">
        <v>18</v>
      </c>
      <c r="J392" s="5">
        <v>78</v>
      </c>
      <c r="K392" s="5">
        <v>13</v>
      </c>
      <c r="L392" s="5">
        <v>91</v>
      </c>
      <c r="M392" s="5">
        <v>132</v>
      </c>
      <c r="N392" s="6">
        <f t="shared" si="20"/>
        <v>0.14285714285714285</v>
      </c>
      <c r="O392" s="11">
        <v>17</v>
      </c>
      <c r="P392" s="11">
        <v>0</v>
      </c>
      <c r="Q392" s="11">
        <v>3</v>
      </c>
      <c r="R392" s="11">
        <v>1</v>
      </c>
      <c r="S392" s="11">
        <v>0</v>
      </c>
      <c r="T392" s="11">
        <v>0</v>
      </c>
      <c r="U392" s="11">
        <v>0</v>
      </c>
      <c r="V392" s="11">
        <v>3</v>
      </c>
      <c r="W392" s="11">
        <v>0</v>
      </c>
      <c r="X392" s="11">
        <v>0</v>
      </c>
      <c r="Y392" s="11">
        <v>0</v>
      </c>
      <c r="Z392" s="11">
        <v>1</v>
      </c>
      <c r="AA392" s="11">
        <v>0</v>
      </c>
      <c r="AB392" s="11">
        <v>0</v>
      </c>
      <c r="AC392" s="11">
        <v>1</v>
      </c>
      <c r="AD392" s="11">
        <v>0</v>
      </c>
      <c r="AE392" s="11">
        <v>1</v>
      </c>
      <c r="AF392" s="11">
        <v>6</v>
      </c>
    </row>
    <row r="393" spans="1:32">
      <c r="A393" t="s">
        <v>71</v>
      </c>
      <c r="B393">
        <v>2023</v>
      </c>
      <c r="C393" t="str">
        <f t="shared" si="19"/>
        <v>2023-Q3</v>
      </c>
      <c r="D393" t="s">
        <v>54</v>
      </c>
      <c r="E393" t="str">
        <f t="shared" si="18"/>
        <v>North West</v>
      </c>
      <c r="F393" s="5">
        <v>0</v>
      </c>
      <c r="G393" s="5">
        <v>10</v>
      </c>
      <c r="H393" s="5">
        <v>0</v>
      </c>
      <c r="I393" s="5">
        <v>10</v>
      </c>
      <c r="J393" s="5">
        <v>14</v>
      </c>
      <c r="K393" s="5">
        <v>0</v>
      </c>
      <c r="L393" s="5">
        <v>14</v>
      </c>
      <c r="M393" s="5">
        <v>21</v>
      </c>
      <c r="N393" s="6">
        <f t="shared" si="20"/>
        <v>0</v>
      </c>
      <c r="O393" s="11">
        <v>10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</row>
    <row r="394" spans="1:32">
      <c r="A394" t="s">
        <v>71</v>
      </c>
      <c r="B394">
        <v>2023</v>
      </c>
      <c r="C394" t="str">
        <f t="shared" si="19"/>
        <v>2023-Q3</v>
      </c>
      <c r="D394" t="s">
        <v>55</v>
      </c>
      <c r="E394" t="str">
        <f t="shared" si="18"/>
        <v>North Central</v>
      </c>
      <c r="F394" s="5">
        <v>27</v>
      </c>
      <c r="G394" s="5">
        <v>58</v>
      </c>
      <c r="H394" s="5">
        <v>11</v>
      </c>
      <c r="I394" s="5">
        <v>96</v>
      </c>
      <c r="J394" s="5">
        <v>355</v>
      </c>
      <c r="K394" s="5">
        <v>52</v>
      </c>
      <c r="L394" s="5">
        <v>407</v>
      </c>
      <c r="M394" s="5">
        <v>815</v>
      </c>
      <c r="N394" s="6">
        <f t="shared" si="20"/>
        <v>0.12776412776412777</v>
      </c>
      <c r="O394" s="11">
        <v>21</v>
      </c>
      <c r="P394" s="11">
        <v>2</v>
      </c>
      <c r="Q394" s="11">
        <v>13</v>
      </c>
      <c r="R394" s="11">
        <v>2</v>
      </c>
      <c r="S394" s="11">
        <v>9</v>
      </c>
      <c r="T394" s="11">
        <v>0</v>
      </c>
      <c r="U394" s="11">
        <v>0</v>
      </c>
      <c r="V394" s="11">
        <v>5</v>
      </c>
      <c r="W394" s="11">
        <v>1</v>
      </c>
      <c r="X394" s="11">
        <v>0</v>
      </c>
      <c r="Y394" s="11">
        <v>5</v>
      </c>
      <c r="Z394" s="11">
        <v>2</v>
      </c>
      <c r="AA394" s="11">
        <v>8</v>
      </c>
      <c r="AB394" s="11">
        <v>0</v>
      </c>
      <c r="AC394" s="11">
        <v>0</v>
      </c>
      <c r="AD394" s="11">
        <v>0</v>
      </c>
      <c r="AE394" s="11">
        <v>40</v>
      </c>
      <c r="AF394" s="11">
        <v>4</v>
      </c>
    </row>
    <row r="395" spans="1:32">
      <c r="A395" t="s">
        <v>71</v>
      </c>
      <c r="B395">
        <v>2023</v>
      </c>
      <c r="C395" t="str">
        <f t="shared" si="19"/>
        <v>2023-Q3</v>
      </c>
      <c r="D395" t="s">
        <v>56</v>
      </c>
      <c r="E395" t="str">
        <f t="shared" si="18"/>
        <v>North Central</v>
      </c>
      <c r="F395" s="5">
        <v>23</v>
      </c>
      <c r="G395" s="5">
        <v>43</v>
      </c>
      <c r="H395" s="5">
        <v>7</v>
      </c>
      <c r="I395" s="5">
        <v>73</v>
      </c>
      <c r="J395" s="5">
        <v>222</v>
      </c>
      <c r="K395" s="5">
        <v>51</v>
      </c>
      <c r="L395" s="5">
        <v>273</v>
      </c>
      <c r="M395" s="5">
        <v>506</v>
      </c>
      <c r="N395" s="6">
        <f t="shared" si="20"/>
        <v>0.18681318681318682</v>
      </c>
      <c r="O395" s="11">
        <v>30</v>
      </c>
      <c r="P395" s="11">
        <v>0</v>
      </c>
      <c r="Q395" s="11">
        <v>5</v>
      </c>
      <c r="R395" s="11">
        <v>4</v>
      </c>
      <c r="S395" s="11">
        <v>2</v>
      </c>
      <c r="T395" s="11">
        <v>0</v>
      </c>
      <c r="U395" s="11">
        <v>0</v>
      </c>
      <c r="V395" s="11">
        <v>19</v>
      </c>
      <c r="W395" s="11">
        <v>7</v>
      </c>
      <c r="X395" s="11">
        <v>0</v>
      </c>
      <c r="Y395" s="11">
        <v>2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39</v>
      </c>
      <c r="AF395" s="11">
        <v>2</v>
      </c>
    </row>
    <row r="396" spans="1:32">
      <c r="A396" t="s">
        <v>71</v>
      </c>
      <c r="B396">
        <v>2023</v>
      </c>
      <c r="C396" t="str">
        <f t="shared" si="19"/>
        <v>2023-Q3</v>
      </c>
      <c r="D396" t="s">
        <v>57</v>
      </c>
      <c r="E396" t="str">
        <f t="shared" si="18"/>
        <v>South West</v>
      </c>
      <c r="F396" s="5">
        <v>18</v>
      </c>
      <c r="G396" s="5">
        <v>64</v>
      </c>
      <c r="H396" s="5">
        <v>24</v>
      </c>
      <c r="I396" s="5">
        <v>106</v>
      </c>
      <c r="J396" s="5">
        <v>164</v>
      </c>
      <c r="K396" s="5">
        <v>34</v>
      </c>
      <c r="L396" s="5">
        <v>198</v>
      </c>
      <c r="M396" s="5">
        <v>508</v>
      </c>
      <c r="N396" s="6">
        <f t="shared" si="20"/>
        <v>0.17171717171717171</v>
      </c>
      <c r="O396" s="11">
        <v>56</v>
      </c>
      <c r="P396" s="11">
        <v>0</v>
      </c>
      <c r="Q396" s="11">
        <v>4</v>
      </c>
      <c r="R396" s="11">
        <v>12</v>
      </c>
      <c r="S396" s="11">
        <v>8</v>
      </c>
      <c r="T396" s="11">
        <v>0</v>
      </c>
      <c r="U396" s="11">
        <v>0</v>
      </c>
      <c r="V396" s="11">
        <v>5</v>
      </c>
      <c r="W396" s="11">
        <v>7</v>
      </c>
      <c r="X396" s="11">
        <v>0</v>
      </c>
      <c r="Y396" s="11">
        <v>10</v>
      </c>
      <c r="Z396" s="11">
        <v>0</v>
      </c>
      <c r="AA396" s="11">
        <v>0</v>
      </c>
      <c r="AB396" s="11">
        <v>1</v>
      </c>
      <c r="AC396" s="11">
        <v>0</v>
      </c>
      <c r="AD396" s="11">
        <v>0</v>
      </c>
      <c r="AE396" s="11">
        <v>0</v>
      </c>
      <c r="AF396" s="11">
        <v>7</v>
      </c>
    </row>
    <row r="397" spans="1:32">
      <c r="A397" t="s">
        <v>71</v>
      </c>
      <c r="B397">
        <v>2023</v>
      </c>
      <c r="C397" t="str">
        <f t="shared" si="19"/>
        <v>2023-Q3</v>
      </c>
      <c r="D397" t="s">
        <v>58</v>
      </c>
      <c r="E397" t="str">
        <f t="shared" si="18"/>
        <v>North Central</v>
      </c>
      <c r="F397" s="5">
        <v>23</v>
      </c>
      <c r="G397" s="5">
        <v>128</v>
      </c>
      <c r="H397" s="5">
        <v>11</v>
      </c>
      <c r="I397" s="5">
        <v>162</v>
      </c>
      <c r="J397" s="5">
        <v>411</v>
      </c>
      <c r="K397" s="5">
        <v>37</v>
      </c>
      <c r="L397" s="5">
        <v>448</v>
      </c>
      <c r="M397" s="5">
        <v>826</v>
      </c>
      <c r="N397" s="6">
        <f t="shared" si="20"/>
        <v>8.2589285714285712E-2</v>
      </c>
      <c r="O397" s="11">
        <v>113</v>
      </c>
      <c r="P397" s="11">
        <v>1</v>
      </c>
      <c r="Q397" s="11">
        <v>14</v>
      </c>
      <c r="R397" s="11">
        <v>6</v>
      </c>
      <c r="S397" s="11">
        <v>2</v>
      </c>
      <c r="T397" s="11">
        <v>2</v>
      </c>
      <c r="U397" s="11">
        <v>0</v>
      </c>
      <c r="V397" s="11">
        <v>9</v>
      </c>
      <c r="W397" s="11">
        <v>21</v>
      </c>
      <c r="X397" s="11">
        <v>0</v>
      </c>
      <c r="Y397" s="11">
        <v>17</v>
      </c>
      <c r="Z397" s="11">
        <v>1</v>
      </c>
      <c r="AA397" s="11">
        <v>0</v>
      </c>
      <c r="AB397" s="11">
        <v>1</v>
      </c>
      <c r="AC397" s="11">
        <v>1</v>
      </c>
      <c r="AD397" s="11">
        <v>0</v>
      </c>
      <c r="AE397" s="11">
        <v>24</v>
      </c>
      <c r="AF397" s="11">
        <v>8</v>
      </c>
    </row>
    <row r="398" spans="1:32">
      <c r="A398" t="s">
        <v>71</v>
      </c>
      <c r="B398">
        <v>2023</v>
      </c>
      <c r="C398" t="str">
        <f t="shared" si="19"/>
        <v>2023-Q3</v>
      </c>
      <c r="D398" t="s">
        <v>59</v>
      </c>
      <c r="E398" t="str">
        <f t="shared" si="18"/>
        <v>North Central</v>
      </c>
      <c r="F398" s="5">
        <v>27</v>
      </c>
      <c r="G398" s="5">
        <v>69</v>
      </c>
      <c r="H398" s="5">
        <v>5</v>
      </c>
      <c r="I398" s="5">
        <v>101</v>
      </c>
      <c r="J398" s="5">
        <v>382</v>
      </c>
      <c r="K398" s="5">
        <v>56</v>
      </c>
      <c r="L398" s="5">
        <v>438</v>
      </c>
      <c r="M398" s="5">
        <v>779</v>
      </c>
      <c r="N398" s="6">
        <f t="shared" si="20"/>
        <v>0.12785388127853881</v>
      </c>
      <c r="O398" s="11">
        <v>98</v>
      </c>
      <c r="P398" s="11">
        <v>1</v>
      </c>
      <c r="Q398" s="11">
        <v>4</v>
      </c>
      <c r="R398" s="11">
        <v>4</v>
      </c>
      <c r="S398" s="11">
        <v>3</v>
      </c>
      <c r="T398" s="11">
        <v>0</v>
      </c>
      <c r="U398" s="11">
        <v>0</v>
      </c>
      <c r="V398" s="11">
        <v>13</v>
      </c>
      <c r="W398" s="11">
        <v>4</v>
      </c>
      <c r="X398" s="11">
        <v>1</v>
      </c>
      <c r="Y398" s="11">
        <v>4</v>
      </c>
      <c r="Z398" s="11">
        <v>1</v>
      </c>
      <c r="AA398" s="11">
        <v>0</v>
      </c>
      <c r="AB398" s="11">
        <v>1</v>
      </c>
      <c r="AC398" s="11">
        <v>0</v>
      </c>
      <c r="AD398" s="11">
        <v>2</v>
      </c>
      <c r="AE398" s="11">
        <v>0</v>
      </c>
      <c r="AF398" s="11">
        <v>2</v>
      </c>
    </row>
    <row r="399" spans="1:32">
      <c r="A399" t="s">
        <v>71</v>
      </c>
      <c r="B399">
        <v>2023</v>
      </c>
      <c r="C399" t="str">
        <f t="shared" si="19"/>
        <v>2023-Q3</v>
      </c>
      <c r="D399" t="s">
        <v>60</v>
      </c>
      <c r="E399" t="str">
        <f t="shared" si="18"/>
        <v>South West</v>
      </c>
      <c r="F399" s="5">
        <v>51</v>
      </c>
      <c r="G399" s="5">
        <v>133</v>
      </c>
      <c r="H399" s="5">
        <v>28</v>
      </c>
      <c r="I399" s="5">
        <v>212</v>
      </c>
      <c r="J399" s="5">
        <v>584</v>
      </c>
      <c r="K399" s="5">
        <v>82</v>
      </c>
      <c r="L399" s="5">
        <v>666</v>
      </c>
      <c r="M399" s="5">
        <v>1479</v>
      </c>
      <c r="N399" s="6">
        <f t="shared" si="20"/>
        <v>0.12312312312312312</v>
      </c>
      <c r="O399" s="11">
        <v>262</v>
      </c>
      <c r="P399" s="11">
        <v>0</v>
      </c>
      <c r="Q399" s="11">
        <v>28</v>
      </c>
      <c r="R399" s="11">
        <v>4</v>
      </c>
      <c r="S399" s="11">
        <v>9</v>
      </c>
      <c r="T399" s="11">
        <v>4</v>
      </c>
      <c r="U399" s="11">
        <v>0</v>
      </c>
      <c r="V399" s="11">
        <v>25</v>
      </c>
      <c r="W399" s="11">
        <v>11</v>
      </c>
      <c r="X399" s="11">
        <v>0</v>
      </c>
      <c r="Y399" s="11">
        <v>27</v>
      </c>
      <c r="Z399" s="11">
        <v>3</v>
      </c>
      <c r="AA399" s="11">
        <v>0</v>
      </c>
      <c r="AB399" s="11">
        <v>0</v>
      </c>
      <c r="AC399" s="11">
        <v>0</v>
      </c>
      <c r="AD399" s="11">
        <v>0</v>
      </c>
      <c r="AE399" s="11">
        <v>13</v>
      </c>
      <c r="AF399" s="11">
        <v>10</v>
      </c>
    </row>
    <row r="400" spans="1:32">
      <c r="A400" t="s">
        <v>71</v>
      </c>
      <c r="B400">
        <v>2023</v>
      </c>
      <c r="C400" t="str">
        <f t="shared" si="19"/>
        <v>2023-Q3</v>
      </c>
      <c r="D400" t="s">
        <v>61</v>
      </c>
      <c r="E400" t="str">
        <f t="shared" si="18"/>
        <v>South West</v>
      </c>
      <c r="F400" s="5">
        <v>26</v>
      </c>
      <c r="G400" s="5">
        <v>38</v>
      </c>
      <c r="H400" s="5">
        <v>4</v>
      </c>
      <c r="I400" s="5">
        <v>68</v>
      </c>
      <c r="J400" s="5">
        <v>161</v>
      </c>
      <c r="K400" s="5">
        <v>44</v>
      </c>
      <c r="L400" s="5">
        <v>205</v>
      </c>
      <c r="M400" s="5">
        <v>433</v>
      </c>
      <c r="N400" s="6">
        <f t="shared" si="20"/>
        <v>0.21463414634146341</v>
      </c>
      <c r="O400" s="11">
        <v>68</v>
      </c>
      <c r="P400" s="11">
        <v>0</v>
      </c>
      <c r="Q400" s="11">
        <v>5</v>
      </c>
      <c r="R400" s="11">
        <v>1</v>
      </c>
      <c r="S400" s="11">
        <v>3</v>
      </c>
      <c r="T400" s="11">
        <v>0</v>
      </c>
      <c r="U400" s="11">
        <v>0</v>
      </c>
      <c r="V400" s="11">
        <v>7</v>
      </c>
      <c r="W400" s="11">
        <v>3</v>
      </c>
      <c r="X400" s="11">
        <v>0</v>
      </c>
      <c r="Y400" s="11">
        <v>8</v>
      </c>
      <c r="Z400" s="11">
        <v>0</v>
      </c>
      <c r="AA400" s="11">
        <v>1</v>
      </c>
      <c r="AB400" s="11">
        <v>0</v>
      </c>
      <c r="AC400" s="11">
        <v>0</v>
      </c>
      <c r="AD400" s="11">
        <v>4</v>
      </c>
      <c r="AE400" s="11">
        <v>1</v>
      </c>
      <c r="AF400" s="11">
        <v>1</v>
      </c>
    </row>
    <row r="401" spans="1:32">
      <c r="A401" t="s">
        <v>71</v>
      </c>
      <c r="B401">
        <v>2023</v>
      </c>
      <c r="C401" t="str">
        <f t="shared" si="19"/>
        <v>2023-Q3</v>
      </c>
      <c r="D401" t="s">
        <v>62</v>
      </c>
      <c r="E401" t="str">
        <f t="shared" si="18"/>
        <v>South West</v>
      </c>
      <c r="F401" s="5">
        <v>20</v>
      </c>
      <c r="G401" s="5">
        <v>36</v>
      </c>
      <c r="H401" s="5">
        <v>11</v>
      </c>
      <c r="I401" s="5">
        <v>67</v>
      </c>
      <c r="J401" s="5">
        <v>239</v>
      </c>
      <c r="K401" s="5">
        <v>41</v>
      </c>
      <c r="L401" s="5">
        <v>280</v>
      </c>
      <c r="M401" s="5">
        <v>571</v>
      </c>
      <c r="N401" s="6">
        <f t="shared" si="20"/>
        <v>0.14642857142857144</v>
      </c>
      <c r="O401" s="11">
        <v>59</v>
      </c>
      <c r="P401" s="11">
        <v>0</v>
      </c>
      <c r="Q401" s="11">
        <v>6</v>
      </c>
      <c r="R401" s="11">
        <v>1</v>
      </c>
      <c r="S401" s="11">
        <v>5</v>
      </c>
      <c r="T401" s="11">
        <v>1</v>
      </c>
      <c r="U401" s="11">
        <v>0</v>
      </c>
      <c r="V401" s="11">
        <v>5</v>
      </c>
      <c r="W401" s="11">
        <v>0</v>
      </c>
      <c r="X401" s="11">
        <v>1</v>
      </c>
      <c r="Y401" s="11">
        <v>8</v>
      </c>
      <c r="Z401" s="11">
        <v>0</v>
      </c>
      <c r="AA401" s="11">
        <v>1</v>
      </c>
      <c r="AB401" s="11">
        <v>0</v>
      </c>
      <c r="AC401" s="11">
        <v>0</v>
      </c>
      <c r="AD401" s="11">
        <v>0</v>
      </c>
      <c r="AE401" s="11">
        <v>0</v>
      </c>
      <c r="AF401" s="11">
        <v>8</v>
      </c>
    </row>
    <row r="402" spans="1:32">
      <c r="A402" t="s">
        <v>71</v>
      </c>
      <c r="B402">
        <v>2023</v>
      </c>
      <c r="C402" t="str">
        <f t="shared" si="19"/>
        <v>2023-Q3</v>
      </c>
      <c r="D402" t="s">
        <v>63</v>
      </c>
      <c r="E402" t="str">
        <f t="shared" si="18"/>
        <v>South West</v>
      </c>
      <c r="F402" s="5">
        <v>36</v>
      </c>
      <c r="G402" s="5">
        <v>74</v>
      </c>
      <c r="H402" s="5">
        <v>8</v>
      </c>
      <c r="I402" s="5">
        <v>118</v>
      </c>
      <c r="J402" s="5">
        <v>332</v>
      </c>
      <c r="K402" s="5">
        <v>45</v>
      </c>
      <c r="L402" s="5">
        <v>377</v>
      </c>
      <c r="M402" s="5">
        <v>737</v>
      </c>
      <c r="N402" s="6">
        <f t="shared" si="20"/>
        <v>0.11936339522546419</v>
      </c>
      <c r="O402" s="11">
        <v>106</v>
      </c>
      <c r="P402" s="11">
        <v>0</v>
      </c>
      <c r="Q402" s="11">
        <v>12</v>
      </c>
      <c r="R402" s="11">
        <v>0</v>
      </c>
      <c r="S402" s="11">
        <v>5</v>
      </c>
      <c r="T402" s="11">
        <v>2</v>
      </c>
      <c r="U402" s="11">
        <v>0</v>
      </c>
      <c r="V402" s="11">
        <v>10</v>
      </c>
      <c r="W402" s="11">
        <v>6</v>
      </c>
      <c r="X402" s="11">
        <v>0</v>
      </c>
      <c r="Y402" s="11">
        <v>7</v>
      </c>
      <c r="Z402" s="11">
        <v>0</v>
      </c>
      <c r="AA402" s="11">
        <v>0</v>
      </c>
      <c r="AB402" s="11">
        <v>0</v>
      </c>
      <c r="AC402" s="11">
        <v>0</v>
      </c>
      <c r="AD402" s="11">
        <v>0</v>
      </c>
      <c r="AE402" s="11">
        <v>0</v>
      </c>
      <c r="AF402" s="11">
        <v>12</v>
      </c>
    </row>
    <row r="403" spans="1:32">
      <c r="A403" t="s">
        <v>71</v>
      </c>
      <c r="B403">
        <v>2023</v>
      </c>
      <c r="C403" t="str">
        <f t="shared" si="19"/>
        <v>2023-Q3</v>
      </c>
      <c r="D403" t="s">
        <v>64</v>
      </c>
      <c r="E403" t="str">
        <f t="shared" si="18"/>
        <v>North Central</v>
      </c>
      <c r="F403" s="5">
        <v>4</v>
      </c>
      <c r="G403" s="5">
        <v>35</v>
      </c>
      <c r="H403" s="5">
        <v>5</v>
      </c>
      <c r="I403" s="5">
        <v>44</v>
      </c>
      <c r="J403" s="5">
        <v>100</v>
      </c>
      <c r="K403" s="5">
        <v>4</v>
      </c>
      <c r="L403" s="5">
        <v>104</v>
      </c>
      <c r="M403" s="5">
        <v>178</v>
      </c>
      <c r="N403" s="6">
        <f t="shared" si="20"/>
        <v>3.8461538461538464E-2</v>
      </c>
      <c r="O403" s="11">
        <v>32</v>
      </c>
      <c r="P403" s="11">
        <v>0</v>
      </c>
      <c r="Q403" s="11">
        <v>0</v>
      </c>
      <c r="R403" s="11">
        <v>0</v>
      </c>
      <c r="S403" s="11">
        <v>7</v>
      </c>
      <c r="T403" s="11">
        <v>0</v>
      </c>
      <c r="U403" s="11">
        <v>0</v>
      </c>
      <c r="V403" s="11">
        <v>5</v>
      </c>
      <c r="W403" s="11">
        <v>3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1</v>
      </c>
      <c r="AF403" s="11">
        <v>2</v>
      </c>
    </row>
    <row r="404" spans="1:32">
      <c r="A404" t="s">
        <v>71</v>
      </c>
      <c r="B404">
        <v>2023</v>
      </c>
      <c r="C404" t="str">
        <f t="shared" si="19"/>
        <v>2023-Q3</v>
      </c>
      <c r="D404" t="s">
        <v>65</v>
      </c>
      <c r="E404" t="str">
        <f t="shared" si="18"/>
        <v>South South</v>
      </c>
      <c r="F404" s="5">
        <v>2</v>
      </c>
      <c r="G404" s="5">
        <v>9</v>
      </c>
      <c r="H404" s="5">
        <v>2</v>
      </c>
      <c r="I404" s="5">
        <v>13</v>
      </c>
      <c r="J404" s="5">
        <v>49</v>
      </c>
      <c r="K404" s="5">
        <v>3</v>
      </c>
      <c r="L404" s="5">
        <v>52</v>
      </c>
      <c r="M404" s="5">
        <v>140</v>
      </c>
      <c r="N404" s="6">
        <f t="shared" si="20"/>
        <v>5.7692307692307696E-2</v>
      </c>
      <c r="O404" s="11">
        <v>11</v>
      </c>
      <c r="P404" s="11">
        <v>0</v>
      </c>
      <c r="Q404" s="11">
        <v>4</v>
      </c>
      <c r="R404" s="11">
        <v>0</v>
      </c>
      <c r="S404" s="11">
        <v>3</v>
      </c>
      <c r="T404" s="11">
        <v>0</v>
      </c>
      <c r="U404" s="11">
        <v>0</v>
      </c>
      <c r="V404" s="11">
        <v>0</v>
      </c>
      <c r="W404" s="11">
        <v>2</v>
      </c>
      <c r="X404" s="11">
        <v>0</v>
      </c>
      <c r="Y404" s="11">
        <v>1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</row>
    <row r="405" spans="1:32">
      <c r="A405" t="s">
        <v>71</v>
      </c>
      <c r="B405">
        <v>2023</v>
      </c>
      <c r="C405" t="str">
        <f t="shared" si="19"/>
        <v>2023-Q3</v>
      </c>
      <c r="D405" t="s">
        <v>66</v>
      </c>
      <c r="E405" t="str">
        <f t="shared" si="18"/>
        <v>North West</v>
      </c>
      <c r="F405" s="5">
        <v>5</v>
      </c>
      <c r="G405" s="5">
        <v>9</v>
      </c>
      <c r="H405" s="5">
        <v>1</v>
      </c>
      <c r="I405" s="5">
        <v>15</v>
      </c>
      <c r="J405" s="5">
        <v>36</v>
      </c>
      <c r="K405" s="5">
        <v>11</v>
      </c>
      <c r="L405" s="5">
        <v>47</v>
      </c>
      <c r="M405" s="5">
        <v>58</v>
      </c>
      <c r="N405" s="6">
        <f t="shared" si="20"/>
        <v>0.23404255319148937</v>
      </c>
      <c r="O405" s="11">
        <v>14</v>
      </c>
      <c r="P405" s="11">
        <v>0</v>
      </c>
      <c r="Q405" s="11">
        <v>0</v>
      </c>
      <c r="R405" s="11">
        <v>0</v>
      </c>
      <c r="S405" s="11">
        <v>0</v>
      </c>
      <c r="T405" s="11">
        <v>2</v>
      </c>
      <c r="U405" s="11">
        <v>0</v>
      </c>
      <c r="V405" s="11">
        <v>2</v>
      </c>
      <c r="W405" s="11">
        <v>4</v>
      </c>
      <c r="X405" s="11">
        <v>0</v>
      </c>
      <c r="Y405" s="11">
        <v>2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</row>
    <row r="406" spans="1:32">
      <c r="A406" t="s">
        <v>71</v>
      </c>
      <c r="B406">
        <v>2023</v>
      </c>
      <c r="C406" t="str">
        <f t="shared" si="19"/>
        <v>2023-Q3</v>
      </c>
      <c r="D406" t="s">
        <v>67</v>
      </c>
      <c r="E406" t="str">
        <f t="shared" si="18"/>
        <v>North East</v>
      </c>
      <c r="F406" s="5">
        <v>0</v>
      </c>
      <c r="G406" s="5">
        <v>24</v>
      </c>
      <c r="H406" s="5">
        <v>0</v>
      </c>
      <c r="I406" s="5">
        <v>24</v>
      </c>
      <c r="J406" s="5">
        <v>79</v>
      </c>
      <c r="K406" s="5">
        <v>0</v>
      </c>
      <c r="L406" s="5">
        <v>79</v>
      </c>
      <c r="M406" s="5">
        <v>162</v>
      </c>
      <c r="N406" s="6">
        <f t="shared" si="20"/>
        <v>0</v>
      </c>
      <c r="O406" s="11">
        <v>8</v>
      </c>
      <c r="P406" s="11">
        <v>0</v>
      </c>
      <c r="Q406" s="11">
        <v>1</v>
      </c>
      <c r="R406" s="11">
        <v>0</v>
      </c>
      <c r="S406" s="11">
        <v>0</v>
      </c>
      <c r="T406" s="11">
        <v>0</v>
      </c>
      <c r="U406" s="11">
        <v>0</v>
      </c>
      <c r="V406" s="11">
        <v>1</v>
      </c>
      <c r="W406" s="11">
        <v>9</v>
      </c>
      <c r="X406" s="11">
        <v>0</v>
      </c>
      <c r="Y406" s="11">
        <v>3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6</v>
      </c>
      <c r="AF406" s="11">
        <v>0</v>
      </c>
    </row>
    <row r="407" spans="1:32">
      <c r="A407" t="s">
        <v>71</v>
      </c>
      <c r="B407">
        <v>2023</v>
      </c>
      <c r="C407" t="str">
        <f t="shared" si="19"/>
        <v>2023-Q3</v>
      </c>
      <c r="D407" t="s">
        <v>68</v>
      </c>
      <c r="E407" t="str">
        <f t="shared" si="18"/>
        <v>North East</v>
      </c>
      <c r="F407" s="5">
        <v>8</v>
      </c>
      <c r="G407" s="5">
        <v>19</v>
      </c>
      <c r="H407" s="5">
        <v>1</v>
      </c>
      <c r="I407" s="5">
        <v>28</v>
      </c>
      <c r="J407" s="5">
        <v>93</v>
      </c>
      <c r="K407" s="5">
        <v>12</v>
      </c>
      <c r="L407" s="5">
        <v>105</v>
      </c>
      <c r="M407" s="5">
        <v>132</v>
      </c>
      <c r="N407" s="6">
        <f t="shared" si="20"/>
        <v>0.11428571428571428</v>
      </c>
      <c r="O407" s="11">
        <v>11</v>
      </c>
      <c r="P407" s="11">
        <v>0</v>
      </c>
      <c r="Q407" s="11">
        <v>9</v>
      </c>
      <c r="R407" s="11">
        <v>2</v>
      </c>
      <c r="S407" s="11">
        <v>0</v>
      </c>
      <c r="T407" s="11">
        <v>0</v>
      </c>
      <c r="U407" s="11">
        <v>0</v>
      </c>
      <c r="V407" s="11">
        <v>2</v>
      </c>
      <c r="W407" s="11">
        <v>2</v>
      </c>
      <c r="X407" s="11">
        <v>0</v>
      </c>
      <c r="Y407" s="11">
        <v>2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4</v>
      </c>
      <c r="AF407" s="11">
        <v>1</v>
      </c>
    </row>
    <row r="408" spans="1:32">
      <c r="A408" t="s">
        <v>71</v>
      </c>
      <c r="B408">
        <v>2023</v>
      </c>
      <c r="C408" t="str">
        <f t="shared" si="19"/>
        <v>2023-Q3</v>
      </c>
      <c r="D408" t="s">
        <v>69</v>
      </c>
      <c r="E408" t="str">
        <f t="shared" si="18"/>
        <v>North West</v>
      </c>
      <c r="F408" s="5">
        <v>1</v>
      </c>
      <c r="G408" s="5">
        <v>9</v>
      </c>
      <c r="H408" s="5">
        <v>0</v>
      </c>
      <c r="I408" s="5">
        <v>10</v>
      </c>
      <c r="J408" s="5">
        <v>38</v>
      </c>
      <c r="K408" s="5">
        <v>1</v>
      </c>
      <c r="L408" s="5">
        <v>39</v>
      </c>
      <c r="M408" s="5">
        <v>49</v>
      </c>
      <c r="N408" s="6">
        <f t="shared" si="20"/>
        <v>2.564102564102564E-2</v>
      </c>
      <c r="O408" s="11">
        <v>8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2</v>
      </c>
      <c r="W408" s="11">
        <v>1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2</v>
      </c>
      <c r="AF408" s="11">
        <v>0</v>
      </c>
    </row>
    <row r="409" spans="1:32">
      <c r="A409" t="s">
        <v>72</v>
      </c>
      <c r="B409">
        <v>2023</v>
      </c>
      <c r="C409" t="str">
        <f t="shared" si="19"/>
        <v>2023-Q4</v>
      </c>
      <c r="D409" t="s">
        <v>33</v>
      </c>
      <c r="E409" t="str">
        <f t="shared" si="18"/>
        <v>South East</v>
      </c>
      <c r="F409" s="7">
        <v>9</v>
      </c>
      <c r="G409" s="7">
        <v>15</v>
      </c>
      <c r="H409" s="7">
        <v>2</v>
      </c>
      <c r="I409" s="7">
        <v>26</v>
      </c>
      <c r="J409" s="7">
        <v>159</v>
      </c>
      <c r="K409" s="7">
        <v>14</v>
      </c>
      <c r="L409" s="7">
        <v>173</v>
      </c>
      <c r="M409" s="7">
        <v>298</v>
      </c>
      <c r="N409" s="6">
        <f t="shared" si="20"/>
        <v>8.0924855491329481E-2</v>
      </c>
      <c r="O409" s="11">
        <v>13</v>
      </c>
      <c r="P409" s="11">
        <v>0</v>
      </c>
      <c r="Q409" s="11">
        <v>9</v>
      </c>
      <c r="R409" s="11">
        <v>0</v>
      </c>
      <c r="S409" s="11">
        <v>4</v>
      </c>
      <c r="T409" s="11">
        <v>0</v>
      </c>
      <c r="U409" s="11">
        <v>0</v>
      </c>
      <c r="V409" s="11">
        <v>1</v>
      </c>
      <c r="W409" s="11">
        <v>0</v>
      </c>
      <c r="X409" s="11">
        <v>0</v>
      </c>
      <c r="Y409" s="11">
        <v>1</v>
      </c>
      <c r="Z409" s="11">
        <v>0</v>
      </c>
      <c r="AA409" s="11">
        <v>0</v>
      </c>
      <c r="AB409" s="11">
        <v>1</v>
      </c>
      <c r="AC409" s="11">
        <v>0</v>
      </c>
      <c r="AD409" s="11">
        <v>0</v>
      </c>
      <c r="AE409" s="11">
        <v>2</v>
      </c>
      <c r="AF409" s="11">
        <v>0</v>
      </c>
    </row>
    <row r="410" spans="1:32">
      <c r="A410" t="s">
        <v>72</v>
      </c>
      <c r="B410">
        <v>2023</v>
      </c>
      <c r="C410" t="str">
        <f t="shared" si="19"/>
        <v>2023-Q4</v>
      </c>
      <c r="D410" t="s">
        <v>34</v>
      </c>
      <c r="E410" t="str">
        <f t="shared" si="18"/>
        <v>North East</v>
      </c>
      <c r="F410" s="7">
        <v>9</v>
      </c>
      <c r="G410" s="7">
        <v>33</v>
      </c>
      <c r="H410" s="7">
        <v>0</v>
      </c>
      <c r="I410" s="7">
        <v>42</v>
      </c>
      <c r="J410" s="7">
        <v>153</v>
      </c>
      <c r="K410" s="7">
        <v>11</v>
      </c>
      <c r="L410" s="7">
        <v>164</v>
      </c>
      <c r="M410" s="7">
        <v>327</v>
      </c>
      <c r="N410" s="6">
        <f t="shared" si="20"/>
        <v>6.7073170731707321E-2</v>
      </c>
      <c r="O410" s="11">
        <v>34</v>
      </c>
      <c r="P410" s="11">
        <v>1</v>
      </c>
      <c r="Q410" s="11">
        <v>3</v>
      </c>
      <c r="R410" s="11">
        <v>1</v>
      </c>
      <c r="S410" s="11">
        <v>2</v>
      </c>
      <c r="T410" s="11">
        <v>0</v>
      </c>
      <c r="U410" s="11">
        <v>0</v>
      </c>
      <c r="V410" s="11">
        <v>8</v>
      </c>
      <c r="W410" s="11">
        <v>3</v>
      </c>
      <c r="X410" s="11">
        <v>0</v>
      </c>
      <c r="Y410" s="11">
        <v>2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3</v>
      </c>
      <c r="AF410" s="11">
        <v>0</v>
      </c>
    </row>
    <row r="411" spans="1:32">
      <c r="A411" t="s">
        <v>72</v>
      </c>
      <c r="B411">
        <v>2023</v>
      </c>
      <c r="C411" t="str">
        <f t="shared" si="19"/>
        <v>2023-Q4</v>
      </c>
      <c r="D411" t="s">
        <v>35</v>
      </c>
      <c r="E411" t="str">
        <f t="shared" si="18"/>
        <v>South South</v>
      </c>
      <c r="F411" s="7">
        <v>5</v>
      </c>
      <c r="G411" s="7">
        <v>4</v>
      </c>
      <c r="H411" s="7">
        <v>3</v>
      </c>
      <c r="I411" s="7">
        <v>12</v>
      </c>
      <c r="J411" s="7">
        <v>24</v>
      </c>
      <c r="K411" s="7">
        <v>15</v>
      </c>
      <c r="L411" s="7">
        <v>39</v>
      </c>
      <c r="M411" s="7">
        <v>66</v>
      </c>
      <c r="N411" s="6">
        <f t="shared" si="20"/>
        <v>0.38461538461538464</v>
      </c>
      <c r="O411" s="11">
        <v>8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3</v>
      </c>
      <c r="W411" s="11">
        <v>3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1</v>
      </c>
      <c r="AD411" s="11">
        <v>0</v>
      </c>
      <c r="AE411" s="11">
        <v>0</v>
      </c>
      <c r="AF411" s="11">
        <v>0</v>
      </c>
    </row>
    <row r="412" spans="1:32">
      <c r="A412" t="s">
        <v>72</v>
      </c>
      <c r="B412">
        <v>2023</v>
      </c>
      <c r="C412" t="str">
        <f t="shared" si="19"/>
        <v>2023-Q4</v>
      </c>
      <c r="D412" t="s">
        <v>36</v>
      </c>
      <c r="E412" t="str">
        <f t="shared" si="18"/>
        <v>South East</v>
      </c>
      <c r="F412" s="7">
        <v>8</v>
      </c>
      <c r="G412" s="7">
        <v>13</v>
      </c>
      <c r="H412" s="7">
        <v>11</v>
      </c>
      <c r="I412" s="7">
        <v>32</v>
      </c>
      <c r="J412" s="7">
        <v>71</v>
      </c>
      <c r="K412" s="7">
        <v>9</v>
      </c>
      <c r="L412" s="7">
        <v>80</v>
      </c>
      <c r="M412" s="7">
        <v>288</v>
      </c>
      <c r="N412" s="6">
        <f t="shared" si="20"/>
        <v>0.1125</v>
      </c>
      <c r="O412" s="11">
        <v>11</v>
      </c>
      <c r="P412" s="11">
        <v>0</v>
      </c>
      <c r="Q412" s="11">
        <v>1</v>
      </c>
      <c r="R412" s="11">
        <v>1</v>
      </c>
      <c r="S412" s="11">
        <v>8</v>
      </c>
      <c r="T412" s="11">
        <v>0</v>
      </c>
      <c r="U412" s="11">
        <v>0</v>
      </c>
      <c r="V412" s="11">
        <v>11</v>
      </c>
      <c r="W412" s="11">
        <v>0</v>
      </c>
      <c r="X412" s="11">
        <v>0</v>
      </c>
      <c r="Y412" s="11">
        <v>0</v>
      </c>
      <c r="Z412" s="11">
        <v>1</v>
      </c>
      <c r="AA412" s="11">
        <v>0</v>
      </c>
      <c r="AB412" s="11">
        <v>0</v>
      </c>
      <c r="AC412" s="11">
        <v>0</v>
      </c>
      <c r="AD412" s="11">
        <v>0</v>
      </c>
      <c r="AE412" s="11">
        <v>2</v>
      </c>
      <c r="AF412" s="11">
        <v>1</v>
      </c>
    </row>
    <row r="413" spans="1:32">
      <c r="A413" t="s">
        <v>72</v>
      </c>
      <c r="B413">
        <v>2023</v>
      </c>
      <c r="C413" t="str">
        <f t="shared" si="19"/>
        <v>2023-Q4</v>
      </c>
      <c r="D413" t="s">
        <v>37</v>
      </c>
      <c r="E413" t="str">
        <f t="shared" si="18"/>
        <v>North East</v>
      </c>
      <c r="F413" s="7">
        <v>23</v>
      </c>
      <c r="G413" s="7">
        <v>59</v>
      </c>
      <c r="H413" s="7">
        <v>1</v>
      </c>
      <c r="I413" s="7">
        <v>83</v>
      </c>
      <c r="J413" s="7">
        <v>361</v>
      </c>
      <c r="K413" s="7">
        <v>46</v>
      </c>
      <c r="L413" s="7">
        <v>407</v>
      </c>
      <c r="M413" s="7">
        <v>657</v>
      </c>
      <c r="N413" s="6">
        <f t="shared" si="20"/>
        <v>0.11302211302211303</v>
      </c>
      <c r="O413" s="11">
        <v>55</v>
      </c>
      <c r="P413" s="11">
        <v>0</v>
      </c>
      <c r="Q413" s="11">
        <v>13</v>
      </c>
      <c r="R413" s="11">
        <v>0</v>
      </c>
      <c r="S413" s="11">
        <v>2</v>
      </c>
      <c r="T413" s="11">
        <v>1</v>
      </c>
      <c r="U413" s="11">
        <v>0</v>
      </c>
      <c r="V413" s="11">
        <v>3</v>
      </c>
      <c r="W413" s="11">
        <v>2</v>
      </c>
      <c r="X413" s="11">
        <v>1</v>
      </c>
      <c r="Y413" s="11">
        <v>8</v>
      </c>
      <c r="Z413" s="11">
        <v>9</v>
      </c>
      <c r="AA413" s="11">
        <v>0</v>
      </c>
      <c r="AB413" s="11">
        <v>0</v>
      </c>
      <c r="AC413" s="11">
        <v>0</v>
      </c>
      <c r="AD413" s="11">
        <v>2</v>
      </c>
      <c r="AE413" s="11">
        <v>7</v>
      </c>
      <c r="AF413" s="11">
        <v>33</v>
      </c>
    </row>
    <row r="414" spans="1:32">
      <c r="A414" t="s">
        <v>72</v>
      </c>
      <c r="B414">
        <v>2023</v>
      </c>
      <c r="C414" t="str">
        <f t="shared" si="19"/>
        <v>2023-Q4</v>
      </c>
      <c r="D414" t="s">
        <v>38</v>
      </c>
      <c r="E414" t="str">
        <f t="shared" si="18"/>
        <v>South South</v>
      </c>
      <c r="F414" s="7">
        <v>0</v>
      </c>
      <c r="G414" s="7">
        <v>2</v>
      </c>
      <c r="H414" s="7">
        <v>1</v>
      </c>
      <c r="I414" s="7">
        <v>3</v>
      </c>
      <c r="J414" s="7">
        <v>14</v>
      </c>
      <c r="K414" s="7">
        <v>0</v>
      </c>
      <c r="L414" s="7">
        <v>14</v>
      </c>
      <c r="M414" s="7">
        <v>17</v>
      </c>
      <c r="N414" s="6">
        <f t="shared" si="20"/>
        <v>0</v>
      </c>
      <c r="O414" s="11">
        <v>0</v>
      </c>
      <c r="P414" s="11">
        <v>0</v>
      </c>
      <c r="Q414" s="11">
        <v>1</v>
      </c>
      <c r="R414" s="11">
        <v>0</v>
      </c>
      <c r="S414" s="11">
        <v>0</v>
      </c>
      <c r="T414" s="11">
        <v>0</v>
      </c>
      <c r="U414" s="11">
        <v>0</v>
      </c>
      <c r="V414" s="11">
        <v>2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1</v>
      </c>
      <c r="AF414" s="11">
        <v>0</v>
      </c>
    </row>
    <row r="415" spans="1:32">
      <c r="A415" t="s">
        <v>72</v>
      </c>
      <c r="B415">
        <v>2023</v>
      </c>
      <c r="C415" t="str">
        <f t="shared" si="19"/>
        <v>2023-Q4</v>
      </c>
      <c r="D415" t="s">
        <v>39</v>
      </c>
      <c r="E415" t="str">
        <f t="shared" si="18"/>
        <v>North Central</v>
      </c>
      <c r="F415" s="7">
        <v>13</v>
      </c>
      <c r="G415" s="7">
        <v>25</v>
      </c>
      <c r="H415" s="7">
        <v>4</v>
      </c>
      <c r="I415" s="7">
        <v>42</v>
      </c>
      <c r="J415" s="7">
        <v>114</v>
      </c>
      <c r="K415" s="7">
        <v>23</v>
      </c>
      <c r="L415" s="7">
        <v>137</v>
      </c>
      <c r="M415" s="7">
        <v>227</v>
      </c>
      <c r="N415" s="6">
        <f t="shared" si="20"/>
        <v>0.16788321167883211</v>
      </c>
      <c r="O415" s="11">
        <v>27</v>
      </c>
      <c r="P415" s="11">
        <v>0</v>
      </c>
      <c r="Q415" s="11">
        <v>3</v>
      </c>
      <c r="R415" s="11">
        <v>2</v>
      </c>
      <c r="S415" s="11">
        <v>0</v>
      </c>
      <c r="T415" s="11">
        <v>0</v>
      </c>
      <c r="U415" s="11">
        <v>1</v>
      </c>
      <c r="V415" s="11">
        <v>3</v>
      </c>
      <c r="W415" s="11">
        <v>2</v>
      </c>
      <c r="X415" s="11">
        <v>1</v>
      </c>
      <c r="Y415" s="11">
        <v>2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1</v>
      </c>
    </row>
    <row r="416" spans="1:32">
      <c r="A416" t="s">
        <v>72</v>
      </c>
      <c r="B416">
        <v>2023</v>
      </c>
      <c r="C416" t="str">
        <f t="shared" si="19"/>
        <v>2023-Q4</v>
      </c>
      <c r="D416" t="s">
        <v>40</v>
      </c>
      <c r="E416" t="str">
        <f t="shared" si="18"/>
        <v>North East</v>
      </c>
      <c r="F416" s="7">
        <v>4</v>
      </c>
      <c r="G416" s="7">
        <v>15</v>
      </c>
      <c r="H416" s="7">
        <v>0</v>
      </c>
      <c r="I416" s="7">
        <v>19</v>
      </c>
      <c r="J416" s="7">
        <v>210</v>
      </c>
      <c r="K416" s="7">
        <v>5</v>
      </c>
      <c r="L416" s="7">
        <v>215</v>
      </c>
      <c r="M416" s="7">
        <v>313</v>
      </c>
      <c r="N416" s="6">
        <f t="shared" si="20"/>
        <v>2.3255813953488372E-2</v>
      </c>
      <c r="O416" s="11">
        <v>4</v>
      </c>
      <c r="P416" s="11">
        <v>0</v>
      </c>
      <c r="Q416" s="11">
        <v>1</v>
      </c>
      <c r="R416" s="11">
        <v>0</v>
      </c>
      <c r="S416" s="11">
        <v>0</v>
      </c>
      <c r="T416" s="11">
        <v>0</v>
      </c>
      <c r="U416" s="11">
        <v>0</v>
      </c>
      <c r="V416" s="11">
        <v>3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15</v>
      </c>
      <c r="AF416" s="11">
        <v>9</v>
      </c>
    </row>
    <row r="417" spans="1:32">
      <c r="A417" t="s">
        <v>72</v>
      </c>
      <c r="B417">
        <v>2023</v>
      </c>
      <c r="C417" t="str">
        <f t="shared" si="19"/>
        <v>2023-Q4</v>
      </c>
      <c r="D417" t="s">
        <v>41</v>
      </c>
      <c r="E417" t="str">
        <f t="shared" si="18"/>
        <v>South South</v>
      </c>
      <c r="F417" s="7">
        <v>9</v>
      </c>
      <c r="G417" s="7">
        <v>14</v>
      </c>
      <c r="H417" s="7">
        <v>3</v>
      </c>
      <c r="I417" s="7">
        <v>26</v>
      </c>
      <c r="J417" s="7">
        <v>42</v>
      </c>
      <c r="K417" s="7">
        <v>16</v>
      </c>
      <c r="L417" s="7">
        <v>58</v>
      </c>
      <c r="M417" s="7">
        <v>130</v>
      </c>
      <c r="N417" s="6">
        <f t="shared" si="20"/>
        <v>0.27586206896551724</v>
      </c>
      <c r="O417" s="11">
        <v>15</v>
      </c>
      <c r="P417" s="11">
        <v>0</v>
      </c>
      <c r="Q417" s="11">
        <v>1</v>
      </c>
      <c r="R417" s="11">
        <v>1</v>
      </c>
      <c r="S417" s="11">
        <v>2</v>
      </c>
      <c r="T417" s="11">
        <v>0</v>
      </c>
      <c r="U417" s="11">
        <v>3</v>
      </c>
      <c r="V417" s="11">
        <v>2</v>
      </c>
      <c r="W417" s="11">
        <v>0</v>
      </c>
      <c r="X417" s="11">
        <v>1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1</v>
      </c>
      <c r="AF417" s="11">
        <v>2</v>
      </c>
    </row>
    <row r="418" spans="1:32">
      <c r="A418" t="s">
        <v>72</v>
      </c>
      <c r="B418">
        <v>2023</v>
      </c>
      <c r="C418" t="str">
        <f t="shared" si="19"/>
        <v>2023-Q4</v>
      </c>
      <c r="D418" t="s">
        <v>42</v>
      </c>
      <c r="E418" t="str">
        <f t="shared" si="18"/>
        <v>South South</v>
      </c>
      <c r="F418" s="7">
        <v>11</v>
      </c>
      <c r="G418" s="7">
        <v>26</v>
      </c>
      <c r="H418" s="7">
        <v>1</v>
      </c>
      <c r="I418" s="7">
        <v>38</v>
      </c>
      <c r="J418" s="7">
        <v>123</v>
      </c>
      <c r="K418" s="7">
        <v>29</v>
      </c>
      <c r="L418" s="7">
        <v>152</v>
      </c>
      <c r="M418" s="7">
        <v>303</v>
      </c>
      <c r="N418" s="6">
        <f t="shared" si="20"/>
        <v>0.19078947368421054</v>
      </c>
      <c r="O418" s="11">
        <v>20</v>
      </c>
      <c r="P418" s="11">
        <v>1</v>
      </c>
      <c r="Q418" s="11">
        <v>2</v>
      </c>
      <c r="R418" s="11">
        <v>0</v>
      </c>
      <c r="S418" s="11">
        <v>4</v>
      </c>
      <c r="T418" s="11">
        <v>1</v>
      </c>
      <c r="U418" s="11">
        <v>0</v>
      </c>
      <c r="V418" s="11">
        <v>6</v>
      </c>
      <c r="W418" s="11">
        <v>0</v>
      </c>
      <c r="X418" s="11">
        <v>0</v>
      </c>
      <c r="Y418" s="11">
        <v>2</v>
      </c>
      <c r="Z418" s="11">
        <v>0</v>
      </c>
      <c r="AA418" s="11">
        <v>0</v>
      </c>
      <c r="AB418" s="11">
        <v>0</v>
      </c>
      <c r="AC418" s="11">
        <v>0</v>
      </c>
      <c r="AD418" s="11">
        <v>1</v>
      </c>
      <c r="AE418" s="11">
        <v>3</v>
      </c>
      <c r="AF418" s="11">
        <v>1</v>
      </c>
    </row>
    <row r="419" spans="1:32">
      <c r="A419" t="s">
        <v>72</v>
      </c>
      <c r="B419">
        <v>2023</v>
      </c>
      <c r="C419" t="str">
        <f t="shared" si="19"/>
        <v>2023-Q4</v>
      </c>
      <c r="D419" t="s">
        <v>43</v>
      </c>
      <c r="E419" t="str">
        <f t="shared" si="18"/>
        <v>South East</v>
      </c>
      <c r="F419" s="7">
        <v>8</v>
      </c>
      <c r="G419" s="7">
        <v>15</v>
      </c>
      <c r="H419" s="7">
        <v>2</v>
      </c>
      <c r="I419" s="7">
        <v>25</v>
      </c>
      <c r="J419" s="7">
        <v>72</v>
      </c>
      <c r="K419" s="7">
        <v>11</v>
      </c>
      <c r="L419" s="7">
        <v>83</v>
      </c>
      <c r="M419" s="7">
        <v>129</v>
      </c>
      <c r="N419" s="6">
        <f t="shared" si="20"/>
        <v>0.13253012048192772</v>
      </c>
      <c r="O419" s="11">
        <v>15</v>
      </c>
      <c r="P419" s="11">
        <v>0</v>
      </c>
      <c r="Q419" s="11">
        <v>2</v>
      </c>
      <c r="R419" s="11">
        <v>0</v>
      </c>
      <c r="S419" s="11">
        <v>1</v>
      </c>
      <c r="T419" s="11">
        <v>0</v>
      </c>
      <c r="U419" s="11">
        <v>0</v>
      </c>
      <c r="V419" s="11">
        <v>5</v>
      </c>
      <c r="W419" s="11">
        <v>0</v>
      </c>
      <c r="X419" s="11">
        <v>0</v>
      </c>
      <c r="Y419" s="11">
        <v>2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3</v>
      </c>
    </row>
    <row r="420" spans="1:32">
      <c r="A420" t="s">
        <v>72</v>
      </c>
      <c r="B420">
        <v>2023</v>
      </c>
      <c r="C420" t="str">
        <f t="shared" si="19"/>
        <v>2023-Q4</v>
      </c>
      <c r="D420" t="s">
        <v>44</v>
      </c>
      <c r="E420" t="str">
        <f t="shared" si="18"/>
        <v>South South</v>
      </c>
      <c r="F420" s="7">
        <v>12</v>
      </c>
      <c r="G420" s="7">
        <v>29</v>
      </c>
      <c r="H420" s="7">
        <v>5</v>
      </c>
      <c r="I420" s="7">
        <v>46</v>
      </c>
      <c r="J420" s="7">
        <v>102</v>
      </c>
      <c r="K420" s="7">
        <v>16</v>
      </c>
      <c r="L420" s="7">
        <v>118</v>
      </c>
      <c r="M420" s="7">
        <v>247</v>
      </c>
      <c r="N420" s="6">
        <f t="shared" si="20"/>
        <v>0.13559322033898305</v>
      </c>
      <c r="O420" s="11">
        <v>38</v>
      </c>
      <c r="P420" s="11">
        <v>0</v>
      </c>
      <c r="Q420" s="11">
        <v>4</v>
      </c>
      <c r="R420" s="11">
        <v>0</v>
      </c>
      <c r="S420" s="11">
        <v>9</v>
      </c>
      <c r="T420" s="11">
        <v>0</v>
      </c>
      <c r="U420" s="11">
        <v>0</v>
      </c>
      <c r="V420" s="11">
        <v>3</v>
      </c>
      <c r="W420" s="11">
        <v>1</v>
      </c>
      <c r="X420" s="11">
        <v>0</v>
      </c>
      <c r="Y420" s="11">
        <v>7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4</v>
      </c>
      <c r="AF420" s="11">
        <v>1</v>
      </c>
    </row>
    <row r="421" spans="1:32">
      <c r="A421" t="s">
        <v>72</v>
      </c>
      <c r="B421">
        <v>2023</v>
      </c>
      <c r="C421" t="str">
        <f t="shared" si="19"/>
        <v>2023-Q4</v>
      </c>
      <c r="D421" t="s">
        <v>45</v>
      </c>
      <c r="E421" t="str">
        <f t="shared" si="18"/>
        <v>South West</v>
      </c>
      <c r="F421" s="7">
        <v>2</v>
      </c>
      <c r="G421" s="7">
        <v>18</v>
      </c>
      <c r="H421" s="7">
        <v>4</v>
      </c>
      <c r="I421" s="7">
        <v>24</v>
      </c>
      <c r="J421" s="7">
        <v>37</v>
      </c>
      <c r="K421" s="7">
        <v>2</v>
      </c>
      <c r="L421" s="7">
        <v>39</v>
      </c>
      <c r="M421" s="7">
        <v>80</v>
      </c>
      <c r="N421" s="6">
        <f t="shared" si="20"/>
        <v>5.128205128205128E-2</v>
      </c>
      <c r="O421" s="11">
        <v>30</v>
      </c>
      <c r="P421" s="11">
        <v>0</v>
      </c>
      <c r="Q421" s="11">
        <v>1</v>
      </c>
      <c r="R421" s="11">
        <v>4</v>
      </c>
      <c r="S421" s="11">
        <v>1</v>
      </c>
      <c r="T421" s="11">
        <v>0</v>
      </c>
      <c r="U421" s="11">
        <v>0</v>
      </c>
      <c r="V421" s="11">
        <v>1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11">
        <v>1</v>
      </c>
      <c r="AC421" s="11">
        <v>0</v>
      </c>
      <c r="AD421" s="11">
        <v>0</v>
      </c>
      <c r="AE421" s="11">
        <v>4</v>
      </c>
      <c r="AF421" s="11">
        <v>0</v>
      </c>
    </row>
    <row r="422" spans="1:32">
      <c r="A422" t="s">
        <v>72</v>
      </c>
      <c r="B422">
        <v>2023</v>
      </c>
      <c r="C422" t="str">
        <f t="shared" si="19"/>
        <v>2023-Q4</v>
      </c>
      <c r="D422" t="s">
        <v>46</v>
      </c>
      <c r="E422" t="str">
        <f t="shared" si="18"/>
        <v>South East</v>
      </c>
      <c r="F422" s="7">
        <v>9</v>
      </c>
      <c r="G422" s="7">
        <v>29</v>
      </c>
      <c r="H422" s="7">
        <v>4</v>
      </c>
      <c r="I422" s="7">
        <v>42</v>
      </c>
      <c r="J422" s="7">
        <v>193</v>
      </c>
      <c r="K422" s="7">
        <v>16</v>
      </c>
      <c r="L422" s="7">
        <v>209</v>
      </c>
      <c r="M422" s="7">
        <v>332</v>
      </c>
      <c r="N422" s="6">
        <f t="shared" si="20"/>
        <v>7.6555023923444973E-2</v>
      </c>
      <c r="O422" s="11">
        <v>31</v>
      </c>
      <c r="P422" s="11">
        <v>0</v>
      </c>
      <c r="Q422" s="11">
        <v>1</v>
      </c>
      <c r="R422" s="11">
        <v>0</v>
      </c>
      <c r="S422" s="11">
        <v>13</v>
      </c>
      <c r="T422" s="11">
        <v>0</v>
      </c>
      <c r="U422" s="11">
        <v>0</v>
      </c>
      <c r="V422" s="11">
        <v>3</v>
      </c>
      <c r="W422" s="11">
        <v>1</v>
      </c>
      <c r="X422" s="11">
        <v>0</v>
      </c>
      <c r="Y422" s="11">
        <v>3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</row>
    <row r="423" spans="1:32">
      <c r="A423" t="s">
        <v>72</v>
      </c>
      <c r="B423">
        <v>2023</v>
      </c>
      <c r="C423" t="str">
        <f t="shared" si="19"/>
        <v>2023-Q4</v>
      </c>
      <c r="D423" t="s">
        <v>47</v>
      </c>
      <c r="E423" t="str">
        <f t="shared" si="18"/>
        <v>North Central</v>
      </c>
      <c r="F423" s="7">
        <v>47</v>
      </c>
      <c r="G423" s="7">
        <v>199</v>
      </c>
      <c r="H423" s="7">
        <v>50</v>
      </c>
      <c r="I423" s="7">
        <v>296</v>
      </c>
      <c r="J423" s="7">
        <v>548</v>
      </c>
      <c r="K423" s="7">
        <v>69</v>
      </c>
      <c r="L423" s="7">
        <v>617</v>
      </c>
      <c r="M423" s="7">
        <v>1635</v>
      </c>
      <c r="N423" s="6">
        <f t="shared" si="20"/>
        <v>0.11183144246353323</v>
      </c>
      <c r="O423" s="11">
        <v>258</v>
      </c>
      <c r="P423" s="11">
        <v>2</v>
      </c>
      <c r="Q423" s="11">
        <v>9</v>
      </c>
      <c r="R423" s="11">
        <v>2</v>
      </c>
      <c r="S423" s="11">
        <v>2</v>
      </c>
      <c r="T423" s="11">
        <v>0</v>
      </c>
      <c r="U423" s="11">
        <v>3</v>
      </c>
      <c r="V423" s="11">
        <v>2</v>
      </c>
      <c r="W423" s="11">
        <v>11</v>
      </c>
      <c r="X423" s="11">
        <v>0</v>
      </c>
      <c r="Y423" s="11">
        <v>17</v>
      </c>
      <c r="Z423" s="11">
        <v>0</v>
      </c>
      <c r="AA423" s="11">
        <v>0</v>
      </c>
      <c r="AB423" s="11">
        <v>0</v>
      </c>
      <c r="AC423" s="11">
        <v>0</v>
      </c>
      <c r="AD423" s="11">
        <v>1</v>
      </c>
      <c r="AE423" s="11">
        <v>71</v>
      </c>
      <c r="AF423" s="11">
        <v>4</v>
      </c>
    </row>
    <row r="424" spans="1:32">
      <c r="A424" t="s">
        <v>72</v>
      </c>
      <c r="B424">
        <v>2023</v>
      </c>
      <c r="C424" t="str">
        <f t="shared" si="19"/>
        <v>2023-Q4</v>
      </c>
      <c r="D424" t="s">
        <v>48</v>
      </c>
      <c r="E424" t="str">
        <f t="shared" si="18"/>
        <v>North East</v>
      </c>
      <c r="F424" s="7">
        <v>18</v>
      </c>
      <c r="G424" s="7">
        <v>96</v>
      </c>
      <c r="H424" s="7">
        <v>4</v>
      </c>
      <c r="I424" s="7">
        <v>118</v>
      </c>
      <c r="J424" s="7">
        <v>464</v>
      </c>
      <c r="K424" s="7">
        <v>29</v>
      </c>
      <c r="L424" s="7">
        <v>493</v>
      </c>
      <c r="M424" s="7">
        <v>827</v>
      </c>
      <c r="N424" s="6">
        <f t="shared" si="20"/>
        <v>5.8823529411764705E-2</v>
      </c>
      <c r="O424" s="11">
        <v>57</v>
      </c>
      <c r="P424" s="11">
        <v>0</v>
      </c>
      <c r="Q424" s="11">
        <v>4</v>
      </c>
      <c r="R424" s="11">
        <v>7</v>
      </c>
      <c r="S424" s="11">
        <v>5</v>
      </c>
      <c r="T424" s="11">
        <v>2</v>
      </c>
      <c r="U424" s="11">
        <v>1</v>
      </c>
      <c r="V424" s="11">
        <v>9</v>
      </c>
      <c r="W424" s="11">
        <v>12</v>
      </c>
      <c r="X424" s="11">
        <v>0</v>
      </c>
      <c r="Y424" s="11">
        <v>2</v>
      </c>
      <c r="Z424" s="11">
        <v>1</v>
      </c>
      <c r="AA424" s="11">
        <v>0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</row>
    <row r="425" spans="1:32">
      <c r="A425" t="s">
        <v>72</v>
      </c>
      <c r="B425">
        <v>2023</v>
      </c>
      <c r="C425" t="str">
        <f t="shared" si="19"/>
        <v>2023-Q4</v>
      </c>
      <c r="D425" t="s">
        <v>49</v>
      </c>
      <c r="E425" t="str">
        <f t="shared" si="18"/>
        <v>South East</v>
      </c>
      <c r="F425" s="7">
        <v>12</v>
      </c>
      <c r="G425" s="7">
        <v>13</v>
      </c>
      <c r="H425" s="7">
        <v>4</v>
      </c>
      <c r="I425" s="7">
        <v>29</v>
      </c>
      <c r="J425" s="7">
        <v>72</v>
      </c>
      <c r="K425" s="7">
        <v>24</v>
      </c>
      <c r="L425" s="7">
        <v>96</v>
      </c>
      <c r="M425" s="7">
        <v>197</v>
      </c>
      <c r="N425" s="6">
        <f t="shared" si="20"/>
        <v>0.25</v>
      </c>
      <c r="O425" s="11">
        <v>17</v>
      </c>
      <c r="P425" s="11">
        <v>0</v>
      </c>
      <c r="Q425" s="11">
        <v>0</v>
      </c>
      <c r="R425" s="11">
        <v>0</v>
      </c>
      <c r="S425" s="11">
        <v>4</v>
      </c>
      <c r="T425" s="11">
        <v>0</v>
      </c>
      <c r="U425" s="11">
        <v>0</v>
      </c>
      <c r="V425" s="11">
        <v>4</v>
      </c>
      <c r="W425" s="11">
        <v>4</v>
      </c>
      <c r="X425" s="11">
        <v>0</v>
      </c>
      <c r="Y425" s="11">
        <v>0</v>
      </c>
      <c r="Z425" s="11">
        <v>0</v>
      </c>
      <c r="AA425" s="11">
        <v>0</v>
      </c>
      <c r="AB425" s="11">
        <v>3</v>
      </c>
      <c r="AC425" s="11">
        <v>1</v>
      </c>
      <c r="AD425" s="11">
        <v>0</v>
      </c>
      <c r="AE425" s="11">
        <v>0</v>
      </c>
      <c r="AF425" s="11">
        <v>0</v>
      </c>
    </row>
    <row r="426" spans="1:32">
      <c r="A426" t="s">
        <v>72</v>
      </c>
      <c r="B426">
        <v>2023</v>
      </c>
      <c r="C426" t="str">
        <f t="shared" si="19"/>
        <v>2023-Q4</v>
      </c>
      <c r="D426" t="s">
        <v>50</v>
      </c>
      <c r="E426" t="str">
        <f t="shared" si="18"/>
        <v>North West</v>
      </c>
      <c r="F426" s="7">
        <v>18</v>
      </c>
      <c r="G426" s="7">
        <v>93</v>
      </c>
      <c r="H426" s="7">
        <v>3</v>
      </c>
      <c r="I426" s="7">
        <v>114</v>
      </c>
      <c r="J426" s="7">
        <v>460</v>
      </c>
      <c r="K426" s="7">
        <v>36</v>
      </c>
      <c r="L426" s="7">
        <v>496</v>
      </c>
      <c r="M426" s="7">
        <v>769</v>
      </c>
      <c r="N426" s="6">
        <f t="shared" si="20"/>
        <v>7.2580645161290328E-2</v>
      </c>
      <c r="O426" s="11">
        <v>160</v>
      </c>
      <c r="P426" s="11">
        <v>0</v>
      </c>
      <c r="Q426" s="11">
        <v>14</v>
      </c>
      <c r="R426" s="11">
        <v>4</v>
      </c>
      <c r="S426" s="11">
        <v>0</v>
      </c>
      <c r="T426" s="11">
        <v>5</v>
      </c>
      <c r="U426" s="11">
        <v>1</v>
      </c>
      <c r="V426" s="11">
        <v>7</v>
      </c>
      <c r="W426" s="11">
        <v>1</v>
      </c>
      <c r="X426" s="11">
        <v>0</v>
      </c>
      <c r="Y426" s="11">
        <v>3</v>
      </c>
      <c r="Z426" s="11">
        <v>10</v>
      </c>
      <c r="AA426" s="11">
        <v>0</v>
      </c>
      <c r="AB426" s="11">
        <v>0</v>
      </c>
      <c r="AC426" s="11">
        <v>0</v>
      </c>
      <c r="AD426" s="11">
        <v>3</v>
      </c>
      <c r="AE426" s="11">
        <v>2</v>
      </c>
      <c r="AF426" s="11">
        <v>1</v>
      </c>
    </row>
    <row r="427" spans="1:32">
      <c r="A427" t="s">
        <v>72</v>
      </c>
      <c r="B427">
        <v>2023</v>
      </c>
      <c r="C427" t="str">
        <f t="shared" si="19"/>
        <v>2023-Q4</v>
      </c>
      <c r="D427" t="s">
        <v>51</v>
      </c>
      <c r="E427" t="str">
        <f t="shared" si="18"/>
        <v>North West</v>
      </c>
      <c r="F427" s="7">
        <v>71</v>
      </c>
      <c r="G427" s="7">
        <v>131</v>
      </c>
      <c r="H427" s="7">
        <v>7</v>
      </c>
      <c r="I427" s="7">
        <v>209</v>
      </c>
      <c r="J427" s="7">
        <v>889</v>
      </c>
      <c r="K427" s="7">
        <v>150</v>
      </c>
      <c r="L427" s="7">
        <v>1039</v>
      </c>
      <c r="M427" s="7">
        <v>1838</v>
      </c>
      <c r="N427" s="6">
        <f t="shared" si="20"/>
        <v>0.14436958614051973</v>
      </c>
      <c r="O427" s="11">
        <v>118</v>
      </c>
      <c r="P427" s="11">
        <v>0</v>
      </c>
      <c r="Q427" s="11">
        <v>25</v>
      </c>
      <c r="R427" s="11">
        <v>4</v>
      </c>
      <c r="S427" s="11">
        <v>2</v>
      </c>
      <c r="T427" s="11">
        <v>4</v>
      </c>
      <c r="U427" s="11">
        <v>2</v>
      </c>
      <c r="V427" s="11">
        <v>6</v>
      </c>
      <c r="W427" s="11">
        <v>15</v>
      </c>
      <c r="X427" s="11">
        <v>4</v>
      </c>
      <c r="Y427" s="11">
        <v>18</v>
      </c>
      <c r="Z427" s="11">
        <v>0</v>
      </c>
      <c r="AA427" s="11">
        <v>0</v>
      </c>
      <c r="AB427" s="11">
        <v>1</v>
      </c>
      <c r="AC427" s="11">
        <v>0</v>
      </c>
      <c r="AD427" s="11">
        <v>9</v>
      </c>
      <c r="AE427" s="11">
        <v>1</v>
      </c>
      <c r="AF427" s="11">
        <v>9</v>
      </c>
    </row>
    <row r="428" spans="1:32">
      <c r="A428" t="s">
        <v>72</v>
      </c>
      <c r="B428">
        <v>2023</v>
      </c>
      <c r="C428" t="str">
        <f t="shared" si="19"/>
        <v>2023-Q4</v>
      </c>
      <c r="D428" t="s">
        <v>52</v>
      </c>
      <c r="E428" t="str">
        <f t="shared" si="18"/>
        <v>North West</v>
      </c>
      <c r="F428" s="7">
        <v>23</v>
      </c>
      <c r="G428" s="7">
        <v>35</v>
      </c>
      <c r="H428" s="7">
        <v>1</v>
      </c>
      <c r="I428" s="7">
        <v>59</v>
      </c>
      <c r="J428" s="7">
        <v>265</v>
      </c>
      <c r="K428" s="7">
        <v>62</v>
      </c>
      <c r="L428" s="7">
        <v>327</v>
      </c>
      <c r="M428" s="7">
        <v>461</v>
      </c>
      <c r="N428" s="6">
        <f t="shared" si="20"/>
        <v>0.18960244648318042</v>
      </c>
      <c r="O428" s="11">
        <v>54</v>
      </c>
      <c r="P428" s="11">
        <v>0</v>
      </c>
      <c r="Q428" s="11">
        <v>2</v>
      </c>
      <c r="R428" s="11">
        <v>0</v>
      </c>
      <c r="S428" s="11">
        <v>0</v>
      </c>
      <c r="T428" s="11">
        <v>3</v>
      </c>
      <c r="U428" s="11">
        <v>0</v>
      </c>
      <c r="V428" s="11">
        <v>5</v>
      </c>
      <c r="W428" s="11">
        <v>4</v>
      </c>
      <c r="X428" s="11">
        <v>0</v>
      </c>
      <c r="Y428" s="11">
        <v>1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7</v>
      </c>
      <c r="AF428" s="11">
        <v>1</v>
      </c>
    </row>
    <row r="429" spans="1:32">
      <c r="A429" t="s">
        <v>72</v>
      </c>
      <c r="B429">
        <v>2023</v>
      </c>
      <c r="C429" t="str">
        <f t="shared" si="19"/>
        <v>2023-Q4</v>
      </c>
      <c r="D429" t="s">
        <v>53</v>
      </c>
      <c r="E429" t="str">
        <f t="shared" si="18"/>
        <v>North West</v>
      </c>
      <c r="F429" s="7">
        <v>13</v>
      </c>
      <c r="G429" s="7">
        <v>27</v>
      </c>
      <c r="H429" s="7">
        <v>0</v>
      </c>
      <c r="I429" s="7">
        <v>40</v>
      </c>
      <c r="J429" s="7">
        <v>207</v>
      </c>
      <c r="K429" s="7">
        <v>45</v>
      </c>
      <c r="L429" s="7">
        <v>252</v>
      </c>
      <c r="M429" s="7">
        <v>356</v>
      </c>
      <c r="N429" s="6">
        <f t="shared" si="20"/>
        <v>0.17857142857142858</v>
      </c>
      <c r="O429" s="11">
        <v>30</v>
      </c>
      <c r="P429" s="11">
        <v>0</v>
      </c>
      <c r="Q429" s="11">
        <v>7</v>
      </c>
      <c r="R429" s="11">
        <v>0</v>
      </c>
      <c r="S429" s="11">
        <v>0</v>
      </c>
      <c r="T429" s="11">
        <v>1</v>
      </c>
      <c r="U429" s="11">
        <v>0</v>
      </c>
      <c r="V429" s="11">
        <v>4</v>
      </c>
      <c r="W429" s="11">
        <v>3</v>
      </c>
      <c r="X429" s="11">
        <v>0</v>
      </c>
      <c r="Y429" s="11">
        <v>1</v>
      </c>
      <c r="Z429" s="11">
        <v>0</v>
      </c>
      <c r="AA429" s="11">
        <v>0</v>
      </c>
      <c r="AB429" s="11">
        <v>0</v>
      </c>
      <c r="AC429" s="11">
        <v>0</v>
      </c>
      <c r="AD429" s="11">
        <v>0</v>
      </c>
      <c r="AE429" s="11">
        <v>0</v>
      </c>
      <c r="AF429" s="11">
        <v>3</v>
      </c>
    </row>
    <row r="430" spans="1:32">
      <c r="A430" t="s">
        <v>72</v>
      </c>
      <c r="B430">
        <v>2023</v>
      </c>
      <c r="C430" t="str">
        <f t="shared" si="19"/>
        <v>2023-Q4</v>
      </c>
      <c r="D430" t="s">
        <v>54</v>
      </c>
      <c r="E430" t="str">
        <f t="shared" si="18"/>
        <v>North West</v>
      </c>
      <c r="F430" s="7">
        <v>15</v>
      </c>
      <c r="G430" s="7">
        <v>35</v>
      </c>
      <c r="H430" s="7">
        <v>0</v>
      </c>
      <c r="I430" s="7">
        <v>50</v>
      </c>
      <c r="J430" s="7">
        <v>219</v>
      </c>
      <c r="K430" s="7">
        <v>40</v>
      </c>
      <c r="L430" s="7">
        <v>259</v>
      </c>
      <c r="M430" s="7">
        <v>606</v>
      </c>
      <c r="N430" s="6">
        <f t="shared" si="20"/>
        <v>0.15444015444015444</v>
      </c>
      <c r="O430" s="11">
        <v>46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1</v>
      </c>
      <c r="W430" s="11">
        <v>3</v>
      </c>
      <c r="X430" s="11">
        <v>0</v>
      </c>
      <c r="Y430" s="11">
        <v>1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1</v>
      </c>
      <c r="AF430" s="11">
        <v>0</v>
      </c>
    </row>
    <row r="431" spans="1:32">
      <c r="A431" t="s">
        <v>72</v>
      </c>
      <c r="B431">
        <v>2023</v>
      </c>
      <c r="C431" t="str">
        <f t="shared" si="19"/>
        <v>2023-Q4</v>
      </c>
      <c r="D431" t="s">
        <v>55</v>
      </c>
      <c r="E431" t="str">
        <f t="shared" si="18"/>
        <v>North Central</v>
      </c>
      <c r="F431" s="7">
        <v>32</v>
      </c>
      <c r="G431" s="7">
        <v>71</v>
      </c>
      <c r="H431" s="7">
        <v>4</v>
      </c>
      <c r="I431" s="7">
        <v>107</v>
      </c>
      <c r="J431" s="7">
        <v>355</v>
      </c>
      <c r="K431" s="7">
        <v>65</v>
      </c>
      <c r="L431" s="7">
        <v>420</v>
      </c>
      <c r="M431" s="7">
        <v>1015</v>
      </c>
      <c r="N431" s="6">
        <f t="shared" si="20"/>
        <v>0.15476190476190477</v>
      </c>
      <c r="O431" s="11">
        <v>67</v>
      </c>
      <c r="P431" s="11">
        <v>0</v>
      </c>
      <c r="Q431" s="11">
        <v>7</v>
      </c>
      <c r="R431" s="11">
        <v>11</v>
      </c>
      <c r="S431" s="11">
        <v>9</v>
      </c>
      <c r="T431" s="11">
        <v>4</v>
      </c>
      <c r="U431" s="11">
        <v>1</v>
      </c>
      <c r="V431" s="11">
        <v>9</v>
      </c>
      <c r="W431" s="11">
        <v>1</v>
      </c>
      <c r="X431" s="11">
        <v>1</v>
      </c>
      <c r="Y431" s="11">
        <v>0</v>
      </c>
      <c r="Z431" s="11">
        <v>0</v>
      </c>
      <c r="AA431" s="11">
        <v>1</v>
      </c>
      <c r="AB431" s="11">
        <v>0</v>
      </c>
      <c r="AC431" s="11">
        <v>0</v>
      </c>
      <c r="AD431" s="11">
        <v>0</v>
      </c>
      <c r="AE431" s="11">
        <v>17</v>
      </c>
      <c r="AF431" s="11">
        <v>0</v>
      </c>
    </row>
    <row r="432" spans="1:32">
      <c r="A432" t="s">
        <v>72</v>
      </c>
      <c r="B432">
        <v>2023</v>
      </c>
      <c r="C432" t="str">
        <f t="shared" si="19"/>
        <v>2023-Q4</v>
      </c>
      <c r="D432" t="s">
        <v>56</v>
      </c>
      <c r="E432" t="str">
        <f t="shared" si="18"/>
        <v>North Central</v>
      </c>
      <c r="F432" s="7">
        <v>24</v>
      </c>
      <c r="G432" s="7">
        <v>44</v>
      </c>
      <c r="H432" s="7">
        <v>7</v>
      </c>
      <c r="I432" s="7">
        <v>75</v>
      </c>
      <c r="J432" s="7">
        <v>316</v>
      </c>
      <c r="K432" s="7">
        <v>57</v>
      </c>
      <c r="L432" s="7">
        <v>373</v>
      </c>
      <c r="M432" s="7">
        <v>605</v>
      </c>
      <c r="N432" s="6">
        <f t="shared" si="20"/>
        <v>0.15281501340482573</v>
      </c>
      <c r="O432" s="11">
        <v>47</v>
      </c>
      <c r="P432" s="11">
        <v>1</v>
      </c>
      <c r="Q432" s="11">
        <v>1</v>
      </c>
      <c r="R432" s="11">
        <v>6</v>
      </c>
      <c r="S432" s="11">
        <v>11</v>
      </c>
      <c r="T432" s="11">
        <v>0</v>
      </c>
      <c r="U432" s="11">
        <v>0</v>
      </c>
      <c r="V432" s="11">
        <v>20</v>
      </c>
      <c r="W432" s="11">
        <v>2</v>
      </c>
      <c r="X432" s="11">
        <v>2</v>
      </c>
      <c r="Y432" s="11">
        <v>2</v>
      </c>
      <c r="Z432" s="11">
        <v>2</v>
      </c>
      <c r="AA432" s="11">
        <v>0</v>
      </c>
      <c r="AB432" s="11">
        <v>0</v>
      </c>
      <c r="AC432" s="11">
        <v>0</v>
      </c>
      <c r="AD432" s="11">
        <v>2</v>
      </c>
      <c r="AE432" s="11">
        <v>11</v>
      </c>
      <c r="AF432" s="11">
        <v>3</v>
      </c>
    </row>
    <row r="433" spans="1:32">
      <c r="A433" t="s">
        <v>72</v>
      </c>
      <c r="B433">
        <v>2023</v>
      </c>
      <c r="C433" t="str">
        <f t="shared" si="19"/>
        <v>2023-Q4</v>
      </c>
      <c r="D433" t="s">
        <v>57</v>
      </c>
      <c r="E433" t="str">
        <f t="shared" si="18"/>
        <v>South West</v>
      </c>
      <c r="F433" s="7">
        <v>13</v>
      </c>
      <c r="G433" s="7">
        <v>47</v>
      </c>
      <c r="H433" s="7">
        <v>41</v>
      </c>
      <c r="I433" s="7">
        <v>101</v>
      </c>
      <c r="J433" s="7">
        <v>127</v>
      </c>
      <c r="K433" s="7">
        <v>17</v>
      </c>
      <c r="L433" s="7">
        <v>144</v>
      </c>
      <c r="M433" s="7">
        <v>475</v>
      </c>
      <c r="N433" s="6">
        <f t="shared" si="20"/>
        <v>0.11805555555555555</v>
      </c>
      <c r="O433" s="11">
        <v>65</v>
      </c>
      <c r="P433" s="11">
        <v>1</v>
      </c>
      <c r="Q433" s="11">
        <v>4</v>
      </c>
      <c r="R433" s="11">
        <v>7</v>
      </c>
      <c r="S433" s="11">
        <v>6</v>
      </c>
      <c r="T433" s="11">
        <v>0</v>
      </c>
      <c r="U433" s="11">
        <v>0</v>
      </c>
      <c r="V433" s="11">
        <v>6</v>
      </c>
      <c r="W433" s="11">
        <v>3</v>
      </c>
      <c r="X433" s="11">
        <v>0</v>
      </c>
      <c r="Y433" s="11">
        <v>4</v>
      </c>
      <c r="Z433" s="11">
        <v>0</v>
      </c>
      <c r="AA433" s="11">
        <v>0</v>
      </c>
      <c r="AB433" s="11">
        <v>0</v>
      </c>
      <c r="AC433" s="11">
        <v>0</v>
      </c>
      <c r="AD433" s="11">
        <v>1</v>
      </c>
      <c r="AE433" s="11">
        <v>0</v>
      </c>
      <c r="AF433" s="11">
        <v>5</v>
      </c>
    </row>
    <row r="434" spans="1:32">
      <c r="A434" t="s">
        <v>72</v>
      </c>
      <c r="B434">
        <v>2023</v>
      </c>
      <c r="C434" t="str">
        <f t="shared" si="19"/>
        <v>2023-Q4</v>
      </c>
      <c r="D434" t="s">
        <v>58</v>
      </c>
      <c r="E434" t="str">
        <f t="shared" si="18"/>
        <v>North Central</v>
      </c>
      <c r="F434" s="7">
        <v>25</v>
      </c>
      <c r="G434" s="7">
        <v>153</v>
      </c>
      <c r="H434" s="7">
        <v>34</v>
      </c>
      <c r="I434" s="7">
        <v>212</v>
      </c>
      <c r="J434" s="7">
        <v>555</v>
      </c>
      <c r="K434" s="7">
        <v>32</v>
      </c>
      <c r="L434" s="7">
        <v>587</v>
      </c>
      <c r="M434" s="7">
        <v>993</v>
      </c>
      <c r="N434" s="6">
        <f t="shared" si="20"/>
        <v>5.4514480408858604E-2</v>
      </c>
      <c r="O434" s="11">
        <v>148</v>
      </c>
      <c r="P434" s="11">
        <v>0</v>
      </c>
      <c r="Q434" s="11">
        <v>12</v>
      </c>
      <c r="R434" s="11">
        <v>5</v>
      </c>
      <c r="S434" s="11">
        <v>5</v>
      </c>
      <c r="T434" s="11">
        <v>0</v>
      </c>
      <c r="U434" s="11">
        <v>0</v>
      </c>
      <c r="V434" s="11">
        <v>6</v>
      </c>
      <c r="W434" s="11">
        <v>21</v>
      </c>
      <c r="X434" s="11">
        <v>0</v>
      </c>
      <c r="Y434" s="11">
        <v>12</v>
      </c>
      <c r="Z434" s="11">
        <v>0</v>
      </c>
      <c r="AA434" s="11">
        <v>0</v>
      </c>
      <c r="AB434" s="11">
        <v>2</v>
      </c>
      <c r="AC434" s="11">
        <v>2</v>
      </c>
      <c r="AD434" s="11">
        <v>0</v>
      </c>
      <c r="AE434" s="11">
        <v>35</v>
      </c>
      <c r="AF434" s="11">
        <v>20</v>
      </c>
    </row>
    <row r="435" spans="1:32">
      <c r="A435" t="s">
        <v>72</v>
      </c>
      <c r="B435">
        <v>2023</v>
      </c>
      <c r="C435" t="str">
        <f t="shared" si="19"/>
        <v>2023-Q4</v>
      </c>
      <c r="D435" t="s">
        <v>59</v>
      </c>
      <c r="E435" t="str">
        <f t="shared" si="18"/>
        <v>North Central</v>
      </c>
      <c r="F435" s="7">
        <v>39</v>
      </c>
      <c r="G435" s="7">
        <v>59</v>
      </c>
      <c r="H435" s="7">
        <v>1</v>
      </c>
      <c r="I435" s="7">
        <v>99</v>
      </c>
      <c r="J435" s="7">
        <v>649</v>
      </c>
      <c r="K435" s="7">
        <v>97</v>
      </c>
      <c r="L435" s="7">
        <v>746</v>
      </c>
      <c r="M435" s="7">
        <v>1048</v>
      </c>
      <c r="N435" s="6">
        <f t="shared" si="20"/>
        <v>0.13002680965147453</v>
      </c>
      <c r="O435" s="11">
        <v>108</v>
      </c>
      <c r="P435" s="11">
        <v>1</v>
      </c>
      <c r="Q435" s="11">
        <v>5</v>
      </c>
      <c r="R435" s="11">
        <v>2</v>
      </c>
      <c r="S435" s="11">
        <v>2</v>
      </c>
      <c r="T435" s="11">
        <v>0</v>
      </c>
      <c r="U435" s="11">
        <v>0</v>
      </c>
      <c r="V435" s="11">
        <v>10</v>
      </c>
      <c r="W435" s="11">
        <v>0</v>
      </c>
      <c r="X435" s="11">
        <v>0</v>
      </c>
      <c r="Y435" s="11">
        <v>3</v>
      </c>
      <c r="Z435" s="11">
        <v>0</v>
      </c>
      <c r="AA435" s="11">
        <v>0</v>
      </c>
      <c r="AB435" s="11">
        <v>0</v>
      </c>
      <c r="AC435" s="11">
        <v>0</v>
      </c>
      <c r="AD435" s="11">
        <v>2</v>
      </c>
      <c r="AE435" s="11">
        <v>1</v>
      </c>
      <c r="AF435" s="11">
        <v>0</v>
      </c>
    </row>
    <row r="436" spans="1:32">
      <c r="A436" t="s">
        <v>72</v>
      </c>
      <c r="B436">
        <v>2023</v>
      </c>
      <c r="C436" t="str">
        <f t="shared" si="19"/>
        <v>2023-Q4</v>
      </c>
      <c r="D436" t="s">
        <v>60</v>
      </c>
      <c r="E436" t="str">
        <f t="shared" si="18"/>
        <v>South West</v>
      </c>
      <c r="F436" s="7">
        <v>66</v>
      </c>
      <c r="G436" s="7">
        <v>114</v>
      </c>
      <c r="H436" s="7">
        <v>22</v>
      </c>
      <c r="I436" s="7">
        <v>202</v>
      </c>
      <c r="J436" s="7">
        <v>521</v>
      </c>
      <c r="K436" s="7">
        <v>102</v>
      </c>
      <c r="L436" s="7">
        <v>623</v>
      </c>
      <c r="M436" s="7">
        <v>1343</v>
      </c>
      <c r="N436" s="6">
        <f t="shared" si="20"/>
        <v>0.1637239165329053</v>
      </c>
      <c r="O436" s="11">
        <v>265</v>
      </c>
      <c r="P436" s="11">
        <v>0</v>
      </c>
      <c r="Q436" s="11">
        <v>34</v>
      </c>
      <c r="R436" s="11">
        <v>5</v>
      </c>
      <c r="S436" s="11">
        <v>5</v>
      </c>
      <c r="T436" s="11">
        <v>1</v>
      </c>
      <c r="U436" s="11">
        <v>0</v>
      </c>
      <c r="V436" s="11">
        <v>14</v>
      </c>
      <c r="W436" s="11">
        <v>11</v>
      </c>
      <c r="X436" s="11">
        <v>0</v>
      </c>
      <c r="Y436" s="11">
        <v>22</v>
      </c>
      <c r="Z436" s="11">
        <v>1</v>
      </c>
      <c r="AA436" s="11">
        <v>3</v>
      </c>
      <c r="AB436" s="11">
        <v>0</v>
      </c>
      <c r="AC436" s="11">
        <v>0</v>
      </c>
      <c r="AD436" s="11">
        <v>0</v>
      </c>
      <c r="AE436" s="11">
        <v>1</v>
      </c>
      <c r="AF436" s="11">
        <v>18</v>
      </c>
    </row>
    <row r="437" spans="1:32">
      <c r="A437" t="s">
        <v>72</v>
      </c>
      <c r="B437">
        <v>2023</v>
      </c>
      <c r="C437" t="str">
        <f t="shared" si="19"/>
        <v>2023-Q4</v>
      </c>
      <c r="D437" t="s">
        <v>61</v>
      </c>
      <c r="E437" t="str">
        <f t="shared" si="18"/>
        <v>South West</v>
      </c>
      <c r="F437" s="7">
        <v>35</v>
      </c>
      <c r="G437" s="7">
        <v>60</v>
      </c>
      <c r="H437" s="7">
        <v>5</v>
      </c>
      <c r="I437" s="7">
        <v>100</v>
      </c>
      <c r="J437" s="7">
        <v>264</v>
      </c>
      <c r="K437" s="7">
        <v>54</v>
      </c>
      <c r="L437" s="7">
        <v>318</v>
      </c>
      <c r="M437" s="7">
        <v>704</v>
      </c>
      <c r="N437" s="6">
        <f t="shared" si="20"/>
        <v>0.16981132075471697</v>
      </c>
      <c r="O437" s="11">
        <v>81</v>
      </c>
      <c r="P437" s="11">
        <v>0</v>
      </c>
      <c r="Q437" s="11">
        <v>7</v>
      </c>
      <c r="R437" s="11">
        <v>1</v>
      </c>
      <c r="S437" s="11">
        <v>2</v>
      </c>
      <c r="T437" s="11">
        <v>0</v>
      </c>
      <c r="U437" s="11">
        <v>1</v>
      </c>
      <c r="V437" s="11">
        <v>14</v>
      </c>
      <c r="W437" s="11">
        <v>14</v>
      </c>
      <c r="X437" s="11">
        <v>0</v>
      </c>
      <c r="Y437" s="11">
        <v>8</v>
      </c>
      <c r="Z437" s="11">
        <v>0</v>
      </c>
      <c r="AA437" s="11">
        <v>1</v>
      </c>
      <c r="AB437" s="11">
        <v>0</v>
      </c>
      <c r="AC437" s="11">
        <v>1</v>
      </c>
      <c r="AD437" s="11">
        <v>3</v>
      </c>
      <c r="AE437" s="11">
        <v>2</v>
      </c>
      <c r="AF437" s="11">
        <v>0</v>
      </c>
    </row>
    <row r="438" spans="1:32">
      <c r="A438" t="s">
        <v>72</v>
      </c>
      <c r="B438">
        <v>2023</v>
      </c>
      <c r="C438" t="str">
        <f t="shared" si="19"/>
        <v>2023-Q4</v>
      </c>
      <c r="D438" t="s">
        <v>62</v>
      </c>
      <c r="E438" t="str">
        <f t="shared" si="18"/>
        <v>South West</v>
      </c>
      <c r="F438" s="7">
        <v>26</v>
      </c>
      <c r="G438" s="7">
        <v>54</v>
      </c>
      <c r="H438" s="7">
        <v>16</v>
      </c>
      <c r="I438" s="7">
        <v>96</v>
      </c>
      <c r="J438" s="7">
        <v>287</v>
      </c>
      <c r="K438" s="7">
        <v>47</v>
      </c>
      <c r="L438" s="7">
        <v>334</v>
      </c>
      <c r="M438" s="7">
        <v>712</v>
      </c>
      <c r="N438" s="6">
        <f t="shared" si="20"/>
        <v>0.1407185628742515</v>
      </c>
      <c r="O438" s="11">
        <v>84</v>
      </c>
      <c r="P438" s="11">
        <v>0</v>
      </c>
      <c r="Q438" s="11">
        <v>12</v>
      </c>
      <c r="R438" s="11">
        <v>4</v>
      </c>
      <c r="S438" s="11">
        <v>7</v>
      </c>
      <c r="T438" s="11">
        <v>2</v>
      </c>
      <c r="U438" s="11">
        <v>0</v>
      </c>
      <c r="V438" s="11">
        <v>10</v>
      </c>
      <c r="W438" s="11">
        <v>2</v>
      </c>
      <c r="X438" s="11">
        <v>4</v>
      </c>
      <c r="Y438" s="11">
        <v>13</v>
      </c>
      <c r="Z438" s="11">
        <v>1</v>
      </c>
      <c r="AA438" s="11">
        <v>1</v>
      </c>
      <c r="AB438" s="11">
        <v>0</v>
      </c>
      <c r="AC438" s="11">
        <v>4</v>
      </c>
      <c r="AD438" s="11">
        <v>2</v>
      </c>
      <c r="AE438" s="11">
        <v>0</v>
      </c>
      <c r="AF438" s="11">
        <v>0</v>
      </c>
    </row>
    <row r="439" spans="1:32">
      <c r="A439" t="s">
        <v>72</v>
      </c>
      <c r="B439">
        <v>2023</v>
      </c>
      <c r="C439" t="str">
        <f t="shared" si="19"/>
        <v>2023-Q4</v>
      </c>
      <c r="D439" t="s">
        <v>63</v>
      </c>
      <c r="E439" t="str">
        <f t="shared" si="18"/>
        <v>South West</v>
      </c>
      <c r="F439" s="7">
        <v>38</v>
      </c>
      <c r="G439" s="7">
        <v>82</v>
      </c>
      <c r="H439" s="7">
        <v>7</v>
      </c>
      <c r="I439" s="7">
        <v>127</v>
      </c>
      <c r="J439" s="7">
        <v>372</v>
      </c>
      <c r="K439" s="7">
        <v>78</v>
      </c>
      <c r="L439" s="7">
        <v>450</v>
      </c>
      <c r="M439" s="7">
        <v>828</v>
      </c>
      <c r="N439" s="6">
        <f t="shared" si="20"/>
        <v>0.17333333333333334</v>
      </c>
      <c r="O439" s="11">
        <v>122</v>
      </c>
      <c r="P439" s="11">
        <v>0</v>
      </c>
      <c r="Q439" s="11">
        <v>8</v>
      </c>
      <c r="R439" s="11">
        <v>4</v>
      </c>
      <c r="S439" s="11">
        <v>22</v>
      </c>
      <c r="T439" s="11">
        <v>4</v>
      </c>
      <c r="U439" s="11">
        <v>1</v>
      </c>
      <c r="V439" s="11">
        <v>14</v>
      </c>
      <c r="W439" s="11">
        <v>6</v>
      </c>
      <c r="X439" s="11">
        <v>2</v>
      </c>
      <c r="Y439" s="11">
        <v>8</v>
      </c>
      <c r="Z439" s="11">
        <v>0</v>
      </c>
      <c r="AA439" s="11">
        <v>0</v>
      </c>
      <c r="AB439" s="11">
        <v>0</v>
      </c>
      <c r="AC439" s="11">
        <v>0</v>
      </c>
      <c r="AD439" s="11">
        <v>3</v>
      </c>
      <c r="AE439" s="11">
        <v>0</v>
      </c>
      <c r="AF439" s="11">
        <v>0</v>
      </c>
    </row>
    <row r="440" spans="1:32">
      <c r="A440" t="s">
        <v>72</v>
      </c>
      <c r="B440">
        <v>2023</v>
      </c>
      <c r="C440" t="str">
        <f t="shared" si="19"/>
        <v>2023-Q4</v>
      </c>
      <c r="D440" t="s">
        <v>64</v>
      </c>
      <c r="E440" t="str">
        <f t="shared" si="18"/>
        <v>North Central</v>
      </c>
      <c r="F440" s="7">
        <v>13</v>
      </c>
      <c r="G440" s="7">
        <v>57</v>
      </c>
      <c r="H440" s="7">
        <v>4</v>
      </c>
      <c r="I440" s="7">
        <v>74</v>
      </c>
      <c r="J440" s="7">
        <v>244</v>
      </c>
      <c r="K440" s="7">
        <v>28</v>
      </c>
      <c r="L440" s="7">
        <v>272</v>
      </c>
      <c r="M440" s="7">
        <v>461</v>
      </c>
      <c r="N440" s="6">
        <f t="shared" si="20"/>
        <v>0.10294117647058823</v>
      </c>
      <c r="O440" s="11">
        <v>39</v>
      </c>
      <c r="P440" s="11">
        <v>0</v>
      </c>
      <c r="Q440" s="11">
        <v>1</v>
      </c>
      <c r="R440" s="11">
        <v>2</v>
      </c>
      <c r="S440" s="11">
        <v>21</v>
      </c>
      <c r="T440" s="11">
        <v>0</v>
      </c>
      <c r="U440" s="11">
        <v>0</v>
      </c>
      <c r="V440" s="11">
        <v>4</v>
      </c>
      <c r="W440" s="11">
        <v>5</v>
      </c>
      <c r="X440" s="11">
        <v>0</v>
      </c>
      <c r="Y440" s="11">
        <v>3</v>
      </c>
      <c r="Z440" s="11">
        <v>0</v>
      </c>
      <c r="AA440" s="11">
        <v>0</v>
      </c>
      <c r="AB440" s="11">
        <v>0</v>
      </c>
      <c r="AC440" s="11">
        <v>0</v>
      </c>
      <c r="AD440" s="11">
        <v>2</v>
      </c>
      <c r="AE440" s="11">
        <v>0</v>
      </c>
      <c r="AF440" s="11">
        <v>1</v>
      </c>
    </row>
    <row r="441" spans="1:32">
      <c r="A441" t="s">
        <v>72</v>
      </c>
      <c r="B441">
        <v>2023</v>
      </c>
      <c r="C441" t="str">
        <f t="shared" si="19"/>
        <v>2023-Q4</v>
      </c>
      <c r="D441" t="s">
        <v>65</v>
      </c>
      <c r="E441" t="str">
        <f t="shared" si="18"/>
        <v>South South</v>
      </c>
      <c r="F441" s="7">
        <v>3</v>
      </c>
      <c r="G441" s="7">
        <v>9</v>
      </c>
      <c r="H441" s="7">
        <v>4</v>
      </c>
      <c r="I441" s="7">
        <v>16</v>
      </c>
      <c r="J441" s="7">
        <v>28</v>
      </c>
      <c r="K441" s="7">
        <v>3</v>
      </c>
      <c r="L441" s="7">
        <v>31</v>
      </c>
      <c r="M441" s="7">
        <v>113</v>
      </c>
      <c r="N441" s="6">
        <f t="shared" si="20"/>
        <v>9.6774193548387094E-2</v>
      </c>
      <c r="O441" s="11">
        <v>10</v>
      </c>
      <c r="P441" s="11">
        <v>0</v>
      </c>
      <c r="Q441" s="11">
        <v>0</v>
      </c>
      <c r="R441" s="11">
        <v>0</v>
      </c>
      <c r="S441" s="11">
        <v>3</v>
      </c>
      <c r="T441" s="11">
        <v>0</v>
      </c>
      <c r="U441" s="11">
        <v>0</v>
      </c>
      <c r="V441" s="11">
        <v>1</v>
      </c>
      <c r="W441" s="11">
        <v>1</v>
      </c>
      <c r="X441" s="11">
        <v>0</v>
      </c>
      <c r="Y441" s="11">
        <v>2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</row>
    <row r="442" spans="1:32">
      <c r="A442" t="s">
        <v>72</v>
      </c>
      <c r="B442">
        <v>2023</v>
      </c>
      <c r="C442" t="str">
        <f t="shared" si="19"/>
        <v>2023-Q4</v>
      </c>
      <c r="D442" t="s">
        <v>66</v>
      </c>
      <c r="E442" t="str">
        <f t="shared" si="18"/>
        <v>North West</v>
      </c>
      <c r="F442" s="7">
        <v>6</v>
      </c>
      <c r="G442" s="7">
        <v>19</v>
      </c>
      <c r="H442" s="7">
        <v>0</v>
      </c>
      <c r="I442" s="7">
        <v>25</v>
      </c>
      <c r="J442" s="7">
        <v>110</v>
      </c>
      <c r="K442" s="7">
        <v>13</v>
      </c>
      <c r="L442" s="7">
        <v>123</v>
      </c>
      <c r="M442" s="7">
        <v>175</v>
      </c>
      <c r="N442" s="6">
        <f t="shared" si="20"/>
        <v>0.10569105691056911</v>
      </c>
      <c r="O442" s="11">
        <v>12</v>
      </c>
      <c r="P442" s="11">
        <v>0</v>
      </c>
      <c r="Q442" s="11">
        <v>1</v>
      </c>
      <c r="R442" s="11">
        <v>0</v>
      </c>
      <c r="S442" s="11">
        <v>2</v>
      </c>
      <c r="T442" s="11">
        <v>1</v>
      </c>
      <c r="U442" s="11">
        <v>0</v>
      </c>
      <c r="V442" s="11">
        <v>6</v>
      </c>
      <c r="W442" s="11">
        <v>2</v>
      </c>
      <c r="X442" s="11">
        <v>0</v>
      </c>
      <c r="Y442" s="11">
        <v>2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</row>
    <row r="443" spans="1:32">
      <c r="A443" t="s">
        <v>72</v>
      </c>
      <c r="B443">
        <v>2023</v>
      </c>
      <c r="C443" t="str">
        <f t="shared" si="19"/>
        <v>2023-Q4</v>
      </c>
      <c r="D443" t="s">
        <v>67</v>
      </c>
      <c r="E443" t="str">
        <f t="shared" si="18"/>
        <v>North East</v>
      </c>
      <c r="F443" s="7">
        <v>4</v>
      </c>
      <c r="G443" s="7">
        <v>39</v>
      </c>
      <c r="H443" s="7">
        <v>0</v>
      </c>
      <c r="I443" s="7">
        <v>43</v>
      </c>
      <c r="J443" s="7">
        <v>113</v>
      </c>
      <c r="K443" s="7">
        <v>13</v>
      </c>
      <c r="L443" s="7">
        <v>126</v>
      </c>
      <c r="M443" s="7">
        <v>214</v>
      </c>
      <c r="N443" s="6">
        <f t="shared" si="20"/>
        <v>0.10317460317460317</v>
      </c>
      <c r="O443" s="11">
        <v>13</v>
      </c>
      <c r="P443" s="11">
        <v>0</v>
      </c>
      <c r="Q443" s="11">
        <v>1</v>
      </c>
      <c r="R443" s="11">
        <v>3</v>
      </c>
      <c r="S443" s="11">
        <v>1</v>
      </c>
      <c r="T443" s="11">
        <v>0</v>
      </c>
      <c r="U443" s="11">
        <v>0</v>
      </c>
      <c r="V443" s="11">
        <v>2</v>
      </c>
      <c r="W443" s="11">
        <v>11</v>
      </c>
      <c r="X443" s="11">
        <v>4</v>
      </c>
      <c r="Y443" s="11">
        <v>1</v>
      </c>
      <c r="Z443" s="11">
        <v>1</v>
      </c>
      <c r="AA443" s="11">
        <v>0</v>
      </c>
      <c r="AB443" s="11">
        <v>0</v>
      </c>
      <c r="AC443" s="11">
        <v>0</v>
      </c>
      <c r="AD443" s="11">
        <v>0</v>
      </c>
      <c r="AE443" s="11">
        <v>4</v>
      </c>
      <c r="AF443" s="11">
        <v>0</v>
      </c>
    </row>
    <row r="444" spans="1:32">
      <c r="A444" t="s">
        <v>72</v>
      </c>
      <c r="B444">
        <v>2023</v>
      </c>
      <c r="C444" t="str">
        <f t="shared" si="19"/>
        <v>2023-Q4</v>
      </c>
      <c r="D444" t="s">
        <v>68</v>
      </c>
      <c r="E444" t="str">
        <f t="shared" si="18"/>
        <v>North East</v>
      </c>
      <c r="F444" s="7">
        <v>18</v>
      </c>
      <c r="G444" s="7">
        <v>30</v>
      </c>
      <c r="H444" s="7">
        <v>2</v>
      </c>
      <c r="I444" s="7">
        <v>50</v>
      </c>
      <c r="J444" s="7">
        <v>340</v>
      </c>
      <c r="K444" s="7">
        <v>31</v>
      </c>
      <c r="L444" s="7">
        <v>371</v>
      </c>
      <c r="M444" s="7">
        <v>494</v>
      </c>
      <c r="N444" s="6">
        <f t="shared" si="20"/>
        <v>8.3557951482479784E-2</v>
      </c>
      <c r="O444" s="11">
        <v>26</v>
      </c>
      <c r="P444" s="11">
        <v>0</v>
      </c>
      <c r="Q444" s="11">
        <v>9</v>
      </c>
      <c r="R444" s="11">
        <v>0</v>
      </c>
      <c r="S444" s="11">
        <v>0</v>
      </c>
      <c r="T444" s="11">
        <v>2</v>
      </c>
      <c r="U444" s="11">
        <v>0</v>
      </c>
      <c r="V444" s="11">
        <v>6</v>
      </c>
      <c r="W444" s="11">
        <v>10</v>
      </c>
      <c r="X444" s="11">
        <v>0</v>
      </c>
      <c r="Y444" s="11">
        <v>3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16</v>
      </c>
    </row>
    <row r="445" spans="1:32">
      <c r="A445" t="s">
        <v>72</v>
      </c>
      <c r="B445">
        <v>2023</v>
      </c>
      <c r="C445" t="str">
        <f t="shared" si="19"/>
        <v>2023-Q4</v>
      </c>
      <c r="D445" t="s">
        <v>69</v>
      </c>
      <c r="E445" t="str">
        <f t="shared" si="18"/>
        <v>North West</v>
      </c>
      <c r="F445" s="7">
        <v>6</v>
      </c>
      <c r="G445" s="7">
        <v>8</v>
      </c>
      <c r="H445" s="7">
        <v>1</v>
      </c>
      <c r="I445" s="7">
        <v>15</v>
      </c>
      <c r="J445" s="7">
        <v>36</v>
      </c>
      <c r="K445" s="7">
        <v>18</v>
      </c>
      <c r="L445" s="7">
        <v>54</v>
      </c>
      <c r="M445" s="7">
        <v>131</v>
      </c>
      <c r="N445" s="6">
        <f t="shared" si="20"/>
        <v>0.33333333333333331</v>
      </c>
      <c r="O445" s="11">
        <v>17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4</v>
      </c>
      <c r="AF445" s="11">
        <v>0</v>
      </c>
    </row>
    <row r="446" spans="1:32">
      <c r="A446" t="s">
        <v>32</v>
      </c>
      <c r="B446">
        <v>2024</v>
      </c>
      <c r="C446" t="str">
        <f t="shared" si="19"/>
        <v>2024-Q1</v>
      </c>
      <c r="D446" t="s">
        <v>33</v>
      </c>
      <c r="E446" t="str">
        <f t="shared" si="18"/>
        <v>South East</v>
      </c>
      <c r="F446" s="7">
        <v>5</v>
      </c>
      <c r="G446" s="7">
        <v>12</v>
      </c>
      <c r="H446" s="7">
        <v>2</v>
      </c>
      <c r="I446" s="7">
        <v>19</v>
      </c>
      <c r="J446" s="7">
        <v>45</v>
      </c>
      <c r="K446" s="7">
        <v>5</v>
      </c>
      <c r="L446" s="7">
        <v>50</v>
      </c>
      <c r="M446" s="7">
        <v>94</v>
      </c>
      <c r="N446" s="6">
        <f t="shared" si="20"/>
        <v>0.1</v>
      </c>
      <c r="O446" s="11">
        <v>6</v>
      </c>
      <c r="P446" s="11">
        <v>0</v>
      </c>
      <c r="Q446" s="11">
        <v>5</v>
      </c>
      <c r="R446" s="11">
        <v>0</v>
      </c>
      <c r="S446" s="11">
        <v>3</v>
      </c>
      <c r="T446" s="11">
        <v>0</v>
      </c>
      <c r="U446" s="11">
        <v>0</v>
      </c>
      <c r="V446" s="11">
        <v>2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0</v>
      </c>
      <c r="AE446" s="11">
        <v>1</v>
      </c>
      <c r="AF446" s="11">
        <v>0</v>
      </c>
    </row>
    <row r="447" spans="1:32">
      <c r="A447" t="s">
        <v>32</v>
      </c>
      <c r="B447">
        <v>2024</v>
      </c>
      <c r="C447" t="str">
        <f t="shared" si="19"/>
        <v>2024-Q1</v>
      </c>
      <c r="D447" t="s">
        <v>34</v>
      </c>
      <c r="E447" t="str">
        <f t="shared" si="18"/>
        <v>North East</v>
      </c>
      <c r="F447" s="7">
        <v>10</v>
      </c>
      <c r="G447" s="7">
        <v>14</v>
      </c>
      <c r="H447" s="7">
        <v>5</v>
      </c>
      <c r="I447" s="7">
        <v>29</v>
      </c>
      <c r="J447" s="7">
        <v>163</v>
      </c>
      <c r="K447" s="7">
        <v>27</v>
      </c>
      <c r="L447" s="7">
        <v>190</v>
      </c>
      <c r="M447" s="7">
        <v>296</v>
      </c>
      <c r="N447" s="6">
        <f t="shared" si="20"/>
        <v>0.14210526315789473</v>
      </c>
      <c r="O447" s="11">
        <v>29</v>
      </c>
      <c r="P447" s="11">
        <v>0</v>
      </c>
      <c r="Q447" s="11">
        <v>4</v>
      </c>
      <c r="R447" s="11">
        <v>2</v>
      </c>
      <c r="S447" s="11">
        <v>0</v>
      </c>
      <c r="T447" s="11">
        <v>1</v>
      </c>
      <c r="U447" s="11">
        <v>0</v>
      </c>
      <c r="V447" s="11">
        <v>1</v>
      </c>
      <c r="W447" s="11">
        <v>2</v>
      </c>
      <c r="X447" s="11">
        <v>0</v>
      </c>
      <c r="Y447" s="11">
        <v>0</v>
      </c>
      <c r="Z447" s="11">
        <v>3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</row>
    <row r="448" spans="1:32">
      <c r="A448" t="s">
        <v>32</v>
      </c>
      <c r="B448">
        <v>2024</v>
      </c>
      <c r="C448" t="str">
        <f t="shared" si="19"/>
        <v>2024-Q1</v>
      </c>
      <c r="D448" t="s">
        <v>35</v>
      </c>
      <c r="E448" t="str">
        <f t="shared" si="18"/>
        <v>South South</v>
      </c>
      <c r="F448" s="7">
        <v>3</v>
      </c>
      <c r="G448" s="7">
        <v>5</v>
      </c>
      <c r="H448" s="7">
        <v>2</v>
      </c>
      <c r="I448" s="7">
        <v>10</v>
      </c>
      <c r="J448" s="7">
        <v>23</v>
      </c>
      <c r="K448" s="7">
        <v>5</v>
      </c>
      <c r="L448" s="7">
        <v>28</v>
      </c>
      <c r="M448" s="7">
        <v>57</v>
      </c>
      <c r="N448" s="6">
        <f t="shared" si="20"/>
        <v>0.17857142857142858</v>
      </c>
      <c r="O448" s="11">
        <v>5</v>
      </c>
      <c r="P448" s="11">
        <v>0</v>
      </c>
      <c r="Q448" s="11">
        <v>0</v>
      </c>
      <c r="R448" s="11">
        <v>0</v>
      </c>
      <c r="S448" s="11">
        <v>1</v>
      </c>
      <c r="T448" s="11">
        <v>0</v>
      </c>
      <c r="U448" s="11">
        <v>0</v>
      </c>
      <c r="V448" s="11">
        <v>7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</row>
    <row r="449" spans="1:32">
      <c r="A449" t="s">
        <v>32</v>
      </c>
      <c r="B449">
        <v>2024</v>
      </c>
      <c r="C449" t="str">
        <f t="shared" si="19"/>
        <v>2024-Q1</v>
      </c>
      <c r="D449" t="s">
        <v>36</v>
      </c>
      <c r="E449" t="str">
        <f t="shared" si="18"/>
        <v>South East</v>
      </c>
      <c r="F449" s="7">
        <v>11</v>
      </c>
      <c r="G449" s="7">
        <v>16</v>
      </c>
      <c r="H449" s="7">
        <v>4</v>
      </c>
      <c r="I449" s="7">
        <v>31</v>
      </c>
      <c r="J449" s="7">
        <v>73</v>
      </c>
      <c r="K449" s="7">
        <v>13</v>
      </c>
      <c r="L449" s="7">
        <v>86</v>
      </c>
      <c r="M449" s="7">
        <v>222</v>
      </c>
      <c r="N449" s="6">
        <f t="shared" si="20"/>
        <v>0.15116279069767441</v>
      </c>
      <c r="O449" s="11">
        <v>17</v>
      </c>
      <c r="P449" s="11">
        <v>0</v>
      </c>
      <c r="Q449" s="11">
        <v>0</v>
      </c>
      <c r="R449" s="11">
        <v>0</v>
      </c>
      <c r="S449" s="11">
        <v>10</v>
      </c>
      <c r="T449" s="11">
        <v>4</v>
      </c>
      <c r="U449" s="11">
        <v>0</v>
      </c>
      <c r="V449" s="11">
        <v>1</v>
      </c>
      <c r="W449" s="11">
        <v>1</v>
      </c>
      <c r="X449" s="11">
        <v>0</v>
      </c>
      <c r="Y449" s="11">
        <v>0</v>
      </c>
      <c r="Z449" s="11">
        <v>1</v>
      </c>
      <c r="AA449" s="11">
        <v>0</v>
      </c>
      <c r="AB449" s="11">
        <v>0</v>
      </c>
      <c r="AC449" s="11">
        <v>0</v>
      </c>
      <c r="AD449" s="11">
        <v>2</v>
      </c>
      <c r="AE449" s="11">
        <v>0</v>
      </c>
      <c r="AF449" s="11">
        <v>0</v>
      </c>
    </row>
    <row r="450" spans="1:32">
      <c r="A450" t="s">
        <v>32</v>
      </c>
      <c r="B450">
        <v>2024</v>
      </c>
      <c r="C450" t="str">
        <f t="shared" si="19"/>
        <v>2024-Q1</v>
      </c>
      <c r="D450" t="s">
        <v>37</v>
      </c>
      <c r="E450" t="str">
        <f t="shared" ref="E450:E513" si="21">IF(OR(D450="Adamawa", D450="Bauchi", D450="Borno", D450="Gombe", D450="Taraba", D450="Yobe"), "North East",
IF(OR(D450="Jigawa", D450="Kaduna", D450="Kano", D450="Katsina", D450="Kebbi", D450="Sokoto", D450="Zamfara"), "North West",
IF(OR(D450="Benue", D450="Kogi", D450="Kwara", D450="Nasarawa", D450="Niger", D450="Plateau", D450="FCT"), "North Central",
IF(OR(D450="Abia", D450="Anambra", D450="Ebonyi", D450="Enugu", D450="Imo"), "South East",
IF(OR(D450="Akwa Ibom", D450="Bayelsa", D450="Cross River", D450="Delta", D450="Edo", D450="Rivers"), "South South",
IF(OR(D450="Ekiti", D450="Lagos", D450="Ogun", D450="Ondo", D450="Osun", D450="Oyo"), "South West",
"Zone Not Found"))))))</f>
        <v>North East</v>
      </c>
      <c r="F450" s="7">
        <v>25</v>
      </c>
      <c r="G450" s="7">
        <v>72</v>
      </c>
      <c r="H450" s="7">
        <v>2</v>
      </c>
      <c r="I450" s="7">
        <v>99</v>
      </c>
      <c r="J450" s="7">
        <v>442</v>
      </c>
      <c r="K450" s="7">
        <v>45</v>
      </c>
      <c r="L450" s="7">
        <v>487</v>
      </c>
      <c r="M450" s="7">
        <v>812</v>
      </c>
      <c r="N450" s="6">
        <f t="shared" si="20"/>
        <v>9.2402464065708415E-2</v>
      </c>
      <c r="O450" s="11">
        <v>67</v>
      </c>
      <c r="P450" s="11">
        <v>0</v>
      </c>
      <c r="Q450" s="11">
        <v>23</v>
      </c>
      <c r="R450" s="11">
        <v>3</v>
      </c>
      <c r="S450" s="11">
        <v>5</v>
      </c>
      <c r="T450" s="11">
        <v>4</v>
      </c>
      <c r="U450" s="11">
        <v>0</v>
      </c>
      <c r="V450" s="11">
        <v>5</v>
      </c>
      <c r="W450" s="11">
        <v>9</v>
      </c>
      <c r="X450" s="11">
        <v>4</v>
      </c>
      <c r="Y450" s="11">
        <v>3</v>
      </c>
      <c r="Z450" s="11">
        <v>0</v>
      </c>
      <c r="AA450" s="11">
        <v>0</v>
      </c>
      <c r="AB450" s="11">
        <v>0</v>
      </c>
      <c r="AC450" s="11">
        <v>0</v>
      </c>
      <c r="AD450" s="11">
        <v>1</v>
      </c>
      <c r="AE450" s="11">
        <v>0</v>
      </c>
      <c r="AF450" s="11">
        <v>0</v>
      </c>
    </row>
    <row r="451" spans="1:32">
      <c r="A451" t="s">
        <v>32</v>
      </c>
      <c r="B451">
        <v>2024</v>
      </c>
      <c r="C451" t="str">
        <f t="shared" ref="C451:C514" si="22">B451&amp;"-"&amp;A451</f>
        <v>2024-Q1</v>
      </c>
      <c r="D451" t="s">
        <v>38</v>
      </c>
      <c r="E451" t="str">
        <f t="shared" si="21"/>
        <v>South South</v>
      </c>
      <c r="F451" s="7">
        <v>4</v>
      </c>
      <c r="G451" s="7">
        <v>7</v>
      </c>
      <c r="H451" s="7">
        <v>2</v>
      </c>
      <c r="I451" s="7">
        <v>13</v>
      </c>
      <c r="J451" s="7">
        <v>26</v>
      </c>
      <c r="K451" s="7">
        <v>5</v>
      </c>
      <c r="L451" s="7">
        <v>31</v>
      </c>
      <c r="M451" s="7">
        <v>113</v>
      </c>
      <c r="N451" s="6">
        <f t="shared" ref="N451:N514" si="23">K451/L451</f>
        <v>0.16129032258064516</v>
      </c>
      <c r="O451" s="11">
        <v>13</v>
      </c>
      <c r="P451" s="11">
        <v>0</v>
      </c>
      <c r="Q451" s="11">
        <v>2</v>
      </c>
      <c r="R451" s="11">
        <v>0</v>
      </c>
      <c r="S451" s="11">
        <v>1</v>
      </c>
      <c r="T451" s="11">
        <v>1</v>
      </c>
      <c r="U451" s="11">
        <v>0</v>
      </c>
      <c r="V451" s="11">
        <v>1</v>
      </c>
      <c r="W451" s="11">
        <v>1</v>
      </c>
      <c r="X451" s="11">
        <v>0</v>
      </c>
      <c r="Y451" s="11">
        <v>2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</row>
    <row r="452" spans="1:32">
      <c r="A452" t="s">
        <v>32</v>
      </c>
      <c r="B452">
        <v>2024</v>
      </c>
      <c r="C452" t="str">
        <f t="shared" si="22"/>
        <v>2024-Q1</v>
      </c>
      <c r="D452" t="s">
        <v>39</v>
      </c>
      <c r="E452" t="str">
        <f t="shared" si="21"/>
        <v>North Central</v>
      </c>
      <c r="F452" s="7">
        <v>25</v>
      </c>
      <c r="G452" s="7">
        <v>53</v>
      </c>
      <c r="H452" s="7">
        <v>5</v>
      </c>
      <c r="I452" s="7">
        <v>83</v>
      </c>
      <c r="J452" s="7">
        <v>317</v>
      </c>
      <c r="K452" s="7">
        <v>49</v>
      </c>
      <c r="L452" s="7">
        <v>366</v>
      </c>
      <c r="M452" s="7">
        <v>692</v>
      </c>
      <c r="N452" s="6">
        <f t="shared" si="23"/>
        <v>0.13387978142076504</v>
      </c>
      <c r="O452" s="11">
        <v>62</v>
      </c>
      <c r="P452" s="11">
        <v>0</v>
      </c>
      <c r="Q452" s="11">
        <v>8</v>
      </c>
      <c r="R452" s="11">
        <v>2</v>
      </c>
      <c r="S452" s="11">
        <v>0</v>
      </c>
      <c r="T452" s="11">
        <v>4</v>
      </c>
      <c r="U452" s="11">
        <v>0</v>
      </c>
      <c r="V452" s="11">
        <v>11</v>
      </c>
      <c r="W452" s="11">
        <v>6</v>
      </c>
      <c r="X452" s="11">
        <v>1</v>
      </c>
      <c r="Y452" s="11">
        <v>1</v>
      </c>
      <c r="Z452" s="11">
        <v>1</v>
      </c>
      <c r="AA452" s="11">
        <v>1</v>
      </c>
      <c r="AB452" s="11">
        <v>2</v>
      </c>
      <c r="AC452" s="11">
        <v>0</v>
      </c>
      <c r="AD452" s="11">
        <v>0</v>
      </c>
      <c r="AE452" s="11">
        <v>0</v>
      </c>
      <c r="AF452" s="11">
        <v>2</v>
      </c>
    </row>
    <row r="453" spans="1:32">
      <c r="A453" t="s">
        <v>32</v>
      </c>
      <c r="B453">
        <v>2024</v>
      </c>
      <c r="C453" t="str">
        <f t="shared" si="22"/>
        <v>2024-Q1</v>
      </c>
      <c r="D453" t="s">
        <v>40</v>
      </c>
      <c r="E453" t="str">
        <f t="shared" si="21"/>
        <v>North East</v>
      </c>
      <c r="F453" s="7">
        <v>2</v>
      </c>
      <c r="G453" s="7">
        <v>22</v>
      </c>
      <c r="H453" s="7">
        <v>2</v>
      </c>
      <c r="I453" s="7">
        <v>26</v>
      </c>
      <c r="J453" s="7">
        <v>173</v>
      </c>
      <c r="K453" s="7">
        <v>3</v>
      </c>
      <c r="L453" s="7">
        <v>176</v>
      </c>
      <c r="M453" s="7">
        <v>219</v>
      </c>
      <c r="N453" s="6">
        <f t="shared" si="23"/>
        <v>1.7045454545454544E-2</v>
      </c>
      <c r="O453" s="11">
        <v>19</v>
      </c>
      <c r="P453" s="11">
        <v>0</v>
      </c>
      <c r="Q453" s="11">
        <v>1</v>
      </c>
      <c r="R453" s="11">
        <v>2</v>
      </c>
      <c r="S453" s="11">
        <v>0</v>
      </c>
      <c r="T453" s="11">
        <v>0</v>
      </c>
      <c r="U453" s="11">
        <v>0</v>
      </c>
      <c r="V453" s="11">
        <v>6</v>
      </c>
      <c r="W453" s="11">
        <v>4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10</v>
      </c>
      <c r="AF453" s="11">
        <v>0</v>
      </c>
    </row>
    <row r="454" spans="1:32">
      <c r="A454" t="s">
        <v>32</v>
      </c>
      <c r="B454">
        <v>2024</v>
      </c>
      <c r="C454" t="str">
        <f t="shared" si="22"/>
        <v>2024-Q1</v>
      </c>
      <c r="D454" t="s">
        <v>41</v>
      </c>
      <c r="E454" t="str">
        <f t="shared" si="21"/>
        <v>South South</v>
      </c>
      <c r="F454" s="7">
        <v>9</v>
      </c>
      <c r="G454" s="7">
        <v>20</v>
      </c>
      <c r="H454" s="7">
        <v>3</v>
      </c>
      <c r="I454" s="7">
        <v>32</v>
      </c>
      <c r="J454" s="7">
        <v>112</v>
      </c>
      <c r="K454" s="7">
        <v>15</v>
      </c>
      <c r="L454" s="7">
        <v>127</v>
      </c>
      <c r="M454" s="7">
        <v>180</v>
      </c>
      <c r="N454" s="6">
        <f t="shared" si="23"/>
        <v>0.11811023622047244</v>
      </c>
      <c r="O454" s="11">
        <v>25</v>
      </c>
      <c r="P454" s="11">
        <v>0</v>
      </c>
      <c r="Q454" s="11">
        <v>0</v>
      </c>
      <c r="R454" s="11">
        <v>1</v>
      </c>
      <c r="S454" s="11">
        <v>4</v>
      </c>
      <c r="T454" s="11">
        <v>0</v>
      </c>
      <c r="U454" s="11">
        <v>0</v>
      </c>
      <c r="V454" s="11">
        <v>6</v>
      </c>
      <c r="W454" s="11">
        <v>1</v>
      </c>
      <c r="X454" s="11">
        <v>0</v>
      </c>
      <c r="Y454" s="11">
        <v>1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</row>
    <row r="455" spans="1:32">
      <c r="A455" t="s">
        <v>32</v>
      </c>
      <c r="B455">
        <v>2024</v>
      </c>
      <c r="C455" t="str">
        <f t="shared" si="22"/>
        <v>2024-Q1</v>
      </c>
      <c r="D455" t="s">
        <v>42</v>
      </c>
      <c r="E455" t="str">
        <f t="shared" si="21"/>
        <v>South South</v>
      </c>
      <c r="F455" s="7">
        <v>10</v>
      </c>
      <c r="G455" s="7">
        <v>17</v>
      </c>
      <c r="H455" s="7">
        <v>4</v>
      </c>
      <c r="I455" s="7">
        <v>31</v>
      </c>
      <c r="J455" s="7">
        <v>76</v>
      </c>
      <c r="K455" s="7">
        <v>18</v>
      </c>
      <c r="L455" s="7">
        <v>94</v>
      </c>
      <c r="M455" s="7">
        <v>173</v>
      </c>
      <c r="N455" s="6">
        <f t="shared" si="23"/>
        <v>0.19148936170212766</v>
      </c>
      <c r="O455" s="11">
        <v>26</v>
      </c>
      <c r="P455" s="11">
        <v>1</v>
      </c>
      <c r="Q455" s="11">
        <v>5</v>
      </c>
      <c r="R455" s="11">
        <v>0</v>
      </c>
      <c r="S455" s="11">
        <v>3</v>
      </c>
      <c r="T455" s="11">
        <v>0</v>
      </c>
      <c r="U455" s="11">
        <v>0</v>
      </c>
      <c r="V455" s="11">
        <v>4</v>
      </c>
      <c r="W455" s="11">
        <v>0</v>
      </c>
      <c r="X455" s="11">
        <v>0</v>
      </c>
      <c r="Y455" s="11">
        <v>3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  <c r="AE455" s="11">
        <v>2</v>
      </c>
      <c r="AF455" s="11">
        <v>0</v>
      </c>
    </row>
    <row r="456" spans="1:32">
      <c r="A456" t="s">
        <v>32</v>
      </c>
      <c r="B456">
        <v>2024</v>
      </c>
      <c r="C456" t="str">
        <f t="shared" si="22"/>
        <v>2024-Q1</v>
      </c>
      <c r="D456" t="s">
        <v>43</v>
      </c>
      <c r="E456" t="str">
        <f t="shared" si="21"/>
        <v>South East</v>
      </c>
      <c r="F456" s="7">
        <v>8</v>
      </c>
      <c r="G456" s="7">
        <v>18</v>
      </c>
      <c r="H456" s="7">
        <v>17</v>
      </c>
      <c r="I456" s="7">
        <v>43</v>
      </c>
      <c r="J456" s="7">
        <v>60</v>
      </c>
      <c r="K456" s="7">
        <v>19</v>
      </c>
      <c r="L456" s="7">
        <v>79</v>
      </c>
      <c r="M456" s="7">
        <v>148</v>
      </c>
      <c r="N456" s="6">
        <f t="shared" si="23"/>
        <v>0.24050632911392406</v>
      </c>
      <c r="O456" s="11">
        <v>22</v>
      </c>
      <c r="P456" s="11">
        <v>0</v>
      </c>
      <c r="Q456" s="11">
        <v>7</v>
      </c>
      <c r="R456" s="11">
        <v>2</v>
      </c>
      <c r="S456" s="11">
        <v>1</v>
      </c>
      <c r="T456" s="11">
        <v>0</v>
      </c>
      <c r="U456" s="11">
        <v>0</v>
      </c>
      <c r="V456" s="11">
        <v>1</v>
      </c>
      <c r="W456" s="11">
        <v>1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1</v>
      </c>
      <c r="AF456" s="11">
        <v>0</v>
      </c>
    </row>
    <row r="457" spans="1:32">
      <c r="A457" t="s">
        <v>32</v>
      </c>
      <c r="B457">
        <v>2024</v>
      </c>
      <c r="C457" t="str">
        <f t="shared" si="22"/>
        <v>2024-Q1</v>
      </c>
      <c r="D457" t="s">
        <v>44</v>
      </c>
      <c r="E457" t="str">
        <f t="shared" si="21"/>
        <v>South South</v>
      </c>
      <c r="F457" s="7">
        <v>21</v>
      </c>
      <c r="G457" s="7">
        <v>28</v>
      </c>
      <c r="H457" s="7">
        <v>12</v>
      </c>
      <c r="I457" s="7">
        <v>61</v>
      </c>
      <c r="J457" s="7">
        <v>159</v>
      </c>
      <c r="K457" s="7">
        <v>39</v>
      </c>
      <c r="L457" s="7">
        <v>198</v>
      </c>
      <c r="M457" s="7">
        <v>401</v>
      </c>
      <c r="N457" s="6">
        <f t="shared" si="23"/>
        <v>0.19696969696969696</v>
      </c>
      <c r="O457" s="11">
        <v>46</v>
      </c>
      <c r="P457" s="11">
        <v>0</v>
      </c>
      <c r="Q457" s="11">
        <v>3</v>
      </c>
      <c r="R457" s="11">
        <v>0</v>
      </c>
      <c r="S457" s="11">
        <v>13</v>
      </c>
      <c r="T457" s="11">
        <v>0</v>
      </c>
      <c r="U457" s="11">
        <v>0</v>
      </c>
      <c r="V457" s="11">
        <v>6</v>
      </c>
      <c r="W457" s="11">
        <v>0</v>
      </c>
      <c r="X457" s="11">
        <v>0</v>
      </c>
      <c r="Y457" s="11">
        <v>0</v>
      </c>
      <c r="Z457" s="11">
        <v>2</v>
      </c>
      <c r="AA457" s="11">
        <v>0</v>
      </c>
      <c r="AB457" s="11">
        <v>0</v>
      </c>
      <c r="AC457" s="11">
        <v>0</v>
      </c>
      <c r="AD457" s="11">
        <v>2</v>
      </c>
      <c r="AE457" s="11">
        <v>0</v>
      </c>
      <c r="AF457" s="11">
        <v>1</v>
      </c>
    </row>
    <row r="458" spans="1:32">
      <c r="A458" t="s">
        <v>32</v>
      </c>
      <c r="B458">
        <v>2024</v>
      </c>
      <c r="C458" t="str">
        <f t="shared" si="22"/>
        <v>2024-Q1</v>
      </c>
      <c r="D458" t="s">
        <v>45</v>
      </c>
      <c r="E458" t="str">
        <f t="shared" si="21"/>
        <v>South West</v>
      </c>
      <c r="F458" s="7">
        <v>7</v>
      </c>
      <c r="G458" s="7">
        <v>16</v>
      </c>
      <c r="H458" s="7">
        <v>1</v>
      </c>
      <c r="I458" s="7">
        <v>24</v>
      </c>
      <c r="J458" s="7">
        <v>55</v>
      </c>
      <c r="K458" s="7">
        <v>9</v>
      </c>
      <c r="L458" s="7">
        <v>64</v>
      </c>
      <c r="M458" s="7">
        <v>114</v>
      </c>
      <c r="N458" s="6">
        <f t="shared" si="23"/>
        <v>0.140625</v>
      </c>
      <c r="O458" s="11">
        <v>27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1</v>
      </c>
      <c r="AB458" s="11">
        <v>2</v>
      </c>
      <c r="AC458" s="11">
        <v>0</v>
      </c>
      <c r="AD458" s="11">
        <v>0</v>
      </c>
      <c r="AE458" s="11">
        <v>2</v>
      </c>
      <c r="AF458" s="11">
        <v>1</v>
      </c>
    </row>
    <row r="459" spans="1:32">
      <c r="A459" t="s">
        <v>32</v>
      </c>
      <c r="B459">
        <v>2024</v>
      </c>
      <c r="C459" t="str">
        <f t="shared" si="22"/>
        <v>2024-Q1</v>
      </c>
      <c r="D459" t="s">
        <v>46</v>
      </c>
      <c r="E459" t="str">
        <f t="shared" si="21"/>
        <v>South East</v>
      </c>
      <c r="F459" s="7">
        <v>12</v>
      </c>
      <c r="G459" s="7">
        <v>28</v>
      </c>
      <c r="H459" s="7">
        <v>4</v>
      </c>
      <c r="I459" s="7">
        <v>44</v>
      </c>
      <c r="J459" s="7">
        <v>164</v>
      </c>
      <c r="K459" s="7">
        <v>24</v>
      </c>
      <c r="L459" s="7">
        <v>188</v>
      </c>
      <c r="M459" s="7">
        <v>363</v>
      </c>
      <c r="N459" s="6">
        <f t="shared" si="23"/>
        <v>0.1276595744680851</v>
      </c>
      <c r="O459" s="11">
        <v>39</v>
      </c>
      <c r="P459" s="11">
        <v>0</v>
      </c>
      <c r="Q459" s="11">
        <v>0</v>
      </c>
      <c r="R459" s="11">
        <v>0</v>
      </c>
      <c r="S459" s="11">
        <v>6</v>
      </c>
      <c r="T459" s="11">
        <v>0</v>
      </c>
      <c r="U459" s="11">
        <v>0</v>
      </c>
      <c r="V459" s="11">
        <v>1</v>
      </c>
      <c r="W459" s="11">
        <v>1</v>
      </c>
      <c r="X459" s="11">
        <v>0</v>
      </c>
      <c r="Y459" s="11">
        <v>2</v>
      </c>
      <c r="Z459" s="11">
        <v>1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</row>
    <row r="460" spans="1:32">
      <c r="A460" t="s">
        <v>32</v>
      </c>
      <c r="B460">
        <v>2024</v>
      </c>
      <c r="C460" t="str">
        <f t="shared" si="22"/>
        <v>2024-Q1</v>
      </c>
      <c r="D460" t="s">
        <v>47</v>
      </c>
      <c r="E460" t="str">
        <f t="shared" si="21"/>
        <v>North Central</v>
      </c>
      <c r="F460" s="7">
        <v>43</v>
      </c>
      <c r="G460" s="7">
        <v>178</v>
      </c>
      <c r="H460" s="7">
        <v>52</v>
      </c>
      <c r="I460" s="7">
        <v>273</v>
      </c>
      <c r="J460" s="7">
        <v>504</v>
      </c>
      <c r="K460" s="7">
        <v>62</v>
      </c>
      <c r="L460" s="7">
        <v>566</v>
      </c>
      <c r="M460" s="7">
        <v>1531</v>
      </c>
      <c r="N460" s="6">
        <f t="shared" si="23"/>
        <v>0.10954063604240283</v>
      </c>
      <c r="O460" s="11">
        <v>280</v>
      </c>
      <c r="P460" s="11">
        <v>0</v>
      </c>
      <c r="Q460" s="11">
        <v>18</v>
      </c>
      <c r="R460" s="11">
        <v>3</v>
      </c>
      <c r="S460" s="11">
        <v>6</v>
      </c>
      <c r="T460" s="11">
        <v>0</v>
      </c>
      <c r="U460" s="11">
        <v>0</v>
      </c>
      <c r="V460" s="11">
        <v>2</v>
      </c>
      <c r="W460" s="11">
        <v>11</v>
      </c>
      <c r="X460" s="11">
        <v>0</v>
      </c>
      <c r="Y460" s="11">
        <v>23</v>
      </c>
      <c r="Z460" s="11">
        <v>3</v>
      </c>
      <c r="AA460" s="11">
        <v>0</v>
      </c>
      <c r="AB460" s="11">
        <v>0</v>
      </c>
      <c r="AC460" s="11">
        <v>0</v>
      </c>
      <c r="AD460" s="11">
        <v>2</v>
      </c>
      <c r="AE460" s="11">
        <v>18</v>
      </c>
      <c r="AF460" s="11">
        <v>2</v>
      </c>
    </row>
    <row r="461" spans="1:32">
      <c r="A461" t="s">
        <v>32</v>
      </c>
      <c r="B461">
        <v>2024</v>
      </c>
      <c r="C461" t="str">
        <f t="shared" si="22"/>
        <v>2024-Q1</v>
      </c>
      <c r="D461" t="s">
        <v>48</v>
      </c>
      <c r="E461" t="str">
        <f t="shared" si="21"/>
        <v>North East</v>
      </c>
      <c r="F461" s="7">
        <v>20</v>
      </c>
      <c r="G461" s="7">
        <v>64</v>
      </c>
      <c r="H461" s="7">
        <v>4</v>
      </c>
      <c r="I461" s="7">
        <v>88</v>
      </c>
      <c r="J461" s="7">
        <v>349</v>
      </c>
      <c r="K461" s="7">
        <v>44</v>
      </c>
      <c r="L461" s="7">
        <v>393</v>
      </c>
      <c r="M461" s="7">
        <v>865</v>
      </c>
      <c r="N461" s="6">
        <f t="shared" si="23"/>
        <v>0.11195928753180662</v>
      </c>
      <c r="O461" s="11">
        <v>46</v>
      </c>
      <c r="P461" s="11">
        <v>0</v>
      </c>
      <c r="Q461" s="11">
        <v>5</v>
      </c>
      <c r="R461" s="11">
        <v>4</v>
      </c>
      <c r="S461" s="11">
        <v>8</v>
      </c>
      <c r="T461" s="11">
        <v>2</v>
      </c>
      <c r="U461" s="11">
        <v>0</v>
      </c>
      <c r="V461" s="11">
        <v>5</v>
      </c>
      <c r="W461" s="11">
        <v>13</v>
      </c>
      <c r="X461" s="11">
        <v>0</v>
      </c>
      <c r="Y461" s="11">
        <v>3</v>
      </c>
      <c r="Z461" s="11">
        <v>1</v>
      </c>
      <c r="AA461" s="11">
        <v>0</v>
      </c>
      <c r="AB461" s="11">
        <v>0</v>
      </c>
      <c r="AC461" s="11">
        <v>0</v>
      </c>
      <c r="AD461" s="11">
        <v>0</v>
      </c>
      <c r="AE461" s="11">
        <v>1</v>
      </c>
      <c r="AF461" s="11">
        <v>0</v>
      </c>
    </row>
    <row r="462" spans="1:32">
      <c r="A462" t="s">
        <v>32</v>
      </c>
      <c r="B462">
        <v>2024</v>
      </c>
      <c r="C462" t="str">
        <f t="shared" si="22"/>
        <v>2024-Q1</v>
      </c>
      <c r="D462" t="s">
        <v>49</v>
      </c>
      <c r="E462" t="str">
        <f t="shared" si="21"/>
        <v>South East</v>
      </c>
      <c r="F462" s="7">
        <v>18</v>
      </c>
      <c r="G462" s="7">
        <v>13</v>
      </c>
      <c r="H462" s="7">
        <v>3</v>
      </c>
      <c r="I462" s="7">
        <v>34</v>
      </c>
      <c r="J462" s="7">
        <v>134</v>
      </c>
      <c r="K462" s="7">
        <v>36</v>
      </c>
      <c r="L462" s="7">
        <v>170</v>
      </c>
      <c r="M462" s="7">
        <v>279</v>
      </c>
      <c r="N462" s="6">
        <f t="shared" si="23"/>
        <v>0.21176470588235294</v>
      </c>
      <c r="O462" s="11">
        <v>25</v>
      </c>
      <c r="P462" s="11">
        <v>0</v>
      </c>
      <c r="Q462" s="11">
        <v>1</v>
      </c>
      <c r="R462" s="11">
        <v>1</v>
      </c>
      <c r="S462" s="11">
        <v>0</v>
      </c>
      <c r="T462" s="11">
        <v>0</v>
      </c>
      <c r="U462" s="11">
        <v>0</v>
      </c>
      <c r="V462" s="11">
        <v>0</v>
      </c>
      <c r="W462" s="11">
        <v>1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1">
        <v>0</v>
      </c>
    </row>
    <row r="463" spans="1:32">
      <c r="A463" t="s">
        <v>32</v>
      </c>
      <c r="B463">
        <v>2024</v>
      </c>
      <c r="C463" t="str">
        <f t="shared" si="22"/>
        <v>2024-Q1</v>
      </c>
      <c r="D463" t="s">
        <v>50</v>
      </c>
      <c r="E463" t="str">
        <f t="shared" si="21"/>
        <v>North West</v>
      </c>
      <c r="F463" s="7">
        <v>17</v>
      </c>
      <c r="G463" s="7">
        <v>75</v>
      </c>
      <c r="H463" s="7">
        <v>3</v>
      </c>
      <c r="I463" s="7">
        <v>95</v>
      </c>
      <c r="J463" s="7">
        <v>308</v>
      </c>
      <c r="K463" s="7">
        <v>41</v>
      </c>
      <c r="L463" s="7">
        <v>349</v>
      </c>
      <c r="M463" s="7">
        <v>526</v>
      </c>
      <c r="N463" s="6">
        <f t="shared" si="23"/>
        <v>0.1174785100286533</v>
      </c>
      <c r="O463" s="11">
        <v>104</v>
      </c>
      <c r="P463" s="11">
        <v>0</v>
      </c>
      <c r="Q463" s="11">
        <v>11</v>
      </c>
      <c r="R463" s="11">
        <v>1</v>
      </c>
      <c r="S463" s="11">
        <v>1</v>
      </c>
      <c r="T463" s="11">
        <v>4</v>
      </c>
      <c r="U463" s="11">
        <v>0</v>
      </c>
      <c r="V463" s="11">
        <v>9</v>
      </c>
      <c r="W463" s="11">
        <v>7</v>
      </c>
      <c r="X463" s="11">
        <v>0</v>
      </c>
      <c r="Y463" s="11">
        <v>2</v>
      </c>
      <c r="Z463" s="11">
        <v>11</v>
      </c>
      <c r="AA463" s="11">
        <v>0</v>
      </c>
      <c r="AB463" s="11">
        <v>0</v>
      </c>
      <c r="AC463" s="11">
        <v>0</v>
      </c>
      <c r="AD463" s="11">
        <v>1</v>
      </c>
      <c r="AE463" s="11">
        <v>0</v>
      </c>
      <c r="AF463" s="11">
        <v>4</v>
      </c>
    </row>
    <row r="464" spans="1:32">
      <c r="A464" t="s">
        <v>32</v>
      </c>
      <c r="B464">
        <v>2024</v>
      </c>
      <c r="C464" t="str">
        <f t="shared" si="22"/>
        <v>2024-Q1</v>
      </c>
      <c r="D464" t="s">
        <v>51</v>
      </c>
      <c r="E464" t="str">
        <f t="shared" si="21"/>
        <v>North West</v>
      </c>
      <c r="F464" s="7">
        <v>68</v>
      </c>
      <c r="G464" s="7">
        <v>107</v>
      </c>
      <c r="H464" s="7">
        <v>5</v>
      </c>
      <c r="I464" s="7">
        <v>180</v>
      </c>
      <c r="J464" s="7">
        <v>828</v>
      </c>
      <c r="K464" s="7">
        <v>171</v>
      </c>
      <c r="L464" s="7">
        <v>999</v>
      </c>
      <c r="M464" s="7">
        <v>1706</v>
      </c>
      <c r="N464" s="6">
        <f t="shared" si="23"/>
        <v>0.17117117117117117</v>
      </c>
      <c r="O464" s="11">
        <v>96</v>
      </c>
      <c r="P464" s="11">
        <v>1</v>
      </c>
      <c r="Q464" s="11">
        <v>13</v>
      </c>
      <c r="R464" s="11">
        <v>6</v>
      </c>
      <c r="S464" s="11">
        <v>0</v>
      </c>
      <c r="T464" s="11">
        <v>2</v>
      </c>
      <c r="U464" s="11">
        <v>0</v>
      </c>
      <c r="V464" s="11">
        <v>18</v>
      </c>
      <c r="W464" s="11">
        <v>13</v>
      </c>
      <c r="X464" s="11">
        <v>0</v>
      </c>
      <c r="Y464" s="11">
        <v>20</v>
      </c>
      <c r="Z464" s="11">
        <v>2</v>
      </c>
      <c r="AA464" s="11">
        <v>0</v>
      </c>
      <c r="AB464" s="11">
        <v>1</v>
      </c>
      <c r="AC464" s="11">
        <v>0</v>
      </c>
      <c r="AD464" s="11">
        <v>6</v>
      </c>
      <c r="AE464" s="11">
        <v>1</v>
      </c>
      <c r="AF464" s="11">
        <v>2</v>
      </c>
    </row>
    <row r="465" spans="1:32">
      <c r="A465" t="s">
        <v>32</v>
      </c>
      <c r="B465">
        <v>2024</v>
      </c>
      <c r="C465" t="str">
        <f t="shared" si="22"/>
        <v>2024-Q1</v>
      </c>
      <c r="D465" t="s">
        <v>52</v>
      </c>
      <c r="E465" t="str">
        <f t="shared" si="21"/>
        <v>North West</v>
      </c>
      <c r="F465" s="7">
        <v>14</v>
      </c>
      <c r="G465" s="7">
        <v>39</v>
      </c>
      <c r="H465" s="7">
        <v>1</v>
      </c>
      <c r="I465" s="7">
        <v>54</v>
      </c>
      <c r="J465" s="7">
        <v>236</v>
      </c>
      <c r="K465" s="7">
        <v>30</v>
      </c>
      <c r="L465" s="7">
        <v>266</v>
      </c>
      <c r="M465" s="7">
        <v>495</v>
      </c>
      <c r="N465" s="6">
        <f t="shared" si="23"/>
        <v>0.11278195488721804</v>
      </c>
      <c r="O465" s="11">
        <v>44</v>
      </c>
      <c r="P465" s="11">
        <v>0</v>
      </c>
      <c r="Q465" s="11">
        <v>2</v>
      </c>
      <c r="R465" s="11">
        <v>0</v>
      </c>
      <c r="S465" s="11">
        <v>0</v>
      </c>
      <c r="T465" s="11">
        <v>1</v>
      </c>
      <c r="U465" s="11">
        <v>0</v>
      </c>
      <c r="V465" s="11">
        <v>3</v>
      </c>
      <c r="W465" s="11">
        <v>5</v>
      </c>
      <c r="X465" s="11">
        <v>0</v>
      </c>
      <c r="Y465" s="11">
        <v>2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3</v>
      </c>
      <c r="AF465" s="11">
        <v>6</v>
      </c>
    </row>
    <row r="466" spans="1:32">
      <c r="A466" t="s">
        <v>32</v>
      </c>
      <c r="B466">
        <v>2024</v>
      </c>
      <c r="C466" t="str">
        <f t="shared" si="22"/>
        <v>2024-Q1</v>
      </c>
      <c r="D466" t="s">
        <v>53</v>
      </c>
      <c r="E466" t="str">
        <f t="shared" si="21"/>
        <v>North West</v>
      </c>
      <c r="F466" s="7">
        <v>16</v>
      </c>
      <c r="G466" s="7">
        <v>19</v>
      </c>
      <c r="H466" s="7">
        <v>0</v>
      </c>
      <c r="I466" s="7">
        <v>35</v>
      </c>
      <c r="J466" s="7">
        <v>133</v>
      </c>
      <c r="K466" s="7">
        <v>38</v>
      </c>
      <c r="L466" s="7">
        <v>171</v>
      </c>
      <c r="M466" s="7">
        <v>242</v>
      </c>
      <c r="N466" s="6">
        <f t="shared" si="23"/>
        <v>0.22222222222222221</v>
      </c>
      <c r="O466" s="11">
        <v>33</v>
      </c>
      <c r="P466" s="11">
        <v>0</v>
      </c>
      <c r="Q466" s="11">
        <v>4</v>
      </c>
      <c r="R466" s="11">
        <v>0</v>
      </c>
      <c r="S466" s="11">
        <v>0</v>
      </c>
      <c r="T466" s="11">
        <v>4</v>
      </c>
      <c r="U466" s="11">
        <v>0</v>
      </c>
      <c r="V466" s="11">
        <v>1</v>
      </c>
      <c r="W466" s="11">
        <v>1</v>
      </c>
      <c r="X466" s="11">
        <v>0</v>
      </c>
      <c r="Y466" s="11">
        <v>3</v>
      </c>
      <c r="Z466" s="11">
        <v>2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2</v>
      </c>
    </row>
    <row r="467" spans="1:32">
      <c r="A467" t="s">
        <v>32</v>
      </c>
      <c r="B467">
        <v>2024</v>
      </c>
      <c r="C467" t="str">
        <f t="shared" si="22"/>
        <v>2024-Q1</v>
      </c>
      <c r="D467" t="s">
        <v>54</v>
      </c>
      <c r="E467" t="str">
        <f t="shared" si="21"/>
        <v>North West</v>
      </c>
      <c r="F467" s="7">
        <v>11</v>
      </c>
      <c r="G467" s="7">
        <v>22</v>
      </c>
      <c r="H467" s="7">
        <v>0</v>
      </c>
      <c r="I467" s="7">
        <v>33</v>
      </c>
      <c r="J467" s="7">
        <v>250</v>
      </c>
      <c r="K467" s="7">
        <v>41</v>
      </c>
      <c r="L467" s="7">
        <v>291</v>
      </c>
      <c r="M467" s="7">
        <v>449</v>
      </c>
      <c r="N467" s="6">
        <f t="shared" si="23"/>
        <v>0.14089347079037801</v>
      </c>
      <c r="O467" s="11">
        <v>29</v>
      </c>
      <c r="P467" s="11">
        <v>0</v>
      </c>
      <c r="Q467" s="11">
        <v>0</v>
      </c>
      <c r="R467" s="11">
        <v>0</v>
      </c>
      <c r="S467" s="11">
        <v>0</v>
      </c>
      <c r="T467" s="11">
        <v>2</v>
      </c>
      <c r="U467" s="11">
        <v>0</v>
      </c>
      <c r="V467" s="11">
        <v>0</v>
      </c>
      <c r="W467" s="11">
        <v>3</v>
      </c>
      <c r="X467" s="11">
        <v>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1">
        <v>0</v>
      </c>
      <c r="AE467" s="11">
        <v>0</v>
      </c>
      <c r="AF467" s="11">
        <v>0</v>
      </c>
    </row>
    <row r="468" spans="1:32">
      <c r="A468" t="s">
        <v>32</v>
      </c>
      <c r="B468">
        <v>2024</v>
      </c>
      <c r="C468" t="str">
        <f t="shared" si="22"/>
        <v>2024-Q1</v>
      </c>
      <c r="D468" t="s">
        <v>55</v>
      </c>
      <c r="E468" t="str">
        <f t="shared" si="21"/>
        <v>North Central</v>
      </c>
      <c r="F468" s="7">
        <v>38</v>
      </c>
      <c r="G468" s="7">
        <v>70</v>
      </c>
      <c r="H468" s="7">
        <v>13</v>
      </c>
      <c r="I468" s="7">
        <v>121</v>
      </c>
      <c r="J468" s="7">
        <v>500</v>
      </c>
      <c r="K468" s="7">
        <v>83</v>
      </c>
      <c r="L468" s="7">
        <v>583</v>
      </c>
      <c r="M468" s="7">
        <v>1141</v>
      </c>
      <c r="N468" s="6">
        <f t="shared" si="23"/>
        <v>0.14236706689536879</v>
      </c>
      <c r="O468" s="11">
        <v>126</v>
      </c>
      <c r="P468" s="11">
        <v>1</v>
      </c>
      <c r="Q468" s="11">
        <v>21</v>
      </c>
      <c r="R468" s="11">
        <v>6</v>
      </c>
      <c r="S468" s="11">
        <v>11</v>
      </c>
      <c r="T468" s="11">
        <v>0</v>
      </c>
      <c r="U468" s="11">
        <v>0</v>
      </c>
      <c r="V468" s="11">
        <v>22</v>
      </c>
      <c r="W468" s="11">
        <v>0</v>
      </c>
      <c r="X468" s="11">
        <v>0</v>
      </c>
      <c r="Y468" s="11">
        <v>3</v>
      </c>
      <c r="Z468" s="11">
        <v>0</v>
      </c>
      <c r="AA468" s="11">
        <v>0</v>
      </c>
      <c r="AB468" s="11">
        <v>1</v>
      </c>
      <c r="AC468" s="11">
        <v>0</v>
      </c>
      <c r="AD468" s="11">
        <v>1</v>
      </c>
      <c r="AE468" s="11">
        <v>0</v>
      </c>
      <c r="AF468" s="11">
        <v>1</v>
      </c>
    </row>
    <row r="469" spans="1:32">
      <c r="A469" t="s">
        <v>32</v>
      </c>
      <c r="B469">
        <v>2024</v>
      </c>
      <c r="C469" t="str">
        <f t="shared" si="22"/>
        <v>2024-Q1</v>
      </c>
      <c r="D469" t="s">
        <v>56</v>
      </c>
      <c r="E469" t="str">
        <f t="shared" si="21"/>
        <v>North Central</v>
      </c>
      <c r="F469" s="7">
        <v>28</v>
      </c>
      <c r="G469" s="7">
        <v>38</v>
      </c>
      <c r="H469" s="7">
        <v>8</v>
      </c>
      <c r="I469" s="7">
        <v>74</v>
      </c>
      <c r="J469" s="7">
        <v>300</v>
      </c>
      <c r="K469" s="7">
        <v>70</v>
      </c>
      <c r="L469" s="7">
        <v>370</v>
      </c>
      <c r="M469" s="7">
        <v>709</v>
      </c>
      <c r="N469" s="6">
        <f t="shared" si="23"/>
        <v>0.1891891891891892</v>
      </c>
      <c r="O469" s="11">
        <v>63</v>
      </c>
      <c r="P469" s="11">
        <v>1</v>
      </c>
      <c r="Q469" s="11">
        <v>6</v>
      </c>
      <c r="R469" s="11">
        <v>8</v>
      </c>
      <c r="S469" s="11">
        <v>2</v>
      </c>
      <c r="T469" s="11">
        <v>2</v>
      </c>
      <c r="U469" s="11">
        <v>0</v>
      </c>
      <c r="V469" s="11">
        <v>19</v>
      </c>
      <c r="W469" s="11">
        <v>3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3</v>
      </c>
      <c r="AF469" s="11">
        <v>2</v>
      </c>
    </row>
    <row r="470" spans="1:32">
      <c r="A470" t="s">
        <v>32</v>
      </c>
      <c r="B470">
        <v>2024</v>
      </c>
      <c r="C470" t="str">
        <f t="shared" si="22"/>
        <v>2024-Q1</v>
      </c>
      <c r="D470" t="s">
        <v>57</v>
      </c>
      <c r="E470" t="str">
        <f t="shared" si="21"/>
        <v>South West</v>
      </c>
      <c r="F470" s="7">
        <v>15</v>
      </c>
      <c r="G470" s="7">
        <v>62</v>
      </c>
      <c r="H470" s="7">
        <v>36</v>
      </c>
      <c r="I470" s="7">
        <v>113</v>
      </c>
      <c r="J470" s="7">
        <v>165</v>
      </c>
      <c r="K470" s="7">
        <v>18</v>
      </c>
      <c r="L470" s="7">
        <v>183</v>
      </c>
      <c r="M470" s="7">
        <v>540</v>
      </c>
      <c r="N470" s="6">
        <f t="shared" si="23"/>
        <v>9.8360655737704916E-2</v>
      </c>
      <c r="O470" s="11">
        <v>71</v>
      </c>
      <c r="P470" s="11">
        <v>0</v>
      </c>
      <c r="Q470" s="11">
        <v>1</v>
      </c>
      <c r="R470" s="11">
        <v>8</v>
      </c>
      <c r="S470" s="11">
        <v>6</v>
      </c>
      <c r="T470" s="11">
        <v>0</v>
      </c>
      <c r="U470" s="11">
        <v>0</v>
      </c>
      <c r="V470" s="11">
        <v>5</v>
      </c>
      <c r="W470" s="11">
        <v>4</v>
      </c>
      <c r="X470" s="11">
        <v>0</v>
      </c>
      <c r="Y470" s="11">
        <v>8</v>
      </c>
      <c r="Z470" s="11">
        <v>2</v>
      </c>
      <c r="AA470" s="11">
        <v>0</v>
      </c>
      <c r="AB470" s="11">
        <v>1</v>
      </c>
      <c r="AC470" s="11">
        <v>0</v>
      </c>
      <c r="AD470" s="11">
        <v>0</v>
      </c>
      <c r="AE470" s="11">
        <v>0</v>
      </c>
      <c r="AF470" s="11">
        <v>5</v>
      </c>
    </row>
    <row r="471" spans="1:32">
      <c r="A471" t="s">
        <v>32</v>
      </c>
      <c r="B471">
        <v>2024</v>
      </c>
      <c r="C471" t="str">
        <f t="shared" si="22"/>
        <v>2024-Q1</v>
      </c>
      <c r="D471" t="s">
        <v>58</v>
      </c>
      <c r="E471" t="str">
        <f t="shared" si="21"/>
        <v>North Central</v>
      </c>
      <c r="F471" s="7">
        <v>24</v>
      </c>
      <c r="G471" s="7">
        <v>138</v>
      </c>
      <c r="H471" s="7">
        <v>7</v>
      </c>
      <c r="I471" s="7">
        <v>169</v>
      </c>
      <c r="J471" s="7">
        <v>438</v>
      </c>
      <c r="K471" s="7">
        <v>41</v>
      </c>
      <c r="L471" s="7">
        <v>479</v>
      </c>
      <c r="M471" s="7">
        <v>885</v>
      </c>
      <c r="N471" s="6">
        <f t="shared" si="23"/>
        <v>8.5594989561586635E-2</v>
      </c>
      <c r="O471" s="11">
        <v>167</v>
      </c>
      <c r="P471" s="11">
        <v>0</v>
      </c>
      <c r="Q471" s="11">
        <v>7</v>
      </c>
      <c r="R471" s="11">
        <v>2</v>
      </c>
      <c r="S471" s="11">
        <v>6</v>
      </c>
      <c r="T471" s="11">
        <v>2</v>
      </c>
      <c r="U471" s="11">
        <v>0</v>
      </c>
      <c r="V471" s="11">
        <v>4</v>
      </c>
      <c r="W471" s="11">
        <v>26</v>
      </c>
      <c r="X471" s="11">
        <v>1</v>
      </c>
      <c r="Y471" s="11">
        <v>10</v>
      </c>
      <c r="Z471" s="11">
        <v>1</v>
      </c>
      <c r="AA471" s="11">
        <v>1</v>
      </c>
      <c r="AB471" s="11">
        <v>2</v>
      </c>
      <c r="AC471" s="11">
        <v>1</v>
      </c>
      <c r="AD471" s="11">
        <v>0</v>
      </c>
      <c r="AE471" s="11">
        <v>7</v>
      </c>
      <c r="AF471" s="11">
        <v>5</v>
      </c>
    </row>
    <row r="472" spans="1:32">
      <c r="A472" t="s">
        <v>32</v>
      </c>
      <c r="B472">
        <v>2024</v>
      </c>
      <c r="C472" t="str">
        <f t="shared" si="22"/>
        <v>2024-Q1</v>
      </c>
      <c r="D472" t="s">
        <v>59</v>
      </c>
      <c r="E472" t="str">
        <f t="shared" si="21"/>
        <v>North Central</v>
      </c>
      <c r="F472" s="7">
        <v>38</v>
      </c>
      <c r="G472" s="7">
        <v>85</v>
      </c>
      <c r="H472" s="7">
        <v>4</v>
      </c>
      <c r="I472" s="7">
        <v>127</v>
      </c>
      <c r="J472" s="7">
        <v>433</v>
      </c>
      <c r="K472" s="7">
        <v>119</v>
      </c>
      <c r="L472" s="7">
        <v>552</v>
      </c>
      <c r="M472" s="7">
        <v>1115</v>
      </c>
      <c r="N472" s="6">
        <f t="shared" si="23"/>
        <v>0.21557971014492755</v>
      </c>
      <c r="O472" s="11">
        <v>140</v>
      </c>
      <c r="P472" s="11">
        <v>0</v>
      </c>
      <c r="Q472" s="11">
        <v>6</v>
      </c>
      <c r="R472" s="11">
        <v>4</v>
      </c>
      <c r="S472" s="11">
        <v>0</v>
      </c>
      <c r="T472" s="11">
        <v>1</v>
      </c>
      <c r="U472" s="11">
        <v>1</v>
      </c>
      <c r="V472" s="11">
        <v>8</v>
      </c>
      <c r="W472" s="11">
        <v>2</v>
      </c>
      <c r="X472" s="11">
        <v>2</v>
      </c>
      <c r="Y472" s="11">
        <v>6</v>
      </c>
      <c r="Z472" s="11">
        <v>0</v>
      </c>
      <c r="AA472" s="11">
        <v>0</v>
      </c>
      <c r="AB472" s="11">
        <v>0</v>
      </c>
      <c r="AC472" s="11">
        <v>2</v>
      </c>
      <c r="AD472" s="11">
        <v>3</v>
      </c>
      <c r="AE472" s="11">
        <v>5</v>
      </c>
      <c r="AF472" s="11">
        <v>2</v>
      </c>
    </row>
    <row r="473" spans="1:32">
      <c r="A473" t="s">
        <v>32</v>
      </c>
      <c r="B473">
        <v>2024</v>
      </c>
      <c r="C473" t="str">
        <f t="shared" si="22"/>
        <v>2024-Q1</v>
      </c>
      <c r="D473" t="s">
        <v>60</v>
      </c>
      <c r="E473" t="str">
        <f t="shared" si="21"/>
        <v>South West</v>
      </c>
      <c r="F473" s="7">
        <v>53</v>
      </c>
      <c r="G473" s="7">
        <v>131</v>
      </c>
      <c r="H473" s="7">
        <v>16</v>
      </c>
      <c r="I473" s="7">
        <v>200</v>
      </c>
      <c r="J473" s="7">
        <v>542</v>
      </c>
      <c r="K473" s="7">
        <v>98</v>
      </c>
      <c r="L473" s="7">
        <v>640</v>
      </c>
      <c r="M473" s="7">
        <v>1266</v>
      </c>
      <c r="N473" s="6">
        <f t="shared" si="23"/>
        <v>0.15312500000000001</v>
      </c>
      <c r="O473" s="11">
        <v>261</v>
      </c>
      <c r="P473" s="11">
        <v>0</v>
      </c>
      <c r="Q473" s="11">
        <v>34</v>
      </c>
      <c r="R473" s="11">
        <v>12</v>
      </c>
      <c r="S473" s="11">
        <v>2</v>
      </c>
      <c r="T473" s="11">
        <v>0</v>
      </c>
      <c r="U473" s="11">
        <v>0</v>
      </c>
      <c r="V473" s="11">
        <v>16</v>
      </c>
      <c r="W473" s="11">
        <v>8</v>
      </c>
      <c r="X473" s="11">
        <v>0</v>
      </c>
      <c r="Y473" s="11">
        <v>18</v>
      </c>
      <c r="Z473" s="11">
        <v>1</v>
      </c>
      <c r="AA473" s="11">
        <v>3</v>
      </c>
      <c r="AB473" s="11">
        <v>0</v>
      </c>
      <c r="AC473" s="11">
        <v>0</v>
      </c>
      <c r="AD473" s="11">
        <v>0</v>
      </c>
      <c r="AE473" s="11">
        <v>1</v>
      </c>
      <c r="AF473" s="11">
        <v>9</v>
      </c>
    </row>
    <row r="474" spans="1:32">
      <c r="A474" t="s">
        <v>32</v>
      </c>
      <c r="B474">
        <v>2024</v>
      </c>
      <c r="C474" t="str">
        <f t="shared" si="22"/>
        <v>2024-Q1</v>
      </c>
      <c r="D474" t="s">
        <v>61</v>
      </c>
      <c r="E474" t="str">
        <f t="shared" si="21"/>
        <v>South West</v>
      </c>
      <c r="F474" s="7">
        <v>20</v>
      </c>
      <c r="G474" s="7">
        <v>58</v>
      </c>
      <c r="H474" s="7">
        <v>6</v>
      </c>
      <c r="I474" s="7">
        <v>84</v>
      </c>
      <c r="J474" s="7">
        <v>245</v>
      </c>
      <c r="K474" s="7">
        <v>35</v>
      </c>
      <c r="L474" s="7">
        <v>280</v>
      </c>
      <c r="M474" s="7">
        <v>537</v>
      </c>
      <c r="N474" s="6">
        <f t="shared" si="23"/>
        <v>0.125</v>
      </c>
      <c r="O474" s="11">
        <v>80</v>
      </c>
      <c r="P474" s="11">
        <v>0</v>
      </c>
      <c r="Q474" s="11">
        <v>6</v>
      </c>
      <c r="R474" s="11">
        <v>3</v>
      </c>
      <c r="S474" s="11">
        <v>8</v>
      </c>
      <c r="T474" s="11">
        <v>2</v>
      </c>
      <c r="U474" s="11">
        <v>0</v>
      </c>
      <c r="V474" s="11">
        <v>22</v>
      </c>
      <c r="W474" s="11">
        <v>15</v>
      </c>
      <c r="X474" s="11">
        <v>0</v>
      </c>
      <c r="Y474" s="11">
        <v>8</v>
      </c>
      <c r="Z474" s="11">
        <v>0</v>
      </c>
      <c r="AA474" s="11">
        <v>1</v>
      </c>
      <c r="AB474" s="11">
        <v>0</v>
      </c>
      <c r="AC474" s="11">
        <v>0</v>
      </c>
      <c r="AD474" s="11">
        <v>1</v>
      </c>
      <c r="AE474" s="11">
        <v>0</v>
      </c>
      <c r="AF474" s="11">
        <v>0</v>
      </c>
    </row>
    <row r="475" spans="1:32">
      <c r="A475" t="s">
        <v>32</v>
      </c>
      <c r="B475">
        <v>2024</v>
      </c>
      <c r="C475" t="str">
        <f t="shared" si="22"/>
        <v>2024-Q1</v>
      </c>
      <c r="D475" t="s">
        <v>62</v>
      </c>
      <c r="E475" t="str">
        <f t="shared" si="21"/>
        <v>South West</v>
      </c>
      <c r="F475" s="7">
        <v>29</v>
      </c>
      <c r="G475" s="7">
        <v>61</v>
      </c>
      <c r="H475" s="7">
        <v>10</v>
      </c>
      <c r="I475" s="7">
        <v>100</v>
      </c>
      <c r="J475" s="7">
        <v>376</v>
      </c>
      <c r="K475" s="7">
        <v>96</v>
      </c>
      <c r="L475" s="7">
        <v>472</v>
      </c>
      <c r="M475" s="7">
        <v>863</v>
      </c>
      <c r="N475" s="6">
        <f t="shared" si="23"/>
        <v>0.20338983050847459</v>
      </c>
      <c r="O475" s="11">
        <v>71</v>
      </c>
      <c r="P475" s="11">
        <v>0</v>
      </c>
      <c r="Q475" s="11">
        <v>10</v>
      </c>
      <c r="R475" s="11">
        <v>6</v>
      </c>
      <c r="S475" s="11">
        <v>4</v>
      </c>
      <c r="T475" s="11">
        <v>0</v>
      </c>
      <c r="U475" s="11">
        <v>0</v>
      </c>
      <c r="V475" s="11">
        <v>7</v>
      </c>
      <c r="W475" s="11">
        <v>5</v>
      </c>
      <c r="X475" s="11">
        <v>3</v>
      </c>
      <c r="Y475" s="11">
        <v>15</v>
      </c>
      <c r="Z475" s="11">
        <v>0</v>
      </c>
      <c r="AA475" s="11">
        <v>1</v>
      </c>
      <c r="AB475" s="11">
        <v>0</v>
      </c>
      <c r="AC475" s="11">
        <v>0</v>
      </c>
      <c r="AD475" s="11">
        <v>1</v>
      </c>
      <c r="AE475" s="11">
        <v>0</v>
      </c>
      <c r="AF475" s="11">
        <v>0</v>
      </c>
    </row>
    <row r="476" spans="1:32">
      <c r="A476" t="s">
        <v>32</v>
      </c>
      <c r="B476">
        <v>2024</v>
      </c>
      <c r="C476" t="str">
        <f t="shared" si="22"/>
        <v>2024-Q1</v>
      </c>
      <c r="D476" t="s">
        <v>63</v>
      </c>
      <c r="E476" t="str">
        <f t="shared" si="21"/>
        <v>South West</v>
      </c>
      <c r="F476" s="7">
        <v>40</v>
      </c>
      <c r="G476" s="7">
        <v>77</v>
      </c>
      <c r="H476" s="7">
        <v>14</v>
      </c>
      <c r="I476" s="7">
        <v>131</v>
      </c>
      <c r="J476" s="7">
        <v>298</v>
      </c>
      <c r="K476" s="7">
        <v>68</v>
      </c>
      <c r="L476" s="7">
        <v>366</v>
      </c>
      <c r="M476" s="7">
        <v>967</v>
      </c>
      <c r="N476" s="6">
        <f t="shared" si="23"/>
        <v>0.18579234972677597</v>
      </c>
      <c r="O476" s="11">
        <v>84</v>
      </c>
      <c r="P476" s="11">
        <v>0</v>
      </c>
      <c r="Q476" s="11">
        <v>8</v>
      </c>
      <c r="R476" s="11">
        <v>3</v>
      </c>
      <c r="S476" s="11">
        <v>8</v>
      </c>
      <c r="T476" s="11">
        <v>1</v>
      </c>
      <c r="U476" s="11">
        <v>1</v>
      </c>
      <c r="V476" s="11">
        <v>8</v>
      </c>
      <c r="W476" s="11">
        <v>1</v>
      </c>
      <c r="X476" s="11">
        <v>3</v>
      </c>
      <c r="Y476" s="11">
        <v>3</v>
      </c>
      <c r="Z476" s="11">
        <v>0</v>
      </c>
      <c r="AA476" s="11">
        <v>0</v>
      </c>
      <c r="AB476" s="11">
        <v>0</v>
      </c>
      <c r="AC476" s="11">
        <v>0</v>
      </c>
      <c r="AD476" s="11">
        <v>2</v>
      </c>
      <c r="AE476" s="11">
        <v>0</v>
      </c>
      <c r="AF476" s="11">
        <v>0</v>
      </c>
    </row>
    <row r="477" spans="1:32">
      <c r="A477" t="s">
        <v>32</v>
      </c>
      <c r="B477">
        <v>2024</v>
      </c>
      <c r="C477" t="str">
        <f t="shared" si="22"/>
        <v>2024-Q1</v>
      </c>
      <c r="D477" t="s">
        <v>64</v>
      </c>
      <c r="E477" t="str">
        <f t="shared" si="21"/>
        <v>North Central</v>
      </c>
      <c r="F477" s="7">
        <v>11</v>
      </c>
      <c r="G477" s="7">
        <v>63</v>
      </c>
      <c r="H477" s="7">
        <v>3</v>
      </c>
      <c r="I477" s="7">
        <v>77</v>
      </c>
      <c r="J477" s="7">
        <v>185</v>
      </c>
      <c r="K477" s="7">
        <v>15</v>
      </c>
      <c r="L477" s="7">
        <v>200</v>
      </c>
      <c r="M477" s="7">
        <v>426</v>
      </c>
      <c r="N477" s="6">
        <f t="shared" si="23"/>
        <v>7.4999999999999997E-2</v>
      </c>
      <c r="O477" s="11">
        <v>48</v>
      </c>
      <c r="P477" s="11">
        <v>0</v>
      </c>
      <c r="Q477" s="11">
        <v>5</v>
      </c>
      <c r="R477" s="11">
        <v>7</v>
      </c>
      <c r="S477" s="11">
        <v>14</v>
      </c>
      <c r="T477" s="11">
        <v>0</v>
      </c>
      <c r="U477" s="11">
        <v>0</v>
      </c>
      <c r="V477" s="11">
        <v>4</v>
      </c>
      <c r="W477" s="11">
        <v>8</v>
      </c>
      <c r="X477" s="11">
        <v>0</v>
      </c>
      <c r="Y477" s="11">
        <v>1</v>
      </c>
      <c r="Z477" s="11">
        <v>4</v>
      </c>
      <c r="AA477" s="11">
        <v>0</v>
      </c>
      <c r="AB477" s="11">
        <v>1</v>
      </c>
      <c r="AC477" s="11">
        <v>0</v>
      </c>
      <c r="AD477" s="11">
        <v>0</v>
      </c>
      <c r="AE477" s="11">
        <v>0</v>
      </c>
      <c r="AF477" s="11">
        <v>6</v>
      </c>
    </row>
    <row r="478" spans="1:32">
      <c r="A478" t="s">
        <v>32</v>
      </c>
      <c r="B478">
        <v>2024</v>
      </c>
      <c r="C478" t="str">
        <f t="shared" si="22"/>
        <v>2024-Q1</v>
      </c>
      <c r="D478" t="s">
        <v>65</v>
      </c>
      <c r="E478" t="str">
        <f t="shared" si="21"/>
        <v>South South</v>
      </c>
      <c r="F478" s="7">
        <v>4</v>
      </c>
      <c r="G478" s="7">
        <v>10</v>
      </c>
      <c r="H478" s="7">
        <v>1</v>
      </c>
      <c r="I478" s="7">
        <v>15</v>
      </c>
      <c r="J478" s="7">
        <v>32</v>
      </c>
      <c r="K478" s="7">
        <v>4</v>
      </c>
      <c r="L478" s="7">
        <v>36</v>
      </c>
      <c r="M478" s="7">
        <v>60</v>
      </c>
      <c r="N478" s="6">
        <f t="shared" si="23"/>
        <v>0.1111111111111111</v>
      </c>
      <c r="O478" s="11">
        <v>17</v>
      </c>
      <c r="P478" s="11">
        <v>0</v>
      </c>
      <c r="Q478" s="11">
        <v>1</v>
      </c>
      <c r="R478" s="11">
        <v>0</v>
      </c>
      <c r="S478" s="11">
        <v>2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1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</row>
    <row r="479" spans="1:32">
      <c r="A479" t="s">
        <v>32</v>
      </c>
      <c r="B479">
        <v>2024</v>
      </c>
      <c r="C479" t="str">
        <f t="shared" si="22"/>
        <v>2024-Q1</v>
      </c>
      <c r="D479" t="s">
        <v>66</v>
      </c>
      <c r="E479" t="str">
        <f t="shared" si="21"/>
        <v>North West</v>
      </c>
      <c r="F479" s="7">
        <v>14</v>
      </c>
      <c r="G479" s="7">
        <v>10</v>
      </c>
      <c r="H479" s="7">
        <v>0</v>
      </c>
      <c r="I479" s="7">
        <v>24</v>
      </c>
      <c r="J479" s="7">
        <v>122</v>
      </c>
      <c r="K479" s="7">
        <v>41</v>
      </c>
      <c r="L479" s="7">
        <v>163</v>
      </c>
      <c r="M479" s="7">
        <v>236</v>
      </c>
      <c r="N479" s="6">
        <f t="shared" si="23"/>
        <v>0.25153374233128833</v>
      </c>
      <c r="O479" s="11">
        <v>41</v>
      </c>
      <c r="P479" s="11">
        <v>0</v>
      </c>
      <c r="Q479" s="11">
        <v>0</v>
      </c>
      <c r="R479" s="11">
        <v>1</v>
      </c>
      <c r="S479" s="11">
        <v>0</v>
      </c>
      <c r="T479" s="11">
        <v>0</v>
      </c>
      <c r="U479" s="11">
        <v>1</v>
      </c>
      <c r="V479" s="11">
        <v>2</v>
      </c>
      <c r="W479" s="11">
        <v>6</v>
      </c>
      <c r="X479" s="11">
        <v>0</v>
      </c>
      <c r="Y479" s="11">
        <v>0</v>
      </c>
      <c r="Z479" s="11">
        <v>1</v>
      </c>
      <c r="AA479" s="11">
        <v>0</v>
      </c>
      <c r="AB479" s="11">
        <v>0</v>
      </c>
      <c r="AC479" s="11">
        <v>0</v>
      </c>
      <c r="AD479" s="11">
        <v>0</v>
      </c>
      <c r="AE479" s="11">
        <v>0</v>
      </c>
      <c r="AF479" s="11">
        <v>0</v>
      </c>
    </row>
    <row r="480" spans="1:32">
      <c r="A480" t="s">
        <v>32</v>
      </c>
      <c r="B480">
        <v>2024</v>
      </c>
      <c r="C480" t="str">
        <f t="shared" si="22"/>
        <v>2024-Q1</v>
      </c>
      <c r="D480" t="s">
        <v>67</v>
      </c>
      <c r="E480" t="str">
        <f t="shared" si="21"/>
        <v>North East</v>
      </c>
      <c r="F480" s="7">
        <v>7</v>
      </c>
      <c r="G480" s="7">
        <v>31</v>
      </c>
      <c r="H480" s="7">
        <v>0</v>
      </c>
      <c r="I480" s="7">
        <v>38</v>
      </c>
      <c r="J480" s="7">
        <v>98</v>
      </c>
      <c r="K480" s="7">
        <v>17</v>
      </c>
      <c r="L480" s="7">
        <v>115</v>
      </c>
      <c r="M480" s="7">
        <v>231</v>
      </c>
      <c r="N480" s="6">
        <f t="shared" si="23"/>
        <v>0.14782608695652175</v>
      </c>
      <c r="O480" s="11">
        <v>17</v>
      </c>
      <c r="P480" s="11">
        <v>0</v>
      </c>
      <c r="Q480" s="11">
        <v>3</v>
      </c>
      <c r="R480" s="11">
        <v>0</v>
      </c>
      <c r="S480" s="11">
        <v>2</v>
      </c>
      <c r="T480" s="11">
        <v>3</v>
      </c>
      <c r="U480" s="11">
        <v>0</v>
      </c>
      <c r="V480" s="11">
        <v>0</v>
      </c>
      <c r="W480" s="11">
        <v>9</v>
      </c>
      <c r="X480" s="11">
        <v>0</v>
      </c>
      <c r="Y480" s="11">
        <v>3</v>
      </c>
      <c r="Z480" s="11">
        <v>1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</row>
    <row r="481" spans="1:32">
      <c r="A481" t="s">
        <v>32</v>
      </c>
      <c r="B481">
        <v>2024</v>
      </c>
      <c r="C481" t="str">
        <f t="shared" si="22"/>
        <v>2024-Q1</v>
      </c>
      <c r="D481" t="s">
        <v>68</v>
      </c>
      <c r="E481" t="str">
        <f t="shared" si="21"/>
        <v>North East</v>
      </c>
      <c r="F481" s="7">
        <v>8</v>
      </c>
      <c r="G481" s="7">
        <v>28</v>
      </c>
      <c r="H481" s="7">
        <v>3</v>
      </c>
      <c r="I481" s="7">
        <v>39</v>
      </c>
      <c r="J481" s="7">
        <v>234</v>
      </c>
      <c r="K481" s="7">
        <v>13</v>
      </c>
      <c r="L481" s="7">
        <v>247</v>
      </c>
      <c r="M481" s="7">
        <v>378</v>
      </c>
      <c r="N481" s="6">
        <f t="shared" si="23"/>
        <v>5.2631578947368418E-2</v>
      </c>
      <c r="O481" s="11">
        <v>38</v>
      </c>
      <c r="P481" s="11">
        <v>0</v>
      </c>
      <c r="Q481" s="11">
        <v>4</v>
      </c>
      <c r="R481" s="11">
        <v>1</v>
      </c>
      <c r="S481" s="11">
        <v>0</v>
      </c>
      <c r="T481" s="11">
        <v>6</v>
      </c>
      <c r="U481" s="11">
        <v>0</v>
      </c>
      <c r="V481" s="11">
        <v>0</v>
      </c>
      <c r="W481" s="11">
        <v>5</v>
      </c>
      <c r="X481" s="11">
        <v>0</v>
      </c>
      <c r="Y481" s="11">
        <v>1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</row>
    <row r="482" spans="1:32">
      <c r="A482" t="s">
        <v>32</v>
      </c>
      <c r="B482">
        <v>2024</v>
      </c>
      <c r="C482" t="str">
        <f t="shared" si="22"/>
        <v>2024-Q1</v>
      </c>
      <c r="D482" t="s">
        <v>69</v>
      </c>
      <c r="E482" t="str">
        <f t="shared" si="21"/>
        <v>North West</v>
      </c>
      <c r="F482" s="7">
        <v>5</v>
      </c>
      <c r="G482" s="7">
        <v>8</v>
      </c>
      <c r="H482" s="7">
        <v>0</v>
      </c>
      <c r="I482" s="7">
        <v>13</v>
      </c>
      <c r="J482" s="7">
        <v>61</v>
      </c>
      <c r="K482" s="7">
        <v>14</v>
      </c>
      <c r="L482" s="7">
        <v>75</v>
      </c>
      <c r="M482" s="7">
        <v>130</v>
      </c>
      <c r="N482" s="6">
        <f t="shared" si="23"/>
        <v>0.18666666666666668</v>
      </c>
      <c r="O482" s="11">
        <v>14</v>
      </c>
      <c r="P482" s="11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2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</row>
    <row r="483" spans="1:32">
      <c r="A483" t="s">
        <v>70</v>
      </c>
      <c r="B483">
        <v>2024</v>
      </c>
      <c r="C483" t="str">
        <f t="shared" si="22"/>
        <v>2024-Q2</v>
      </c>
      <c r="D483" t="s">
        <v>33</v>
      </c>
      <c r="E483" t="str">
        <f t="shared" si="21"/>
        <v>South East</v>
      </c>
      <c r="F483" s="7">
        <v>6</v>
      </c>
      <c r="G483" s="7">
        <v>12</v>
      </c>
      <c r="H483" s="7">
        <v>2</v>
      </c>
      <c r="I483" s="7">
        <v>20</v>
      </c>
      <c r="J483" s="7">
        <v>86</v>
      </c>
      <c r="K483" s="7">
        <v>15</v>
      </c>
      <c r="L483" s="7">
        <v>101</v>
      </c>
      <c r="M483" s="7">
        <v>177</v>
      </c>
      <c r="N483" s="6">
        <f t="shared" si="23"/>
        <v>0.14851485148514851</v>
      </c>
      <c r="O483" s="11">
        <v>6</v>
      </c>
      <c r="P483" s="11">
        <v>0</v>
      </c>
      <c r="Q483" s="11">
        <v>9</v>
      </c>
      <c r="R483" s="11">
        <v>2</v>
      </c>
      <c r="S483" s="11">
        <v>0</v>
      </c>
      <c r="T483" s="11">
        <v>2</v>
      </c>
      <c r="U483" s="11">
        <v>1</v>
      </c>
      <c r="V483" s="11">
        <v>2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0</v>
      </c>
      <c r="AC483" s="11">
        <v>0</v>
      </c>
      <c r="AD483" s="11">
        <v>0</v>
      </c>
      <c r="AE483" s="11">
        <v>0</v>
      </c>
      <c r="AF483" s="11">
        <v>0</v>
      </c>
    </row>
    <row r="484" spans="1:32">
      <c r="A484" t="s">
        <v>70</v>
      </c>
      <c r="B484">
        <v>2024</v>
      </c>
      <c r="C484" t="str">
        <f t="shared" si="22"/>
        <v>2024-Q2</v>
      </c>
      <c r="D484" t="s">
        <v>34</v>
      </c>
      <c r="E484" t="str">
        <f t="shared" si="21"/>
        <v>North East</v>
      </c>
      <c r="F484" s="7">
        <v>3</v>
      </c>
      <c r="G484" s="7">
        <v>37</v>
      </c>
      <c r="H484" s="7">
        <v>4</v>
      </c>
      <c r="I484" s="7">
        <v>44</v>
      </c>
      <c r="J484" s="7">
        <v>145</v>
      </c>
      <c r="K484" s="7">
        <v>7</v>
      </c>
      <c r="L484" s="7">
        <v>152</v>
      </c>
      <c r="M484" s="7">
        <v>253</v>
      </c>
      <c r="N484" s="6">
        <f t="shared" si="23"/>
        <v>4.6052631578947366E-2</v>
      </c>
      <c r="O484" s="11">
        <v>24</v>
      </c>
      <c r="P484" s="11">
        <v>0</v>
      </c>
      <c r="Q484" s="11">
        <v>1</v>
      </c>
      <c r="R484" s="11">
        <v>0</v>
      </c>
      <c r="S484" s="11">
        <v>1</v>
      </c>
      <c r="T484" s="11">
        <v>3</v>
      </c>
      <c r="U484" s="11">
        <v>0</v>
      </c>
      <c r="V484" s="11">
        <v>1</v>
      </c>
      <c r="W484" s="11">
        <v>0</v>
      </c>
      <c r="X484" s="11">
        <v>0</v>
      </c>
      <c r="Y484" s="11">
        <v>2</v>
      </c>
      <c r="Z484" s="11">
        <v>0</v>
      </c>
      <c r="AA484" s="11">
        <v>12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</row>
    <row r="485" spans="1:32">
      <c r="A485" t="s">
        <v>70</v>
      </c>
      <c r="B485">
        <v>2024</v>
      </c>
      <c r="C485" t="str">
        <f t="shared" si="22"/>
        <v>2024-Q2</v>
      </c>
      <c r="D485" t="s">
        <v>35</v>
      </c>
      <c r="E485" t="str">
        <f t="shared" si="21"/>
        <v>South South</v>
      </c>
      <c r="F485" s="7">
        <v>6</v>
      </c>
      <c r="G485" s="7">
        <v>5</v>
      </c>
      <c r="H485" s="7">
        <v>2</v>
      </c>
      <c r="I485" s="7">
        <v>13</v>
      </c>
      <c r="J485" s="7">
        <v>35</v>
      </c>
      <c r="K485" s="7">
        <v>12</v>
      </c>
      <c r="L485" s="7">
        <v>47</v>
      </c>
      <c r="M485" s="7">
        <v>84</v>
      </c>
      <c r="N485" s="6">
        <f t="shared" si="23"/>
        <v>0.25531914893617019</v>
      </c>
      <c r="O485" s="11">
        <v>8</v>
      </c>
      <c r="P485" s="11">
        <v>0</v>
      </c>
      <c r="Q485" s="11">
        <v>1</v>
      </c>
      <c r="R485" s="11">
        <v>0</v>
      </c>
      <c r="S485" s="11">
        <v>0</v>
      </c>
      <c r="T485" s="11">
        <v>0</v>
      </c>
      <c r="U485" s="11">
        <v>1</v>
      </c>
      <c r="V485" s="11">
        <v>0</v>
      </c>
      <c r="W485" s="11">
        <v>0</v>
      </c>
      <c r="X485" s="11">
        <v>1</v>
      </c>
      <c r="Y485" s="11">
        <v>0</v>
      </c>
      <c r="Z485" s="11">
        <v>0</v>
      </c>
      <c r="AA485" s="11">
        <v>2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</row>
    <row r="486" spans="1:32">
      <c r="A486" t="s">
        <v>70</v>
      </c>
      <c r="B486">
        <v>2024</v>
      </c>
      <c r="C486" t="str">
        <f t="shared" si="22"/>
        <v>2024-Q2</v>
      </c>
      <c r="D486" t="s">
        <v>36</v>
      </c>
      <c r="E486" t="str">
        <f t="shared" si="21"/>
        <v>South East</v>
      </c>
      <c r="F486" s="7">
        <v>9</v>
      </c>
      <c r="G486" s="7">
        <v>11</v>
      </c>
      <c r="H486" s="7">
        <v>3</v>
      </c>
      <c r="I486" s="7">
        <v>23</v>
      </c>
      <c r="J486" s="7">
        <v>68</v>
      </c>
      <c r="K486" s="7">
        <v>11</v>
      </c>
      <c r="L486" s="7">
        <v>79</v>
      </c>
      <c r="M486" s="7">
        <v>184</v>
      </c>
      <c r="N486" s="6">
        <f t="shared" si="23"/>
        <v>0.13924050632911392</v>
      </c>
      <c r="O486" s="11">
        <v>12</v>
      </c>
      <c r="P486" s="11">
        <v>0</v>
      </c>
      <c r="Q486" s="11">
        <v>0</v>
      </c>
      <c r="R486" s="11">
        <v>0</v>
      </c>
      <c r="S486" s="11">
        <v>1</v>
      </c>
      <c r="T486" s="11">
        <v>7</v>
      </c>
      <c r="U486" s="11">
        <v>5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2</v>
      </c>
      <c r="AC486" s="11">
        <v>0</v>
      </c>
      <c r="AD486" s="11">
        <v>0</v>
      </c>
      <c r="AE486" s="11">
        <v>0</v>
      </c>
      <c r="AF486" s="11">
        <v>1</v>
      </c>
    </row>
    <row r="487" spans="1:32">
      <c r="A487" t="s">
        <v>70</v>
      </c>
      <c r="B487">
        <v>2024</v>
      </c>
      <c r="C487" t="str">
        <f t="shared" si="22"/>
        <v>2024-Q2</v>
      </c>
      <c r="D487" t="s">
        <v>37</v>
      </c>
      <c r="E487" t="str">
        <f t="shared" si="21"/>
        <v>North East</v>
      </c>
      <c r="F487" s="7">
        <v>24</v>
      </c>
      <c r="G487" s="7">
        <v>31</v>
      </c>
      <c r="H487" s="7">
        <v>0</v>
      </c>
      <c r="I487" s="7">
        <v>55</v>
      </c>
      <c r="J487" s="7">
        <v>305</v>
      </c>
      <c r="K487" s="7">
        <v>54</v>
      </c>
      <c r="L487" s="7">
        <v>359</v>
      </c>
      <c r="M487" s="7">
        <v>578</v>
      </c>
      <c r="N487" s="6">
        <f t="shared" si="23"/>
        <v>0.15041782729805014</v>
      </c>
      <c r="O487" s="11">
        <v>37</v>
      </c>
      <c r="P487" s="11">
        <v>0</v>
      </c>
      <c r="Q487" s="11">
        <v>13</v>
      </c>
      <c r="R487" s="11">
        <v>14</v>
      </c>
      <c r="S487" s="11">
        <v>0</v>
      </c>
      <c r="T487" s="11">
        <v>1</v>
      </c>
      <c r="U487" s="11">
        <v>3</v>
      </c>
      <c r="V487" s="11">
        <v>1</v>
      </c>
      <c r="W487" s="11">
        <v>0</v>
      </c>
      <c r="X487" s="11">
        <v>0</v>
      </c>
      <c r="Y487" s="11">
        <v>5</v>
      </c>
      <c r="Z487" s="11">
        <v>1</v>
      </c>
      <c r="AA487" s="11">
        <v>1</v>
      </c>
      <c r="AB487" s="11">
        <v>1</v>
      </c>
      <c r="AC487" s="11">
        <v>0</v>
      </c>
      <c r="AD487" s="11">
        <v>0</v>
      </c>
      <c r="AE487" s="11">
        <v>0</v>
      </c>
      <c r="AF487" s="11">
        <v>0</v>
      </c>
    </row>
    <row r="488" spans="1:32">
      <c r="A488" t="s">
        <v>70</v>
      </c>
      <c r="B488">
        <v>2024</v>
      </c>
      <c r="C488" t="str">
        <f t="shared" si="22"/>
        <v>2024-Q2</v>
      </c>
      <c r="D488" t="s">
        <v>38</v>
      </c>
      <c r="E488" t="str">
        <f t="shared" si="21"/>
        <v>South South</v>
      </c>
      <c r="F488" s="7">
        <v>1</v>
      </c>
      <c r="G488" s="7">
        <v>6</v>
      </c>
      <c r="H488" s="7">
        <v>2</v>
      </c>
      <c r="I488" s="7">
        <v>9</v>
      </c>
      <c r="J488" s="7">
        <v>16</v>
      </c>
      <c r="K488" s="7">
        <v>6</v>
      </c>
      <c r="L488" s="7">
        <v>22</v>
      </c>
      <c r="M488" s="7">
        <v>47</v>
      </c>
      <c r="N488" s="6">
        <f t="shared" si="23"/>
        <v>0.27272727272727271</v>
      </c>
      <c r="O488" s="11">
        <v>3</v>
      </c>
      <c r="P488" s="11">
        <v>0</v>
      </c>
      <c r="Q488" s="11">
        <v>1</v>
      </c>
      <c r="R488" s="11">
        <v>3</v>
      </c>
      <c r="S488" s="11">
        <v>1</v>
      </c>
      <c r="T488" s="11">
        <v>0</v>
      </c>
      <c r="U488" s="11">
        <v>1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</row>
    <row r="489" spans="1:32">
      <c r="A489" t="s">
        <v>70</v>
      </c>
      <c r="B489">
        <v>2024</v>
      </c>
      <c r="C489" t="str">
        <f t="shared" si="22"/>
        <v>2024-Q2</v>
      </c>
      <c r="D489" t="s">
        <v>39</v>
      </c>
      <c r="E489" t="str">
        <f t="shared" si="21"/>
        <v>North Central</v>
      </c>
      <c r="F489" s="7">
        <v>14</v>
      </c>
      <c r="G489" s="7">
        <v>50</v>
      </c>
      <c r="H489" s="7">
        <v>5</v>
      </c>
      <c r="I489" s="7">
        <v>69</v>
      </c>
      <c r="J489" s="7">
        <v>267</v>
      </c>
      <c r="K489" s="7">
        <v>37</v>
      </c>
      <c r="L489" s="7">
        <v>304</v>
      </c>
      <c r="M489" s="7">
        <v>501</v>
      </c>
      <c r="N489" s="6">
        <f t="shared" si="23"/>
        <v>0.12171052631578948</v>
      </c>
      <c r="O489" s="11">
        <v>25</v>
      </c>
      <c r="P489" s="11">
        <v>0</v>
      </c>
      <c r="Q489" s="11">
        <v>11</v>
      </c>
      <c r="R489" s="11">
        <v>4</v>
      </c>
      <c r="S489" s="11">
        <v>2</v>
      </c>
      <c r="T489" s="11">
        <v>4</v>
      </c>
      <c r="U489" s="11">
        <v>2</v>
      </c>
      <c r="V489" s="11">
        <v>2</v>
      </c>
      <c r="W489" s="11">
        <v>0</v>
      </c>
      <c r="X489" s="11">
        <v>0</v>
      </c>
      <c r="Y489" s="11">
        <v>12</v>
      </c>
      <c r="Z489" s="11">
        <v>2</v>
      </c>
      <c r="AA489" s="11">
        <v>1</v>
      </c>
      <c r="AB489" s="11">
        <v>0</v>
      </c>
      <c r="AC489" s="11">
        <v>0</v>
      </c>
      <c r="AD489" s="11">
        <v>0</v>
      </c>
      <c r="AE489" s="11">
        <v>0</v>
      </c>
      <c r="AF489" s="11">
        <v>1</v>
      </c>
    </row>
    <row r="490" spans="1:32">
      <c r="A490" t="s">
        <v>70</v>
      </c>
      <c r="B490">
        <v>2024</v>
      </c>
      <c r="C490" t="str">
        <f t="shared" si="22"/>
        <v>2024-Q2</v>
      </c>
      <c r="D490" t="s">
        <v>40</v>
      </c>
      <c r="E490" t="str">
        <f t="shared" si="21"/>
        <v>North East</v>
      </c>
      <c r="F490" s="7">
        <v>3</v>
      </c>
      <c r="G490" s="7">
        <v>8</v>
      </c>
      <c r="H490" s="7">
        <v>1</v>
      </c>
      <c r="I490" s="7">
        <v>12</v>
      </c>
      <c r="J490" s="7">
        <v>26</v>
      </c>
      <c r="K490" s="7">
        <v>3</v>
      </c>
      <c r="L490" s="7">
        <v>29</v>
      </c>
      <c r="M490" s="7">
        <v>44</v>
      </c>
      <c r="N490" s="6">
        <f t="shared" si="23"/>
        <v>0.10344827586206896</v>
      </c>
      <c r="O490" s="11">
        <v>4</v>
      </c>
      <c r="P490" s="11">
        <v>0</v>
      </c>
      <c r="Q490" s="11">
        <v>1</v>
      </c>
      <c r="R490" s="11">
        <v>0</v>
      </c>
      <c r="S490" s="11">
        <v>2</v>
      </c>
      <c r="T490" s="11">
        <v>0</v>
      </c>
      <c r="U490" s="11">
        <v>0</v>
      </c>
      <c r="V490" s="11">
        <v>0</v>
      </c>
      <c r="W490" s="11">
        <v>0</v>
      </c>
      <c r="X490" s="11">
        <v>1</v>
      </c>
      <c r="Y490" s="11">
        <v>0</v>
      </c>
      <c r="Z490" s="11">
        <v>0</v>
      </c>
      <c r="AA490" s="11">
        <v>1</v>
      </c>
      <c r="AB490" s="11">
        <v>1</v>
      </c>
      <c r="AC490" s="11">
        <v>0</v>
      </c>
      <c r="AD490" s="11">
        <v>0</v>
      </c>
      <c r="AE490" s="11">
        <v>0</v>
      </c>
      <c r="AF490" s="11">
        <v>1</v>
      </c>
    </row>
    <row r="491" spans="1:32">
      <c r="A491" t="s">
        <v>70</v>
      </c>
      <c r="B491">
        <v>2024</v>
      </c>
      <c r="C491" t="str">
        <f t="shared" si="22"/>
        <v>2024-Q2</v>
      </c>
      <c r="D491" t="s">
        <v>41</v>
      </c>
      <c r="E491" t="str">
        <f t="shared" si="21"/>
        <v>South South</v>
      </c>
      <c r="F491" s="7">
        <v>7</v>
      </c>
      <c r="G491" s="7">
        <v>10</v>
      </c>
      <c r="H491" s="7">
        <v>3</v>
      </c>
      <c r="I491" s="7">
        <v>20</v>
      </c>
      <c r="J491" s="7">
        <v>36</v>
      </c>
      <c r="K491" s="7">
        <v>8</v>
      </c>
      <c r="L491" s="7">
        <v>44</v>
      </c>
      <c r="M491" s="7">
        <v>92</v>
      </c>
      <c r="N491" s="6">
        <f t="shared" si="23"/>
        <v>0.18181818181818182</v>
      </c>
      <c r="O491" s="11">
        <v>11</v>
      </c>
      <c r="P491" s="11">
        <v>0</v>
      </c>
      <c r="Q491" s="11">
        <v>0</v>
      </c>
      <c r="R491" s="11">
        <v>2</v>
      </c>
      <c r="S491" s="11">
        <v>0</v>
      </c>
      <c r="T491" s="11">
        <v>0</v>
      </c>
      <c r="U491" s="11">
        <v>4</v>
      </c>
      <c r="V491" s="11">
        <v>0</v>
      </c>
      <c r="W491" s="11">
        <v>0</v>
      </c>
      <c r="X491" s="11">
        <v>3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  <c r="AE491" s="11">
        <v>0</v>
      </c>
      <c r="AF491" s="11">
        <v>0</v>
      </c>
    </row>
    <row r="492" spans="1:32">
      <c r="A492" t="s">
        <v>70</v>
      </c>
      <c r="B492">
        <v>2024</v>
      </c>
      <c r="C492" t="str">
        <f t="shared" si="22"/>
        <v>2024-Q2</v>
      </c>
      <c r="D492" t="s">
        <v>42</v>
      </c>
      <c r="E492" t="str">
        <f t="shared" si="21"/>
        <v>South South</v>
      </c>
      <c r="F492" s="7">
        <v>11</v>
      </c>
      <c r="G492" s="7">
        <v>24</v>
      </c>
      <c r="H492" s="7">
        <v>2</v>
      </c>
      <c r="I492" s="7">
        <v>37</v>
      </c>
      <c r="J492" s="7">
        <v>144</v>
      </c>
      <c r="K492" s="7">
        <v>17</v>
      </c>
      <c r="L492" s="7">
        <v>161</v>
      </c>
      <c r="M492" s="7">
        <v>264</v>
      </c>
      <c r="N492" s="6">
        <f t="shared" si="23"/>
        <v>0.10559006211180125</v>
      </c>
      <c r="O492" s="11">
        <v>17</v>
      </c>
      <c r="P492" s="11">
        <v>0</v>
      </c>
      <c r="Q492" s="11">
        <v>7</v>
      </c>
      <c r="R492" s="11">
        <v>0</v>
      </c>
      <c r="S492" s="11">
        <v>0</v>
      </c>
      <c r="T492" s="11">
        <v>2</v>
      </c>
      <c r="U492" s="11">
        <v>6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6</v>
      </c>
      <c r="AB492" s="11">
        <v>0</v>
      </c>
      <c r="AC492" s="11">
        <v>1</v>
      </c>
      <c r="AD492" s="11">
        <v>0</v>
      </c>
      <c r="AE492" s="11">
        <v>0</v>
      </c>
      <c r="AF492" s="11">
        <v>1</v>
      </c>
    </row>
    <row r="493" spans="1:32">
      <c r="A493" t="s">
        <v>70</v>
      </c>
      <c r="B493">
        <v>2024</v>
      </c>
      <c r="C493" t="str">
        <f t="shared" si="22"/>
        <v>2024-Q2</v>
      </c>
      <c r="D493" t="s">
        <v>43</v>
      </c>
      <c r="E493" t="str">
        <f t="shared" si="21"/>
        <v>South East</v>
      </c>
      <c r="F493" s="7">
        <v>9</v>
      </c>
      <c r="G493" s="7">
        <v>9</v>
      </c>
      <c r="H493" s="7">
        <v>0</v>
      </c>
      <c r="I493" s="7">
        <v>18</v>
      </c>
      <c r="J493" s="7">
        <v>45</v>
      </c>
      <c r="K493" s="7">
        <v>12</v>
      </c>
      <c r="L493" s="7">
        <v>57</v>
      </c>
      <c r="M493" s="7">
        <v>105</v>
      </c>
      <c r="N493" s="6">
        <f t="shared" si="23"/>
        <v>0.21052631578947367</v>
      </c>
      <c r="O493" s="11">
        <v>4</v>
      </c>
      <c r="P493" s="11">
        <v>0</v>
      </c>
      <c r="Q493" s="11">
        <v>2</v>
      </c>
      <c r="R493" s="11">
        <v>6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1</v>
      </c>
      <c r="Y493" s="11">
        <v>1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</row>
    <row r="494" spans="1:32">
      <c r="A494" t="s">
        <v>70</v>
      </c>
      <c r="B494">
        <v>2024</v>
      </c>
      <c r="C494" t="str">
        <f t="shared" si="22"/>
        <v>2024-Q2</v>
      </c>
      <c r="D494" t="s">
        <v>44</v>
      </c>
      <c r="E494" t="str">
        <f t="shared" si="21"/>
        <v>South South</v>
      </c>
      <c r="F494" s="7">
        <v>13</v>
      </c>
      <c r="G494" s="7">
        <v>29</v>
      </c>
      <c r="H494" s="7">
        <v>8</v>
      </c>
      <c r="I494" s="7">
        <v>50</v>
      </c>
      <c r="J494" s="7">
        <v>117</v>
      </c>
      <c r="K494" s="7">
        <v>16</v>
      </c>
      <c r="L494" s="7">
        <v>133</v>
      </c>
      <c r="M494" s="7">
        <v>317</v>
      </c>
      <c r="N494" s="6">
        <f t="shared" si="23"/>
        <v>0.12030075187969924</v>
      </c>
      <c r="O494" s="11">
        <v>25</v>
      </c>
      <c r="P494" s="11">
        <v>0</v>
      </c>
      <c r="Q494" s="11">
        <v>7</v>
      </c>
      <c r="R494" s="11">
        <v>29</v>
      </c>
      <c r="S494" s="11">
        <v>1</v>
      </c>
      <c r="T494" s="11">
        <v>0</v>
      </c>
      <c r="U494" s="11">
        <v>8</v>
      </c>
      <c r="V494" s="11">
        <v>0</v>
      </c>
      <c r="W494" s="11">
        <v>0</v>
      </c>
      <c r="X494" s="11">
        <v>1</v>
      </c>
      <c r="Y494" s="11">
        <v>0</v>
      </c>
      <c r="Z494" s="11">
        <v>7</v>
      </c>
      <c r="AA494" s="11">
        <v>0</v>
      </c>
      <c r="AB494" s="11">
        <v>0</v>
      </c>
      <c r="AC494" s="11">
        <v>0</v>
      </c>
      <c r="AD494" s="11">
        <v>0</v>
      </c>
      <c r="AE494" s="11">
        <v>0</v>
      </c>
      <c r="AF494" s="11">
        <v>0</v>
      </c>
    </row>
    <row r="495" spans="1:32">
      <c r="A495" t="s">
        <v>70</v>
      </c>
      <c r="B495">
        <v>2024</v>
      </c>
      <c r="C495" t="str">
        <f t="shared" si="22"/>
        <v>2024-Q2</v>
      </c>
      <c r="D495" t="s">
        <v>45</v>
      </c>
      <c r="E495" t="str">
        <f t="shared" si="21"/>
        <v>South West</v>
      </c>
      <c r="F495" s="7">
        <v>3</v>
      </c>
      <c r="G495" s="7">
        <v>16</v>
      </c>
      <c r="H495" s="7">
        <v>2</v>
      </c>
      <c r="I495" s="7">
        <v>21</v>
      </c>
      <c r="J495" s="7">
        <v>60</v>
      </c>
      <c r="K495" s="7">
        <v>3</v>
      </c>
      <c r="L495" s="7">
        <v>63</v>
      </c>
      <c r="M495" s="7">
        <v>120</v>
      </c>
      <c r="N495" s="6">
        <f t="shared" si="23"/>
        <v>4.7619047619047616E-2</v>
      </c>
      <c r="O495" s="11">
        <v>12</v>
      </c>
      <c r="P495" s="11">
        <v>0</v>
      </c>
      <c r="Q495" s="11">
        <v>0</v>
      </c>
      <c r="R495" s="11">
        <v>13</v>
      </c>
      <c r="S495" s="11">
        <v>2</v>
      </c>
      <c r="T495" s="11">
        <v>2</v>
      </c>
      <c r="U495" s="11">
        <v>2</v>
      </c>
      <c r="V495" s="11">
        <v>0</v>
      </c>
      <c r="W495" s="11">
        <v>0</v>
      </c>
      <c r="X495" s="11">
        <v>0</v>
      </c>
      <c r="Y495" s="11">
        <v>0</v>
      </c>
      <c r="Z495" s="11">
        <v>0</v>
      </c>
      <c r="AA495" s="11">
        <v>1</v>
      </c>
      <c r="AB495" s="11">
        <v>0</v>
      </c>
      <c r="AC495" s="11">
        <v>0</v>
      </c>
      <c r="AD495" s="11">
        <v>0</v>
      </c>
      <c r="AE495" s="11">
        <v>0</v>
      </c>
      <c r="AF495" s="11">
        <v>1</v>
      </c>
    </row>
    <row r="496" spans="1:32">
      <c r="A496" t="s">
        <v>70</v>
      </c>
      <c r="B496">
        <v>2024</v>
      </c>
      <c r="C496" t="str">
        <f t="shared" si="22"/>
        <v>2024-Q2</v>
      </c>
      <c r="D496" t="s">
        <v>46</v>
      </c>
      <c r="E496" t="str">
        <f t="shared" si="21"/>
        <v>South East</v>
      </c>
      <c r="F496" s="7">
        <v>11</v>
      </c>
      <c r="G496" s="7">
        <v>30</v>
      </c>
      <c r="H496" s="7">
        <v>5</v>
      </c>
      <c r="I496" s="7">
        <v>46</v>
      </c>
      <c r="J496" s="7">
        <v>175</v>
      </c>
      <c r="K496" s="7">
        <v>35</v>
      </c>
      <c r="L496" s="7">
        <v>210</v>
      </c>
      <c r="M496" s="7">
        <v>445</v>
      </c>
      <c r="N496" s="6">
        <f t="shared" si="23"/>
        <v>0.16666666666666666</v>
      </c>
      <c r="O496" s="11">
        <v>24</v>
      </c>
      <c r="P496" s="11">
        <v>0</v>
      </c>
      <c r="Q496" s="11">
        <v>2</v>
      </c>
      <c r="R496" s="11">
        <v>7</v>
      </c>
      <c r="S496" s="11">
        <v>0</v>
      </c>
      <c r="T496" s="11">
        <v>4</v>
      </c>
      <c r="U496" s="11">
        <v>14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2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</row>
    <row r="497" spans="1:32">
      <c r="A497" t="s">
        <v>70</v>
      </c>
      <c r="B497">
        <v>2024</v>
      </c>
      <c r="C497" t="str">
        <f t="shared" si="22"/>
        <v>2024-Q2</v>
      </c>
      <c r="D497" t="s">
        <v>47</v>
      </c>
      <c r="E497" t="str">
        <f t="shared" si="21"/>
        <v>North Central</v>
      </c>
      <c r="F497" s="7">
        <v>47</v>
      </c>
      <c r="G497" s="7">
        <v>191</v>
      </c>
      <c r="H497" s="7">
        <v>54</v>
      </c>
      <c r="I497" s="7">
        <v>292</v>
      </c>
      <c r="J497" s="7">
        <v>695</v>
      </c>
      <c r="K497" s="7">
        <v>71</v>
      </c>
      <c r="L497" s="7">
        <v>766</v>
      </c>
      <c r="M497" s="7">
        <v>1837</v>
      </c>
      <c r="N497" s="6">
        <f t="shared" si="23"/>
        <v>9.2689295039164496E-2</v>
      </c>
      <c r="O497" s="11">
        <v>175</v>
      </c>
      <c r="P497" s="11">
        <v>0</v>
      </c>
      <c r="Q497" s="11">
        <v>12</v>
      </c>
      <c r="R497" s="11">
        <v>72</v>
      </c>
      <c r="S497" s="11">
        <v>1</v>
      </c>
      <c r="T497" s="11">
        <v>2</v>
      </c>
      <c r="U497" s="11">
        <v>3</v>
      </c>
      <c r="V497" s="11">
        <v>3</v>
      </c>
      <c r="W497" s="11">
        <v>3</v>
      </c>
      <c r="X497" s="11">
        <v>0</v>
      </c>
      <c r="Y497" s="11">
        <v>15</v>
      </c>
      <c r="Z497" s="11">
        <v>0</v>
      </c>
      <c r="AA497" s="11">
        <v>13</v>
      </c>
      <c r="AB497" s="11">
        <v>3</v>
      </c>
      <c r="AC497" s="11">
        <v>0</v>
      </c>
      <c r="AD497" s="11">
        <v>0</v>
      </c>
      <c r="AE497" s="11">
        <v>0</v>
      </c>
      <c r="AF497" s="11">
        <v>1</v>
      </c>
    </row>
    <row r="498" spans="1:32">
      <c r="A498" t="s">
        <v>70</v>
      </c>
      <c r="B498">
        <v>2024</v>
      </c>
      <c r="C498" t="str">
        <f t="shared" si="22"/>
        <v>2024-Q2</v>
      </c>
      <c r="D498" t="s">
        <v>48</v>
      </c>
      <c r="E498" t="str">
        <f t="shared" si="21"/>
        <v>North East</v>
      </c>
      <c r="F498" s="7">
        <v>19</v>
      </c>
      <c r="G498" s="7">
        <v>47</v>
      </c>
      <c r="H498" s="7">
        <v>5</v>
      </c>
      <c r="I498" s="7">
        <v>71</v>
      </c>
      <c r="J498" s="7">
        <v>243</v>
      </c>
      <c r="K498" s="7">
        <v>33</v>
      </c>
      <c r="L498" s="7">
        <v>276</v>
      </c>
      <c r="M498" s="7">
        <v>489</v>
      </c>
      <c r="N498" s="6">
        <f t="shared" si="23"/>
        <v>0.11956521739130435</v>
      </c>
      <c r="O498" s="11">
        <v>36</v>
      </c>
      <c r="P498" s="11">
        <v>0</v>
      </c>
      <c r="Q498" s="11">
        <v>7</v>
      </c>
      <c r="R498" s="11">
        <v>5</v>
      </c>
      <c r="S498" s="11">
        <v>4</v>
      </c>
      <c r="T498" s="11">
        <v>0</v>
      </c>
      <c r="U498" s="11">
        <v>3</v>
      </c>
      <c r="V498" s="11">
        <v>3</v>
      </c>
      <c r="W498" s="11">
        <v>0</v>
      </c>
      <c r="X498" s="11">
        <v>1</v>
      </c>
      <c r="Y498" s="11">
        <v>7</v>
      </c>
      <c r="Z498" s="11">
        <v>0</v>
      </c>
      <c r="AA498" s="11">
        <v>4</v>
      </c>
      <c r="AB498" s="11">
        <v>1</v>
      </c>
      <c r="AC498" s="11">
        <v>0</v>
      </c>
      <c r="AD498" s="11">
        <v>0</v>
      </c>
      <c r="AE498" s="11">
        <v>0</v>
      </c>
      <c r="AF498" s="11">
        <v>0</v>
      </c>
    </row>
    <row r="499" spans="1:32">
      <c r="A499" t="s">
        <v>70</v>
      </c>
      <c r="B499">
        <v>2024</v>
      </c>
      <c r="C499" t="str">
        <f t="shared" si="22"/>
        <v>2024-Q2</v>
      </c>
      <c r="D499" t="s">
        <v>49</v>
      </c>
      <c r="E499" t="str">
        <f t="shared" si="21"/>
        <v>South East</v>
      </c>
      <c r="F499" s="7">
        <v>6</v>
      </c>
      <c r="G499" s="7">
        <v>6</v>
      </c>
      <c r="H499" s="7">
        <v>0</v>
      </c>
      <c r="I499" s="7">
        <v>12</v>
      </c>
      <c r="J499" s="7">
        <v>74</v>
      </c>
      <c r="K499" s="7">
        <v>21</v>
      </c>
      <c r="L499" s="7">
        <v>95</v>
      </c>
      <c r="M499" s="7">
        <v>127</v>
      </c>
      <c r="N499" s="6">
        <f t="shared" si="23"/>
        <v>0.22105263157894736</v>
      </c>
      <c r="O499" s="11">
        <v>5</v>
      </c>
      <c r="P499" s="11">
        <v>0</v>
      </c>
      <c r="Q499" s="11">
        <v>1</v>
      </c>
      <c r="R499" s="11">
        <v>0</v>
      </c>
      <c r="S499" s="11">
        <v>1</v>
      </c>
      <c r="T499" s="11">
        <v>3</v>
      </c>
      <c r="U499" s="11">
        <v>1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</row>
    <row r="500" spans="1:32">
      <c r="A500" t="s">
        <v>70</v>
      </c>
      <c r="B500">
        <v>2024</v>
      </c>
      <c r="C500" t="str">
        <f t="shared" si="22"/>
        <v>2024-Q2</v>
      </c>
      <c r="D500" t="s">
        <v>50</v>
      </c>
      <c r="E500" t="str">
        <f t="shared" si="21"/>
        <v>North West</v>
      </c>
      <c r="F500" s="7">
        <v>17</v>
      </c>
      <c r="G500" s="7">
        <v>43</v>
      </c>
      <c r="H500" s="7">
        <v>0</v>
      </c>
      <c r="I500" s="7">
        <v>60</v>
      </c>
      <c r="J500" s="7">
        <v>185</v>
      </c>
      <c r="K500" s="7">
        <v>26</v>
      </c>
      <c r="L500" s="7">
        <v>211</v>
      </c>
      <c r="M500" s="7">
        <v>366</v>
      </c>
      <c r="N500" s="6">
        <f t="shared" si="23"/>
        <v>0.12322274881516587</v>
      </c>
      <c r="O500" s="11">
        <v>40</v>
      </c>
      <c r="P500" s="11">
        <v>0</v>
      </c>
      <c r="Q500" s="11">
        <v>4</v>
      </c>
      <c r="R500" s="11">
        <v>30</v>
      </c>
      <c r="S500" s="11">
        <v>0</v>
      </c>
      <c r="T500" s="11">
        <v>6</v>
      </c>
      <c r="U500" s="11">
        <v>0</v>
      </c>
      <c r="V500" s="11">
        <v>0</v>
      </c>
      <c r="W500" s="11">
        <v>0</v>
      </c>
      <c r="X500" s="11">
        <v>0</v>
      </c>
      <c r="Y500" s="11">
        <v>4</v>
      </c>
      <c r="Z500" s="11">
        <v>0</v>
      </c>
      <c r="AA500" s="11">
        <v>1</v>
      </c>
      <c r="AB500" s="11">
        <v>8</v>
      </c>
      <c r="AC500" s="11">
        <v>0</v>
      </c>
      <c r="AD500" s="11">
        <v>0</v>
      </c>
      <c r="AE500" s="11">
        <v>0</v>
      </c>
      <c r="AF500" s="11">
        <v>0</v>
      </c>
    </row>
    <row r="501" spans="1:32">
      <c r="A501" t="s">
        <v>70</v>
      </c>
      <c r="B501">
        <v>2024</v>
      </c>
      <c r="C501" t="str">
        <f t="shared" si="22"/>
        <v>2024-Q2</v>
      </c>
      <c r="D501" t="s">
        <v>51</v>
      </c>
      <c r="E501" t="str">
        <f t="shared" si="21"/>
        <v>North West</v>
      </c>
      <c r="F501" s="7">
        <v>49</v>
      </c>
      <c r="G501" s="7">
        <v>106</v>
      </c>
      <c r="H501" s="7">
        <v>2</v>
      </c>
      <c r="I501" s="7">
        <v>157</v>
      </c>
      <c r="J501" s="7">
        <v>765</v>
      </c>
      <c r="K501" s="7">
        <v>124</v>
      </c>
      <c r="L501" s="7">
        <v>889</v>
      </c>
      <c r="M501" s="7">
        <v>1559</v>
      </c>
      <c r="N501" s="6">
        <f t="shared" si="23"/>
        <v>0.13948256467941508</v>
      </c>
      <c r="O501" s="11">
        <v>90</v>
      </c>
      <c r="P501" s="11">
        <v>0</v>
      </c>
      <c r="Q501" s="11">
        <v>9</v>
      </c>
      <c r="R501" s="11">
        <v>1</v>
      </c>
      <c r="S501" s="11">
        <v>3</v>
      </c>
      <c r="T501" s="11">
        <v>6</v>
      </c>
      <c r="U501" s="11">
        <v>1</v>
      </c>
      <c r="V501" s="11">
        <v>3</v>
      </c>
      <c r="W501" s="11">
        <v>2</v>
      </c>
      <c r="X501" s="11">
        <v>1</v>
      </c>
      <c r="Y501" s="11">
        <v>9</v>
      </c>
      <c r="Z501" s="11">
        <v>1</v>
      </c>
      <c r="AA501" s="11">
        <v>13</v>
      </c>
      <c r="AB501" s="11">
        <v>2</v>
      </c>
      <c r="AC501" s="11">
        <v>0</v>
      </c>
      <c r="AD501" s="11">
        <v>0</v>
      </c>
      <c r="AE501" s="11">
        <v>1</v>
      </c>
      <c r="AF501" s="11">
        <v>2</v>
      </c>
    </row>
    <row r="502" spans="1:32">
      <c r="A502" t="s">
        <v>70</v>
      </c>
      <c r="B502">
        <v>2024</v>
      </c>
      <c r="C502" t="str">
        <f t="shared" si="22"/>
        <v>2024-Q2</v>
      </c>
      <c r="D502" t="s">
        <v>52</v>
      </c>
      <c r="E502" t="str">
        <f t="shared" si="21"/>
        <v>North West</v>
      </c>
      <c r="F502" s="7">
        <v>24</v>
      </c>
      <c r="G502" s="7">
        <v>23</v>
      </c>
      <c r="H502" s="7">
        <v>1</v>
      </c>
      <c r="I502" s="7">
        <v>48</v>
      </c>
      <c r="J502" s="7">
        <v>233</v>
      </c>
      <c r="K502" s="7">
        <v>74</v>
      </c>
      <c r="L502" s="7">
        <v>307</v>
      </c>
      <c r="M502" s="7">
        <v>426</v>
      </c>
      <c r="N502" s="6">
        <f t="shared" si="23"/>
        <v>0.24104234527687296</v>
      </c>
      <c r="O502" s="11">
        <v>30</v>
      </c>
      <c r="P502" s="11">
        <v>0</v>
      </c>
      <c r="Q502" s="11">
        <v>2</v>
      </c>
      <c r="R502" s="11">
        <v>26</v>
      </c>
      <c r="S502" s="11">
        <v>0</v>
      </c>
      <c r="T502" s="11">
        <v>1</v>
      </c>
      <c r="U502" s="11">
        <v>0</v>
      </c>
      <c r="V502" s="11">
        <v>3</v>
      </c>
      <c r="W502" s="11">
        <v>0</v>
      </c>
      <c r="X502" s="11">
        <v>1</v>
      </c>
      <c r="Y502" s="11">
        <v>2</v>
      </c>
      <c r="Z502" s="11">
        <v>0</v>
      </c>
      <c r="AA502" s="11">
        <v>4</v>
      </c>
      <c r="AB502" s="11">
        <v>0</v>
      </c>
      <c r="AC502" s="11">
        <v>0</v>
      </c>
      <c r="AD502" s="11">
        <v>0</v>
      </c>
      <c r="AE502" s="11">
        <v>0</v>
      </c>
      <c r="AF502" s="11">
        <v>1</v>
      </c>
    </row>
    <row r="503" spans="1:32">
      <c r="A503" t="s">
        <v>70</v>
      </c>
      <c r="B503">
        <v>2024</v>
      </c>
      <c r="C503" t="str">
        <f t="shared" si="22"/>
        <v>2024-Q2</v>
      </c>
      <c r="D503" t="s">
        <v>53</v>
      </c>
      <c r="E503" t="str">
        <f t="shared" si="21"/>
        <v>North West</v>
      </c>
      <c r="F503" s="7">
        <v>10</v>
      </c>
      <c r="G503" s="7">
        <v>16</v>
      </c>
      <c r="H503" s="7">
        <v>0</v>
      </c>
      <c r="I503" s="7">
        <v>26</v>
      </c>
      <c r="J503" s="7">
        <v>107</v>
      </c>
      <c r="K503" s="7">
        <v>18</v>
      </c>
      <c r="L503" s="7">
        <v>125</v>
      </c>
      <c r="M503" s="7">
        <v>226</v>
      </c>
      <c r="N503" s="6">
        <f t="shared" si="23"/>
        <v>0.14399999999999999</v>
      </c>
      <c r="O503" s="11">
        <v>20</v>
      </c>
      <c r="P503" s="11">
        <v>0</v>
      </c>
      <c r="Q503" s="11">
        <v>0</v>
      </c>
      <c r="R503" s="11">
        <v>7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2</v>
      </c>
      <c r="Y503" s="11">
        <v>0</v>
      </c>
      <c r="Z503" s="11">
        <v>0</v>
      </c>
      <c r="AA503" s="11">
        <v>2</v>
      </c>
      <c r="AB503" s="11">
        <v>0</v>
      </c>
      <c r="AC503" s="11">
        <v>0</v>
      </c>
      <c r="AD503" s="11">
        <v>0</v>
      </c>
      <c r="AE503" s="11">
        <v>0</v>
      </c>
      <c r="AF503" s="11">
        <v>0</v>
      </c>
    </row>
    <row r="504" spans="1:32">
      <c r="A504" t="s">
        <v>70</v>
      </c>
      <c r="B504">
        <v>2024</v>
      </c>
      <c r="C504" t="str">
        <f t="shared" si="22"/>
        <v>2024-Q2</v>
      </c>
      <c r="D504" t="s">
        <v>54</v>
      </c>
      <c r="E504" t="str">
        <f t="shared" si="21"/>
        <v>North West</v>
      </c>
      <c r="F504" s="7">
        <v>11</v>
      </c>
      <c r="G504" s="7">
        <v>16</v>
      </c>
      <c r="H504" s="7">
        <v>0</v>
      </c>
      <c r="I504" s="7">
        <v>27</v>
      </c>
      <c r="J504" s="7">
        <v>65</v>
      </c>
      <c r="K504" s="7">
        <v>16</v>
      </c>
      <c r="L504" s="7">
        <v>81</v>
      </c>
      <c r="M504" s="7">
        <v>161</v>
      </c>
      <c r="N504" s="6">
        <f t="shared" si="23"/>
        <v>0.19753086419753085</v>
      </c>
      <c r="O504" s="11">
        <v>10</v>
      </c>
      <c r="P504" s="11">
        <v>0</v>
      </c>
      <c r="Q504" s="11">
        <v>0</v>
      </c>
      <c r="R504" s="11">
        <v>12</v>
      </c>
      <c r="S504" s="11">
        <v>0</v>
      </c>
      <c r="T504" s="11">
        <v>1</v>
      </c>
      <c r="U504" s="11">
        <v>0</v>
      </c>
      <c r="V504" s="11">
        <v>0</v>
      </c>
      <c r="W504" s="11">
        <v>0</v>
      </c>
      <c r="X504" s="11">
        <v>0</v>
      </c>
      <c r="Y504" s="11">
        <v>1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</row>
    <row r="505" spans="1:32">
      <c r="A505" t="s">
        <v>70</v>
      </c>
      <c r="B505">
        <v>2024</v>
      </c>
      <c r="C505" t="str">
        <f t="shared" si="22"/>
        <v>2024-Q2</v>
      </c>
      <c r="D505" t="s">
        <v>55</v>
      </c>
      <c r="E505" t="str">
        <f t="shared" si="21"/>
        <v>North Central</v>
      </c>
      <c r="F505" s="7">
        <v>36</v>
      </c>
      <c r="G505" s="7">
        <v>60</v>
      </c>
      <c r="H505" s="7">
        <v>9</v>
      </c>
      <c r="I505" s="7">
        <v>105</v>
      </c>
      <c r="J505" s="7">
        <v>330</v>
      </c>
      <c r="K505" s="7">
        <v>89</v>
      </c>
      <c r="L505" s="7">
        <v>419</v>
      </c>
      <c r="M505" s="7">
        <v>853</v>
      </c>
      <c r="N505" s="6">
        <f t="shared" si="23"/>
        <v>0.21241050119331742</v>
      </c>
      <c r="O505" s="11">
        <v>76</v>
      </c>
      <c r="P505" s="11">
        <v>0</v>
      </c>
      <c r="Q505" s="11">
        <v>11</v>
      </c>
      <c r="R505" s="11">
        <v>1</v>
      </c>
      <c r="S505" s="11">
        <v>2</v>
      </c>
      <c r="T505" s="11">
        <v>17</v>
      </c>
      <c r="U505" s="11">
        <v>7</v>
      </c>
      <c r="V505" s="11">
        <v>0</v>
      </c>
      <c r="W505" s="11">
        <v>0</v>
      </c>
      <c r="X505" s="11">
        <v>0</v>
      </c>
      <c r="Y505" s="11">
        <v>0</v>
      </c>
      <c r="Z505" s="11">
        <v>1</v>
      </c>
      <c r="AA505" s="11">
        <v>7</v>
      </c>
      <c r="AB505" s="11">
        <v>0</v>
      </c>
      <c r="AC505" s="11">
        <v>4</v>
      </c>
      <c r="AD505" s="11">
        <v>0</v>
      </c>
      <c r="AE505" s="11">
        <v>0</v>
      </c>
      <c r="AF505" s="11">
        <v>0</v>
      </c>
    </row>
    <row r="506" spans="1:32">
      <c r="A506" t="s">
        <v>70</v>
      </c>
      <c r="B506">
        <v>2024</v>
      </c>
      <c r="C506" t="str">
        <f t="shared" si="22"/>
        <v>2024-Q2</v>
      </c>
      <c r="D506" t="s">
        <v>56</v>
      </c>
      <c r="E506" t="str">
        <f t="shared" si="21"/>
        <v>North Central</v>
      </c>
      <c r="F506" s="7">
        <v>15</v>
      </c>
      <c r="G506" s="7">
        <v>34</v>
      </c>
      <c r="H506" s="7">
        <v>3</v>
      </c>
      <c r="I506" s="7">
        <v>52</v>
      </c>
      <c r="J506" s="7">
        <v>210</v>
      </c>
      <c r="K506" s="7">
        <v>44</v>
      </c>
      <c r="L506" s="7">
        <v>254</v>
      </c>
      <c r="M506" s="7">
        <v>405</v>
      </c>
      <c r="N506" s="6">
        <f t="shared" si="23"/>
        <v>0.17322834645669291</v>
      </c>
      <c r="O506" s="11">
        <v>31</v>
      </c>
      <c r="P506" s="11">
        <v>0</v>
      </c>
      <c r="Q506" s="11">
        <v>1</v>
      </c>
      <c r="R506" s="11">
        <v>9</v>
      </c>
      <c r="S506" s="11">
        <v>4</v>
      </c>
      <c r="T506" s="11">
        <v>8</v>
      </c>
      <c r="U506" s="11">
        <v>0</v>
      </c>
      <c r="V506" s="11">
        <v>1</v>
      </c>
      <c r="W506" s="11">
        <v>0</v>
      </c>
      <c r="X506" s="11">
        <v>0</v>
      </c>
      <c r="Y506" s="11">
        <v>1</v>
      </c>
      <c r="Z506" s="11">
        <v>0</v>
      </c>
      <c r="AA506" s="11">
        <v>1</v>
      </c>
      <c r="AB506" s="11">
        <v>1</v>
      </c>
      <c r="AC506" s="11">
        <v>0</v>
      </c>
      <c r="AD506" s="11">
        <v>0</v>
      </c>
      <c r="AE506" s="11">
        <v>3</v>
      </c>
      <c r="AF506" s="11">
        <v>0</v>
      </c>
    </row>
    <row r="507" spans="1:32">
      <c r="A507" t="s">
        <v>70</v>
      </c>
      <c r="B507">
        <v>2024</v>
      </c>
      <c r="C507" t="str">
        <f t="shared" si="22"/>
        <v>2024-Q2</v>
      </c>
      <c r="D507" t="s">
        <v>57</v>
      </c>
      <c r="E507" t="str">
        <f t="shared" si="21"/>
        <v>South West</v>
      </c>
      <c r="F507" s="7">
        <v>22</v>
      </c>
      <c r="G507" s="7">
        <v>77</v>
      </c>
      <c r="H507" s="7">
        <v>48</v>
      </c>
      <c r="I507" s="7">
        <v>147</v>
      </c>
      <c r="J507" s="7">
        <v>186</v>
      </c>
      <c r="K507" s="7">
        <v>31</v>
      </c>
      <c r="L507" s="7">
        <v>217</v>
      </c>
      <c r="M507" s="7">
        <v>657</v>
      </c>
      <c r="N507" s="6">
        <f t="shared" si="23"/>
        <v>0.14285714285714285</v>
      </c>
      <c r="O507" s="11">
        <v>80</v>
      </c>
      <c r="P507" s="11">
        <v>0</v>
      </c>
      <c r="Q507" s="11">
        <v>1</v>
      </c>
      <c r="R507" s="11">
        <v>12</v>
      </c>
      <c r="S507" s="11">
        <v>14</v>
      </c>
      <c r="T507" s="11">
        <v>11</v>
      </c>
      <c r="U507" s="11">
        <v>9</v>
      </c>
      <c r="V507" s="11">
        <v>0</v>
      </c>
      <c r="W507" s="11">
        <v>0</v>
      </c>
      <c r="X507" s="11">
        <v>0</v>
      </c>
      <c r="Y507" s="11">
        <v>2</v>
      </c>
      <c r="Z507" s="11">
        <v>0</v>
      </c>
      <c r="AA507" s="11">
        <v>7</v>
      </c>
      <c r="AB507" s="11">
        <v>2</v>
      </c>
      <c r="AC507" s="11">
        <v>0</v>
      </c>
      <c r="AD507" s="11">
        <v>0</v>
      </c>
      <c r="AE507" s="11">
        <v>2</v>
      </c>
      <c r="AF507" s="11">
        <v>3</v>
      </c>
    </row>
    <row r="508" spans="1:32">
      <c r="A508" t="s">
        <v>70</v>
      </c>
      <c r="B508">
        <v>2024</v>
      </c>
      <c r="C508" t="str">
        <f t="shared" si="22"/>
        <v>2024-Q2</v>
      </c>
      <c r="D508" t="s">
        <v>58</v>
      </c>
      <c r="E508" t="str">
        <f t="shared" si="21"/>
        <v>North Central</v>
      </c>
      <c r="F508" s="7">
        <v>35</v>
      </c>
      <c r="G508" s="7">
        <v>125</v>
      </c>
      <c r="H508" s="7">
        <v>4</v>
      </c>
      <c r="I508" s="7">
        <v>164</v>
      </c>
      <c r="J508" s="7">
        <v>485</v>
      </c>
      <c r="K508" s="7">
        <v>55</v>
      </c>
      <c r="L508" s="7">
        <v>540</v>
      </c>
      <c r="M508" s="7">
        <v>870</v>
      </c>
      <c r="N508" s="6">
        <f t="shared" si="23"/>
        <v>0.10185185185185185</v>
      </c>
      <c r="O508" s="11">
        <v>98</v>
      </c>
      <c r="P508" s="11">
        <v>1</v>
      </c>
      <c r="Q508" s="11">
        <v>12</v>
      </c>
      <c r="R508" s="11">
        <v>39</v>
      </c>
      <c r="S508" s="11">
        <v>1</v>
      </c>
      <c r="T508" s="11">
        <v>3</v>
      </c>
      <c r="U508" s="11">
        <v>4</v>
      </c>
      <c r="V508" s="11">
        <v>3</v>
      </c>
      <c r="W508" s="11">
        <v>0</v>
      </c>
      <c r="X508" s="11">
        <v>1</v>
      </c>
      <c r="Y508" s="11">
        <v>18</v>
      </c>
      <c r="Z508" s="11">
        <v>0</v>
      </c>
      <c r="AA508" s="11">
        <v>15</v>
      </c>
      <c r="AB508" s="11">
        <v>1</v>
      </c>
      <c r="AC508" s="11">
        <v>0</v>
      </c>
      <c r="AD508" s="11">
        <v>0</v>
      </c>
      <c r="AE508" s="11">
        <v>0</v>
      </c>
      <c r="AF508" s="11">
        <v>1</v>
      </c>
    </row>
    <row r="509" spans="1:32">
      <c r="A509" t="s">
        <v>70</v>
      </c>
      <c r="B509">
        <v>2024</v>
      </c>
      <c r="C509" t="str">
        <f t="shared" si="22"/>
        <v>2024-Q2</v>
      </c>
      <c r="D509" t="s">
        <v>59</v>
      </c>
      <c r="E509" t="str">
        <f t="shared" si="21"/>
        <v>North Central</v>
      </c>
      <c r="F509" s="7">
        <v>38</v>
      </c>
      <c r="G509" s="7">
        <v>81</v>
      </c>
      <c r="H509" s="7">
        <v>2</v>
      </c>
      <c r="I509" s="7">
        <v>121</v>
      </c>
      <c r="J509" s="7">
        <v>441</v>
      </c>
      <c r="K509" s="7">
        <v>94</v>
      </c>
      <c r="L509" s="7">
        <v>535</v>
      </c>
      <c r="M509" s="7">
        <v>826</v>
      </c>
      <c r="N509" s="6">
        <f t="shared" si="23"/>
        <v>0.17570093457943925</v>
      </c>
      <c r="O509" s="11">
        <v>77</v>
      </c>
      <c r="P509" s="11">
        <v>0</v>
      </c>
      <c r="Q509" s="11">
        <v>6</v>
      </c>
      <c r="R509" s="11">
        <v>35</v>
      </c>
      <c r="S509" s="11">
        <v>1</v>
      </c>
      <c r="T509" s="11">
        <v>12</v>
      </c>
      <c r="U509" s="11">
        <v>1</v>
      </c>
      <c r="V509" s="11">
        <v>0</v>
      </c>
      <c r="W509" s="11">
        <v>0</v>
      </c>
      <c r="X509" s="11">
        <v>8</v>
      </c>
      <c r="Y509" s="11">
        <v>2</v>
      </c>
      <c r="Z509" s="11">
        <v>0</v>
      </c>
      <c r="AA509" s="11">
        <v>3</v>
      </c>
      <c r="AB509" s="11">
        <v>0</v>
      </c>
      <c r="AC509" s="11">
        <v>0</v>
      </c>
      <c r="AD509" s="11">
        <v>1</v>
      </c>
      <c r="AE509" s="11">
        <v>0</v>
      </c>
      <c r="AF509" s="11">
        <v>0</v>
      </c>
    </row>
    <row r="510" spans="1:32">
      <c r="A510" t="s">
        <v>70</v>
      </c>
      <c r="B510">
        <v>2024</v>
      </c>
      <c r="C510" t="str">
        <f t="shared" si="22"/>
        <v>2024-Q2</v>
      </c>
      <c r="D510" t="s">
        <v>60</v>
      </c>
      <c r="E510" t="str">
        <f t="shared" si="21"/>
        <v>South West</v>
      </c>
      <c r="F510" s="7">
        <v>57</v>
      </c>
      <c r="G510" s="7">
        <v>102</v>
      </c>
      <c r="H510" s="7">
        <v>20</v>
      </c>
      <c r="I510" s="7">
        <v>179</v>
      </c>
      <c r="J510" s="7">
        <v>519</v>
      </c>
      <c r="K510" s="7">
        <v>92</v>
      </c>
      <c r="L510" s="7">
        <v>611</v>
      </c>
      <c r="M510" s="7">
        <v>1371</v>
      </c>
      <c r="N510" s="6">
        <f t="shared" si="23"/>
        <v>0.15057283142389524</v>
      </c>
      <c r="O510" s="11">
        <v>122</v>
      </c>
      <c r="P510" s="11">
        <v>0</v>
      </c>
      <c r="Q510" s="11">
        <v>16</v>
      </c>
      <c r="R510" s="11">
        <v>93</v>
      </c>
      <c r="S510" s="11">
        <v>19</v>
      </c>
      <c r="T510" s="11">
        <v>7</v>
      </c>
      <c r="U510" s="11">
        <v>7</v>
      </c>
      <c r="V510" s="11">
        <v>1</v>
      </c>
      <c r="W510" s="11">
        <v>0</v>
      </c>
      <c r="X510" s="11">
        <v>1</v>
      </c>
      <c r="Y510" s="11">
        <v>4</v>
      </c>
      <c r="Z510" s="11">
        <v>1</v>
      </c>
      <c r="AA510" s="11">
        <v>24</v>
      </c>
      <c r="AB510" s="11">
        <v>1</v>
      </c>
      <c r="AC510" s="11">
        <v>4</v>
      </c>
      <c r="AD510" s="11">
        <v>0</v>
      </c>
      <c r="AE510" s="11">
        <v>1</v>
      </c>
      <c r="AF510" s="11">
        <v>5</v>
      </c>
    </row>
    <row r="511" spans="1:32">
      <c r="A511" t="s">
        <v>70</v>
      </c>
      <c r="B511">
        <v>2024</v>
      </c>
      <c r="C511" t="str">
        <f t="shared" si="22"/>
        <v>2024-Q2</v>
      </c>
      <c r="D511" t="s">
        <v>61</v>
      </c>
      <c r="E511" t="str">
        <f t="shared" si="21"/>
        <v>South West</v>
      </c>
      <c r="F511" s="7">
        <v>35</v>
      </c>
      <c r="G511" s="7">
        <v>52</v>
      </c>
      <c r="H511" s="7">
        <v>7</v>
      </c>
      <c r="I511" s="7">
        <v>94</v>
      </c>
      <c r="J511" s="7">
        <v>226</v>
      </c>
      <c r="K511" s="7">
        <v>50</v>
      </c>
      <c r="L511" s="7">
        <v>276</v>
      </c>
      <c r="M511" s="7">
        <v>591</v>
      </c>
      <c r="N511" s="6">
        <f t="shared" si="23"/>
        <v>0.18115942028985507</v>
      </c>
      <c r="O511" s="11">
        <v>63</v>
      </c>
      <c r="P511" s="11">
        <v>2</v>
      </c>
      <c r="Q511" s="11">
        <v>5</v>
      </c>
      <c r="R511" s="11">
        <v>48</v>
      </c>
      <c r="S511" s="11">
        <v>0</v>
      </c>
      <c r="T511" s="11">
        <v>8</v>
      </c>
      <c r="U511" s="11">
        <v>1</v>
      </c>
      <c r="V511" s="11">
        <v>0</v>
      </c>
      <c r="W511" s="11">
        <v>0</v>
      </c>
      <c r="X511" s="11">
        <v>0</v>
      </c>
      <c r="Y511" s="11">
        <v>8</v>
      </c>
      <c r="Z511" s="11">
        <v>1</v>
      </c>
      <c r="AA511" s="11">
        <v>3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</row>
    <row r="512" spans="1:32">
      <c r="A512" t="s">
        <v>70</v>
      </c>
      <c r="B512">
        <v>2024</v>
      </c>
      <c r="C512" t="str">
        <f t="shared" si="22"/>
        <v>2024-Q2</v>
      </c>
      <c r="D512" t="s">
        <v>62</v>
      </c>
      <c r="E512" t="str">
        <f t="shared" si="21"/>
        <v>South West</v>
      </c>
      <c r="F512" s="7">
        <v>26</v>
      </c>
      <c r="G512" s="7">
        <v>55</v>
      </c>
      <c r="H512" s="7">
        <v>6</v>
      </c>
      <c r="I512" s="7">
        <v>87</v>
      </c>
      <c r="J512" s="7">
        <v>291</v>
      </c>
      <c r="K512" s="7">
        <v>37</v>
      </c>
      <c r="L512" s="7">
        <v>328</v>
      </c>
      <c r="M512" s="7">
        <v>700</v>
      </c>
      <c r="N512" s="6">
        <f t="shared" si="23"/>
        <v>0.11280487804878049</v>
      </c>
      <c r="O512" s="11">
        <v>56</v>
      </c>
      <c r="P512" s="11">
        <v>0</v>
      </c>
      <c r="Q512" s="11">
        <v>8</v>
      </c>
      <c r="R512" s="11">
        <v>30</v>
      </c>
      <c r="S512" s="11">
        <v>4</v>
      </c>
      <c r="T512" s="11">
        <v>7</v>
      </c>
      <c r="U512" s="11">
        <v>0</v>
      </c>
      <c r="V512" s="11">
        <v>0</v>
      </c>
      <c r="W512" s="11">
        <v>0</v>
      </c>
      <c r="X512" s="11">
        <v>1</v>
      </c>
      <c r="Y512" s="11">
        <v>4</v>
      </c>
      <c r="Z512" s="11">
        <v>1</v>
      </c>
      <c r="AA512" s="11">
        <v>13</v>
      </c>
      <c r="AB512" s="11">
        <v>0</v>
      </c>
      <c r="AC512" s="11">
        <v>0</v>
      </c>
      <c r="AD512" s="11">
        <v>1</v>
      </c>
      <c r="AE512" s="11">
        <v>0</v>
      </c>
      <c r="AF512" s="11">
        <v>1</v>
      </c>
    </row>
    <row r="513" spans="1:32">
      <c r="A513" t="s">
        <v>70</v>
      </c>
      <c r="B513">
        <v>2024</v>
      </c>
      <c r="C513" t="str">
        <f t="shared" si="22"/>
        <v>2024-Q2</v>
      </c>
      <c r="D513" t="s">
        <v>63</v>
      </c>
      <c r="E513" t="str">
        <f t="shared" si="21"/>
        <v>South West</v>
      </c>
      <c r="F513" s="7">
        <v>41</v>
      </c>
      <c r="G513" s="7">
        <v>83</v>
      </c>
      <c r="H513" s="7">
        <v>9</v>
      </c>
      <c r="I513" s="7">
        <v>133</v>
      </c>
      <c r="J513" s="7">
        <v>421</v>
      </c>
      <c r="K513" s="7">
        <v>103</v>
      </c>
      <c r="L513" s="7">
        <v>524</v>
      </c>
      <c r="M513" s="7">
        <v>1056</v>
      </c>
      <c r="N513" s="6">
        <f t="shared" si="23"/>
        <v>0.1965648854961832</v>
      </c>
      <c r="O513" s="11">
        <v>93</v>
      </c>
      <c r="P513" s="11">
        <v>0</v>
      </c>
      <c r="Q513" s="11">
        <v>13</v>
      </c>
      <c r="R513" s="11">
        <v>78</v>
      </c>
      <c r="S513" s="11">
        <v>1</v>
      </c>
      <c r="T513" s="11">
        <v>8</v>
      </c>
      <c r="U513" s="11">
        <v>8</v>
      </c>
      <c r="V513" s="11">
        <v>2</v>
      </c>
      <c r="W513" s="11">
        <v>0</v>
      </c>
      <c r="X513" s="11">
        <v>1</v>
      </c>
      <c r="Y513" s="11">
        <v>0</v>
      </c>
      <c r="Z513" s="11">
        <v>2</v>
      </c>
      <c r="AA513" s="11">
        <v>8</v>
      </c>
      <c r="AB513" s="11">
        <v>0</v>
      </c>
      <c r="AC513" s="11">
        <v>1</v>
      </c>
      <c r="AD513" s="11">
        <v>2</v>
      </c>
      <c r="AE513" s="11">
        <v>0</v>
      </c>
      <c r="AF513" s="11">
        <v>1</v>
      </c>
    </row>
    <row r="514" spans="1:32">
      <c r="A514" t="s">
        <v>70</v>
      </c>
      <c r="B514">
        <v>2024</v>
      </c>
      <c r="C514" t="str">
        <f t="shared" si="22"/>
        <v>2024-Q2</v>
      </c>
      <c r="D514" t="s">
        <v>64</v>
      </c>
      <c r="E514" t="str">
        <f t="shared" ref="E514:E577" si="24">IF(OR(D514="Adamawa", D514="Bauchi", D514="Borno", D514="Gombe", D514="Taraba", D514="Yobe"), "North East",
IF(OR(D514="Jigawa", D514="Kaduna", D514="Kano", D514="Katsina", D514="Kebbi", D514="Sokoto", D514="Zamfara"), "North West",
IF(OR(D514="Benue", D514="Kogi", D514="Kwara", D514="Nasarawa", D514="Niger", D514="Plateau", D514="FCT"), "North Central",
IF(OR(D514="Abia", D514="Anambra", D514="Ebonyi", D514="Enugu", D514="Imo"), "South East",
IF(OR(D514="Akwa Ibom", D514="Bayelsa", D514="Cross River", D514="Delta", D514="Edo", D514="Rivers"), "South South",
IF(OR(D514="Ekiti", D514="Lagos", D514="Ogun", D514="Ondo", D514="Osun", D514="Oyo"), "South West",
"Zone Not Found"))))))</f>
        <v>North Central</v>
      </c>
      <c r="F514" s="7">
        <v>11</v>
      </c>
      <c r="G514" s="7">
        <v>47</v>
      </c>
      <c r="H514" s="7">
        <v>6</v>
      </c>
      <c r="I514" s="7">
        <v>64</v>
      </c>
      <c r="J514" s="7">
        <v>189</v>
      </c>
      <c r="K514" s="7">
        <v>13</v>
      </c>
      <c r="L514" s="7">
        <v>202</v>
      </c>
      <c r="M514" s="7">
        <v>430</v>
      </c>
      <c r="N514" s="6">
        <f t="shared" si="23"/>
        <v>6.4356435643564358E-2</v>
      </c>
      <c r="O514" s="11">
        <v>21</v>
      </c>
      <c r="P514" s="11">
        <v>0</v>
      </c>
      <c r="Q514" s="11">
        <v>1</v>
      </c>
      <c r="R514" s="11">
        <v>22</v>
      </c>
      <c r="S514" s="11">
        <v>3</v>
      </c>
      <c r="T514" s="11">
        <v>3</v>
      </c>
      <c r="U514" s="11">
        <v>11</v>
      </c>
      <c r="V514" s="11">
        <v>1</v>
      </c>
      <c r="W514" s="11">
        <v>0</v>
      </c>
      <c r="X514" s="11">
        <v>0</v>
      </c>
      <c r="Y514" s="11">
        <v>9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1</v>
      </c>
    </row>
    <row r="515" spans="1:32">
      <c r="A515" t="s">
        <v>70</v>
      </c>
      <c r="B515">
        <v>2024</v>
      </c>
      <c r="C515" t="str">
        <f t="shared" ref="C515:C578" si="25">B515&amp;"-"&amp;A515</f>
        <v>2024-Q2</v>
      </c>
      <c r="D515" t="s">
        <v>65</v>
      </c>
      <c r="E515" t="str">
        <f t="shared" si="24"/>
        <v>South South</v>
      </c>
      <c r="F515" s="7">
        <v>6</v>
      </c>
      <c r="G515" s="7">
        <v>5</v>
      </c>
      <c r="H515" s="7">
        <v>2</v>
      </c>
      <c r="I515" s="7">
        <v>13</v>
      </c>
      <c r="J515" s="7">
        <v>31</v>
      </c>
      <c r="K515" s="7">
        <v>14</v>
      </c>
      <c r="L515" s="7">
        <v>45</v>
      </c>
      <c r="M515" s="7">
        <v>86</v>
      </c>
      <c r="N515" s="6">
        <f t="shared" ref="N515:N578" si="26">K515/L515</f>
        <v>0.31111111111111112</v>
      </c>
      <c r="O515" s="11">
        <v>8</v>
      </c>
      <c r="P515" s="11">
        <v>0</v>
      </c>
      <c r="Q515" s="11">
        <v>0</v>
      </c>
      <c r="R515" s="11">
        <v>3</v>
      </c>
      <c r="S515" s="11">
        <v>0</v>
      </c>
      <c r="T515" s="11">
        <v>0</v>
      </c>
      <c r="U515" s="11">
        <v>1</v>
      </c>
      <c r="V515" s="11">
        <v>0</v>
      </c>
      <c r="W515" s="11">
        <v>0</v>
      </c>
      <c r="X515" s="11">
        <v>0</v>
      </c>
      <c r="Y515" s="11">
        <v>0</v>
      </c>
      <c r="Z515" s="11">
        <v>0</v>
      </c>
      <c r="AA515" s="11">
        <v>2</v>
      </c>
      <c r="AB515" s="11">
        <v>0</v>
      </c>
      <c r="AC515" s="11">
        <v>0</v>
      </c>
      <c r="AD515" s="11">
        <v>0</v>
      </c>
      <c r="AE515" s="11">
        <v>0</v>
      </c>
      <c r="AF515" s="11">
        <v>0</v>
      </c>
    </row>
    <row r="516" spans="1:32">
      <c r="A516" t="s">
        <v>70</v>
      </c>
      <c r="B516">
        <v>2024</v>
      </c>
      <c r="C516" t="str">
        <f t="shared" si="25"/>
        <v>2024-Q2</v>
      </c>
      <c r="D516" t="s">
        <v>66</v>
      </c>
      <c r="E516" t="str">
        <f t="shared" si="24"/>
        <v>North West</v>
      </c>
      <c r="F516" s="7">
        <v>9</v>
      </c>
      <c r="G516" s="7">
        <v>15</v>
      </c>
      <c r="H516" s="7">
        <v>1</v>
      </c>
      <c r="I516" s="7">
        <v>25</v>
      </c>
      <c r="J516" s="7">
        <v>107</v>
      </c>
      <c r="K516" s="7">
        <v>19</v>
      </c>
      <c r="L516" s="7">
        <v>126</v>
      </c>
      <c r="M516" s="7">
        <v>211</v>
      </c>
      <c r="N516" s="6">
        <f t="shared" si="26"/>
        <v>0.15079365079365079</v>
      </c>
      <c r="O516" s="11">
        <v>13</v>
      </c>
      <c r="P516" s="11">
        <v>0</v>
      </c>
      <c r="Q516" s="11">
        <v>1</v>
      </c>
      <c r="R516" s="11">
        <v>18</v>
      </c>
      <c r="S516" s="11">
        <v>3</v>
      </c>
      <c r="T516" s="11">
        <v>3</v>
      </c>
      <c r="U516" s="11">
        <v>0</v>
      </c>
      <c r="V516" s="11">
        <v>1</v>
      </c>
      <c r="W516" s="11">
        <v>0</v>
      </c>
      <c r="X516" s="11">
        <v>0</v>
      </c>
      <c r="Y516" s="11">
        <v>4</v>
      </c>
      <c r="Z516" s="11">
        <v>0</v>
      </c>
      <c r="AA516" s="11">
        <v>1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</row>
    <row r="517" spans="1:32">
      <c r="A517" t="s">
        <v>70</v>
      </c>
      <c r="B517">
        <v>2024</v>
      </c>
      <c r="C517" t="str">
        <f t="shared" si="25"/>
        <v>2024-Q2</v>
      </c>
      <c r="D517" t="s">
        <v>67</v>
      </c>
      <c r="E517" t="str">
        <f t="shared" si="24"/>
        <v>North East</v>
      </c>
      <c r="F517" s="7">
        <v>4</v>
      </c>
      <c r="G517" s="7">
        <v>28</v>
      </c>
      <c r="H517" s="7">
        <v>0</v>
      </c>
      <c r="I517" s="7">
        <v>32</v>
      </c>
      <c r="J517" s="7">
        <v>83</v>
      </c>
      <c r="K517" s="7">
        <v>8</v>
      </c>
      <c r="L517" s="7">
        <v>91</v>
      </c>
      <c r="M517" s="7">
        <v>159</v>
      </c>
      <c r="N517" s="6">
        <f t="shared" si="26"/>
        <v>8.7912087912087919E-2</v>
      </c>
      <c r="O517" s="11">
        <v>12</v>
      </c>
      <c r="P517" s="11">
        <v>0</v>
      </c>
      <c r="Q517" s="11">
        <v>5</v>
      </c>
      <c r="R517" s="11">
        <v>4</v>
      </c>
      <c r="S517" s="11">
        <v>0</v>
      </c>
      <c r="T517" s="11">
        <v>2</v>
      </c>
      <c r="U517" s="11">
        <v>1</v>
      </c>
      <c r="V517" s="11">
        <v>0</v>
      </c>
      <c r="W517" s="11">
        <v>0</v>
      </c>
      <c r="X517" s="11">
        <v>0</v>
      </c>
      <c r="Y517" s="11">
        <v>11</v>
      </c>
      <c r="Z517" s="11">
        <v>0</v>
      </c>
      <c r="AA517" s="11">
        <v>1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</row>
    <row r="518" spans="1:32">
      <c r="A518" t="s">
        <v>70</v>
      </c>
      <c r="B518">
        <v>2024</v>
      </c>
      <c r="C518" t="str">
        <f t="shared" si="25"/>
        <v>2024-Q2</v>
      </c>
      <c r="D518" t="s">
        <v>68</v>
      </c>
      <c r="E518" t="str">
        <f t="shared" si="24"/>
        <v>North East</v>
      </c>
      <c r="F518" s="7">
        <v>16</v>
      </c>
      <c r="G518" s="7">
        <v>22</v>
      </c>
      <c r="H518" s="7">
        <v>0</v>
      </c>
      <c r="I518" s="7">
        <v>38</v>
      </c>
      <c r="J518" s="7">
        <v>155</v>
      </c>
      <c r="K518" s="7">
        <v>21</v>
      </c>
      <c r="L518" s="7">
        <v>176</v>
      </c>
      <c r="M518" s="7">
        <v>289</v>
      </c>
      <c r="N518" s="6">
        <f t="shared" si="26"/>
        <v>0.11931818181818182</v>
      </c>
      <c r="O518" s="11">
        <v>20</v>
      </c>
      <c r="P518" s="11">
        <v>0</v>
      </c>
      <c r="Q518" s="11">
        <v>5</v>
      </c>
      <c r="R518" s="11">
        <v>9</v>
      </c>
      <c r="S518" s="11">
        <v>0</v>
      </c>
      <c r="T518" s="11">
        <v>1</v>
      </c>
      <c r="U518" s="11">
        <v>0</v>
      </c>
      <c r="V518" s="11">
        <v>2</v>
      </c>
      <c r="W518" s="11">
        <v>0</v>
      </c>
      <c r="X518" s="11">
        <v>0</v>
      </c>
      <c r="Y518" s="11">
        <v>7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</row>
    <row r="519" spans="1:32">
      <c r="A519" t="s">
        <v>70</v>
      </c>
      <c r="B519">
        <v>2024</v>
      </c>
      <c r="C519" t="str">
        <f t="shared" si="25"/>
        <v>2024-Q2</v>
      </c>
      <c r="D519" t="s">
        <v>69</v>
      </c>
      <c r="E519" t="str">
        <f t="shared" si="24"/>
        <v>North West</v>
      </c>
      <c r="F519" s="7">
        <v>7</v>
      </c>
      <c r="G519" s="7">
        <v>13</v>
      </c>
      <c r="H519" s="7">
        <v>0</v>
      </c>
      <c r="I519" s="7">
        <v>20</v>
      </c>
      <c r="J519" s="7">
        <v>84</v>
      </c>
      <c r="K519" s="7">
        <v>16</v>
      </c>
      <c r="L519" s="7">
        <v>100</v>
      </c>
      <c r="M519" s="7">
        <v>187</v>
      </c>
      <c r="N519" s="6">
        <f t="shared" si="26"/>
        <v>0.16</v>
      </c>
      <c r="O519" s="11">
        <v>8</v>
      </c>
      <c r="P519" s="11">
        <v>0</v>
      </c>
      <c r="Q519" s="11">
        <v>0</v>
      </c>
      <c r="R519" s="11">
        <v>5</v>
      </c>
      <c r="S519" s="11">
        <v>0</v>
      </c>
      <c r="T519" s="11">
        <v>0</v>
      </c>
      <c r="U519" s="11">
        <v>1</v>
      </c>
      <c r="V519" s="11">
        <v>0</v>
      </c>
      <c r="W519" s="11">
        <v>0</v>
      </c>
      <c r="X519" s="11">
        <v>4</v>
      </c>
      <c r="Y519" s="11">
        <v>0</v>
      </c>
      <c r="Z519" s="11">
        <v>0</v>
      </c>
      <c r="AA519" s="11">
        <v>3</v>
      </c>
      <c r="AB519" s="11">
        <v>0</v>
      </c>
      <c r="AC519" s="11">
        <v>0</v>
      </c>
      <c r="AD519" s="11">
        <v>0</v>
      </c>
      <c r="AE519" s="11">
        <v>0</v>
      </c>
      <c r="AF519" s="11">
        <v>0</v>
      </c>
    </row>
    <row r="520" spans="1:32">
      <c r="A520" t="s">
        <v>71</v>
      </c>
      <c r="B520">
        <v>2024</v>
      </c>
      <c r="C520" t="str">
        <f t="shared" si="25"/>
        <v>2024-Q3</v>
      </c>
      <c r="D520" t="s">
        <v>33</v>
      </c>
      <c r="E520" t="str">
        <f t="shared" si="24"/>
        <v>South East</v>
      </c>
      <c r="F520" s="8">
        <v>5</v>
      </c>
      <c r="G520" s="8">
        <v>10</v>
      </c>
      <c r="H520" s="8">
        <v>0</v>
      </c>
      <c r="I520" s="8">
        <v>15</v>
      </c>
      <c r="J520" s="8">
        <v>104</v>
      </c>
      <c r="K520" s="8">
        <v>17</v>
      </c>
      <c r="L520" s="8">
        <v>121</v>
      </c>
      <c r="M520" s="8">
        <v>196</v>
      </c>
      <c r="N520" s="6">
        <f t="shared" si="26"/>
        <v>0.14049586776859505</v>
      </c>
      <c r="O520" s="11">
        <v>4</v>
      </c>
      <c r="P520" s="11">
        <v>0</v>
      </c>
      <c r="Q520" s="11">
        <v>4</v>
      </c>
      <c r="R520" s="11">
        <v>0</v>
      </c>
      <c r="S520" s="11">
        <v>1</v>
      </c>
      <c r="T520" s="11">
        <v>2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2</v>
      </c>
      <c r="AF520" s="11">
        <v>8</v>
      </c>
    </row>
    <row r="521" spans="1:32">
      <c r="A521" t="s">
        <v>71</v>
      </c>
      <c r="B521">
        <v>2024</v>
      </c>
      <c r="C521" t="str">
        <f t="shared" si="25"/>
        <v>2024-Q3</v>
      </c>
      <c r="D521" t="s">
        <v>34</v>
      </c>
      <c r="E521" t="str">
        <f t="shared" si="24"/>
        <v>North East</v>
      </c>
      <c r="F521" s="8">
        <v>6</v>
      </c>
      <c r="G521" s="8">
        <v>35</v>
      </c>
      <c r="H521" s="8">
        <v>2</v>
      </c>
      <c r="I521" s="8">
        <v>43</v>
      </c>
      <c r="J521" s="8">
        <v>107</v>
      </c>
      <c r="K521" s="8">
        <v>10</v>
      </c>
      <c r="L521" s="8">
        <v>117</v>
      </c>
      <c r="M521" s="8">
        <v>203</v>
      </c>
      <c r="N521" s="6">
        <f t="shared" si="26"/>
        <v>8.5470085470085472E-2</v>
      </c>
      <c r="O521" s="11">
        <v>16</v>
      </c>
      <c r="P521" s="11">
        <v>1</v>
      </c>
      <c r="Q521" s="11">
        <v>2</v>
      </c>
      <c r="R521" s="11">
        <v>0</v>
      </c>
      <c r="S521" s="11">
        <v>0</v>
      </c>
      <c r="T521" s="11">
        <v>0</v>
      </c>
      <c r="U521" s="11">
        <v>0</v>
      </c>
      <c r="V521" s="11">
        <v>4</v>
      </c>
      <c r="W521" s="11">
        <v>0</v>
      </c>
      <c r="X521" s="11">
        <v>0</v>
      </c>
      <c r="Y521" s="11">
        <v>11</v>
      </c>
      <c r="Z521" s="11">
        <v>1</v>
      </c>
      <c r="AA521" s="11">
        <v>0</v>
      </c>
      <c r="AB521" s="11">
        <v>0</v>
      </c>
      <c r="AC521" s="11">
        <v>0</v>
      </c>
      <c r="AD521" s="11">
        <v>0</v>
      </c>
      <c r="AE521" s="11">
        <v>1</v>
      </c>
      <c r="AF521" s="11">
        <v>7</v>
      </c>
    </row>
    <row r="522" spans="1:32">
      <c r="A522" t="s">
        <v>71</v>
      </c>
      <c r="B522">
        <v>2024</v>
      </c>
      <c r="C522" t="str">
        <f t="shared" si="25"/>
        <v>2024-Q3</v>
      </c>
      <c r="D522" t="s">
        <v>35</v>
      </c>
      <c r="E522" t="str">
        <f t="shared" si="24"/>
        <v>South South</v>
      </c>
      <c r="F522" s="8">
        <v>3</v>
      </c>
      <c r="G522" s="8">
        <v>2</v>
      </c>
      <c r="H522" s="8">
        <v>2</v>
      </c>
      <c r="I522" s="8">
        <v>7</v>
      </c>
      <c r="J522" s="8">
        <v>13</v>
      </c>
      <c r="K522" s="8">
        <v>4</v>
      </c>
      <c r="L522" s="8">
        <v>17</v>
      </c>
      <c r="M522" s="8">
        <v>51</v>
      </c>
      <c r="N522" s="6">
        <f t="shared" si="26"/>
        <v>0.23529411764705882</v>
      </c>
      <c r="O522" s="11">
        <v>6</v>
      </c>
      <c r="P522" s="11">
        <v>0</v>
      </c>
      <c r="Q522" s="11">
        <v>0</v>
      </c>
      <c r="R522" s="11">
        <v>0</v>
      </c>
      <c r="S522" s="11">
        <v>1</v>
      </c>
      <c r="T522" s="11">
        <v>0</v>
      </c>
      <c r="U522" s="11">
        <v>0</v>
      </c>
      <c r="V522" s="11">
        <v>1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1</v>
      </c>
    </row>
    <row r="523" spans="1:32">
      <c r="A523" t="s">
        <v>71</v>
      </c>
      <c r="B523">
        <v>2024</v>
      </c>
      <c r="C523" t="str">
        <f t="shared" si="25"/>
        <v>2024-Q3</v>
      </c>
      <c r="D523" t="s">
        <v>36</v>
      </c>
      <c r="E523" t="str">
        <f t="shared" si="24"/>
        <v>South East</v>
      </c>
      <c r="F523" s="8">
        <v>9</v>
      </c>
      <c r="G523" s="8">
        <v>11</v>
      </c>
      <c r="H523" s="8">
        <v>1</v>
      </c>
      <c r="I523" s="8">
        <v>21</v>
      </c>
      <c r="J523" s="8">
        <v>49</v>
      </c>
      <c r="K523" s="8">
        <v>15</v>
      </c>
      <c r="L523" s="8">
        <v>64</v>
      </c>
      <c r="M523" s="8">
        <v>140</v>
      </c>
      <c r="N523" s="6">
        <f t="shared" si="26"/>
        <v>0.234375</v>
      </c>
      <c r="O523" s="11">
        <v>4</v>
      </c>
      <c r="P523" s="11">
        <v>0</v>
      </c>
      <c r="Q523" s="11">
        <v>2</v>
      </c>
      <c r="R523" s="11">
        <v>1</v>
      </c>
      <c r="S523" s="11">
        <v>8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1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2</v>
      </c>
      <c r="AF523" s="11">
        <v>6</v>
      </c>
    </row>
    <row r="524" spans="1:32">
      <c r="A524" t="s">
        <v>71</v>
      </c>
      <c r="B524">
        <v>2024</v>
      </c>
      <c r="C524" t="str">
        <f t="shared" si="25"/>
        <v>2024-Q3</v>
      </c>
      <c r="D524" t="s">
        <v>37</v>
      </c>
      <c r="E524" t="str">
        <f t="shared" si="24"/>
        <v>North East</v>
      </c>
      <c r="F524" s="8">
        <v>11</v>
      </c>
      <c r="G524" s="8">
        <v>35</v>
      </c>
      <c r="H524" s="8">
        <v>0</v>
      </c>
      <c r="I524" s="8">
        <v>46</v>
      </c>
      <c r="J524" s="8">
        <v>260</v>
      </c>
      <c r="K524" s="8">
        <v>17</v>
      </c>
      <c r="L524" s="8">
        <v>277</v>
      </c>
      <c r="M524" s="8">
        <v>411</v>
      </c>
      <c r="N524" s="6">
        <f t="shared" si="26"/>
        <v>6.1371841155234655E-2</v>
      </c>
      <c r="O524" s="11">
        <v>22</v>
      </c>
      <c r="P524" s="11">
        <v>0</v>
      </c>
      <c r="Q524" s="11">
        <v>8</v>
      </c>
      <c r="R524" s="11">
        <v>0</v>
      </c>
      <c r="S524" s="11">
        <v>0</v>
      </c>
      <c r="T524" s="11">
        <v>3</v>
      </c>
      <c r="U524" s="11">
        <v>0</v>
      </c>
      <c r="V524" s="11">
        <v>1</v>
      </c>
      <c r="W524" s="11">
        <v>4</v>
      </c>
      <c r="X524" s="11">
        <v>2</v>
      </c>
      <c r="Y524" s="11">
        <v>2</v>
      </c>
      <c r="Z524" s="11">
        <v>2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15</v>
      </c>
    </row>
    <row r="525" spans="1:32">
      <c r="A525" t="s">
        <v>71</v>
      </c>
      <c r="B525">
        <v>2024</v>
      </c>
      <c r="C525" t="str">
        <f t="shared" si="25"/>
        <v>2024-Q3</v>
      </c>
      <c r="D525" t="s">
        <v>38</v>
      </c>
      <c r="E525" t="str">
        <f t="shared" si="24"/>
        <v>South South</v>
      </c>
      <c r="F525" s="8">
        <v>1</v>
      </c>
      <c r="G525" s="8">
        <v>4</v>
      </c>
      <c r="H525" s="8">
        <v>0</v>
      </c>
      <c r="I525" s="8">
        <v>5</v>
      </c>
      <c r="J525" s="8">
        <v>18</v>
      </c>
      <c r="K525" s="8">
        <v>1</v>
      </c>
      <c r="L525" s="8">
        <v>19</v>
      </c>
      <c r="M525" s="8">
        <v>27</v>
      </c>
      <c r="N525" s="6">
        <f t="shared" si="26"/>
        <v>5.2631578947368418E-2</v>
      </c>
      <c r="O525" s="11">
        <v>2</v>
      </c>
      <c r="P525" s="11">
        <v>0</v>
      </c>
      <c r="Q525" s="11">
        <v>1</v>
      </c>
      <c r="R525" s="11">
        <v>0</v>
      </c>
      <c r="S525" s="11">
        <v>1</v>
      </c>
      <c r="T525" s="11">
        <v>0</v>
      </c>
      <c r="U525" s="11">
        <v>0</v>
      </c>
      <c r="V525" s="11">
        <v>0</v>
      </c>
      <c r="W525" s="11">
        <v>1</v>
      </c>
      <c r="X525" s="11">
        <v>0</v>
      </c>
      <c r="Y525" s="11">
        <v>1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2</v>
      </c>
    </row>
    <row r="526" spans="1:32">
      <c r="A526" t="s">
        <v>71</v>
      </c>
      <c r="B526">
        <v>2024</v>
      </c>
      <c r="C526" t="str">
        <f t="shared" si="25"/>
        <v>2024-Q3</v>
      </c>
      <c r="D526" t="s">
        <v>39</v>
      </c>
      <c r="E526" t="str">
        <f t="shared" si="24"/>
        <v>North Central</v>
      </c>
      <c r="F526" s="8">
        <v>13</v>
      </c>
      <c r="G526" s="8">
        <v>30</v>
      </c>
      <c r="H526" s="8">
        <v>2</v>
      </c>
      <c r="I526" s="8">
        <v>45</v>
      </c>
      <c r="J526" s="8">
        <v>121</v>
      </c>
      <c r="K526" s="8">
        <v>25</v>
      </c>
      <c r="L526" s="8">
        <v>146</v>
      </c>
      <c r="M526" s="8">
        <v>231</v>
      </c>
      <c r="N526" s="6">
        <f t="shared" si="26"/>
        <v>0.17123287671232876</v>
      </c>
      <c r="O526" s="11">
        <v>29</v>
      </c>
      <c r="P526" s="11">
        <v>0</v>
      </c>
      <c r="Q526" s="11">
        <v>2</v>
      </c>
      <c r="R526" s="11">
        <v>1</v>
      </c>
      <c r="S526" s="11">
        <v>1</v>
      </c>
      <c r="T526" s="11">
        <v>0</v>
      </c>
      <c r="U526" s="11">
        <v>0</v>
      </c>
      <c r="V526" s="11">
        <v>0</v>
      </c>
      <c r="W526" s="11">
        <v>5</v>
      </c>
      <c r="X526" s="11">
        <v>2</v>
      </c>
      <c r="Y526" s="11">
        <v>1</v>
      </c>
      <c r="Z526" s="11">
        <v>0</v>
      </c>
      <c r="AA526" s="11">
        <v>0</v>
      </c>
      <c r="AB526" s="11">
        <v>1</v>
      </c>
      <c r="AC526" s="11">
        <v>0</v>
      </c>
      <c r="AD526" s="11">
        <v>0</v>
      </c>
      <c r="AE526" s="11">
        <v>0</v>
      </c>
      <c r="AF526" s="11">
        <v>5</v>
      </c>
    </row>
    <row r="527" spans="1:32">
      <c r="A527" t="s">
        <v>71</v>
      </c>
      <c r="B527">
        <v>2024</v>
      </c>
      <c r="C527" t="str">
        <f t="shared" si="25"/>
        <v>2024-Q3</v>
      </c>
      <c r="D527" t="s">
        <v>40</v>
      </c>
      <c r="E527" t="str">
        <f t="shared" si="24"/>
        <v>North East</v>
      </c>
      <c r="F527" s="8">
        <v>3</v>
      </c>
      <c r="G527" s="8">
        <v>9</v>
      </c>
      <c r="H527" s="8">
        <v>1</v>
      </c>
      <c r="I527" s="8">
        <v>13</v>
      </c>
      <c r="J527" s="8">
        <v>42</v>
      </c>
      <c r="K527" s="8">
        <v>5</v>
      </c>
      <c r="L527" s="8">
        <v>47</v>
      </c>
      <c r="M527" s="8">
        <v>85</v>
      </c>
      <c r="N527" s="6">
        <f t="shared" si="26"/>
        <v>0.10638297872340426</v>
      </c>
      <c r="O527" s="11">
        <v>5</v>
      </c>
      <c r="P527" s="11">
        <v>0</v>
      </c>
      <c r="Q527" s="11">
        <v>0</v>
      </c>
      <c r="R527" s="11">
        <v>2</v>
      </c>
      <c r="S527" s="11">
        <v>0</v>
      </c>
      <c r="T527" s="11">
        <v>2</v>
      </c>
      <c r="U527" s="11">
        <v>2</v>
      </c>
      <c r="V527" s="11">
        <v>0</v>
      </c>
      <c r="W527" s="11">
        <v>0</v>
      </c>
      <c r="X527" s="11">
        <v>0</v>
      </c>
      <c r="Y527" s="11">
        <v>2</v>
      </c>
      <c r="Z527" s="11">
        <v>4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4</v>
      </c>
    </row>
    <row r="528" spans="1:32">
      <c r="A528" t="s">
        <v>71</v>
      </c>
      <c r="B528">
        <v>2024</v>
      </c>
      <c r="C528" t="str">
        <f t="shared" si="25"/>
        <v>2024-Q3</v>
      </c>
      <c r="D528" t="s">
        <v>41</v>
      </c>
      <c r="E528" t="str">
        <f t="shared" si="24"/>
        <v>South South</v>
      </c>
      <c r="F528" s="8">
        <v>5</v>
      </c>
      <c r="G528" s="8">
        <v>10</v>
      </c>
      <c r="H528" s="8">
        <v>2</v>
      </c>
      <c r="I528" s="8">
        <v>17</v>
      </c>
      <c r="J528" s="8">
        <v>34</v>
      </c>
      <c r="K528" s="8">
        <v>6</v>
      </c>
      <c r="L528" s="8">
        <v>40</v>
      </c>
      <c r="M528" s="8">
        <v>87</v>
      </c>
      <c r="N528" s="6">
        <f t="shared" si="26"/>
        <v>0.15</v>
      </c>
      <c r="O528" s="11">
        <v>9</v>
      </c>
      <c r="P528" s="11">
        <v>0</v>
      </c>
      <c r="Q528" s="11">
        <v>0</v>
      </c>
      <c r="R528" s="11">
        <v>0</v>
      </c>
      <c r="S528" s="11">
        <v>1</v>
      </c>
      <c r="T528" s="11">
        <v>0</v>
      </c>
      <c r="U528" s="11">
        <v>0</v>
      </c>
      <c r="V528" s="11">
        <v>4</v>
      </c>
      <c r="W528" s="11">
        <v>0</v>
      </c>
      <c r="X528" s="11">
        <v>0</v>
      </c>
      <c r="Y528" s="11">
        <v>1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1</v>
      </c>
      <c r="AF528" s="11">
        <v>1</v>
      </c>
    </row>
    <row r="529" spans="1:32">
      <c r="A529" t="s">
        <v>71</v>
      </c>
      <c r="B529">
        <v>2024</v>
      </c>
      <c r="C529" t="str">
        <f t="shared" si="25"/>
        <v>2024-Q3</v>
      </c>
      <c r="D529" t="s">
        <v>42</v>
      </c>
      <c r="E529" t="str">
        <f t="shared" si="24"/>
        <v>South South</v>
      </c>
      <c r="F529" s="8">
        <v>7</v>
      </c>
      <c r="G529" s="8">
        <v>14</v>
      </c>
      <c r="H529" s="8">
        <v>4</v>
      </c>
      <c r="I529" s="8">
        <v>25</v>
      </c>
      <c r="J529" s="8">
        <v>65</v>
      </c>
      <c r="K529" s="8">
        <v>10</v>
      </c>
      <c r="L529" s="8">
        <v>75</v>
      </c>
      <c r="M529" s="8">
        <v>114</v>
      </c>
      <c r="N529" s="6">
        <f t="shared" si="26"/>
        <v>0.13333333333333333</v>
      </c>
      <c r="O529" s="11">
        <v>11</v>
      </c>
      <c r="P529" s="11">
        <v>0</v>
      </c>
      <c r="Q529" s="11">
        <v>0</v>
      </c>
      <c r="R529" s="11">
        <v>0</v>
      </c>
      <c r="S529" s="11">
        <v>1</v>
      </c>
      <c r="T529" s="11">
        <v>0</v>
      </c>
      <c r="U529" s="11">
        <v>0</v>
      </c>
      <c r="V529" s="11">
        <v>1</v>
      </c>
      <c r="W529" s="11">
        <v>0</v>
      </c>
      <c r="X529" s="11">
        <v>0</v>
      </c>
      <c r="Y529" s="11">
        <v>7</v>
      </c>
      <c r="Z529" s="11">
        <v>0</v>
      </c>
      <c r="AA529" s="11">
        <v>1</v>
      </c>
      <c r="AB529" s="11">
        <v>0</v>
      </c>
      <c r="AC529" s="11">
        <v>0</v>
      </c>
      <c r="AD529" s="11">
        <v>1</v>
      </c>
      <c r="AE529" s="11">
        <v>1</v>
      </c>
      <c r="AF529" s="11">
        <v>8</v>
      </c>
    </row>
    <row r="530" spans="1:32">
      <c r="A530" t="s">
        <v>71</v>
      </c>
      <c r="B530">
        <v>2024</v>
      </c>
      <c r="C530" t="str">
        <f t="shared" si="25"/>
        <v>2024-Q3</v>
      </c>
      <c r="D530" t="s">
        <v>43</v>
      </c>
      <c r="E530" t="str">
        <f t="shared" si="24"/>
        <v>South East</v>
      </c>
      <c r="F530" s="8">
        <v>9</v>
      </c>
      <c r="G530" s="8">
        <v>9</v>
      </c>
      <c r="H530" s="8">
        <v>4</v>
      </c>
      <c r="I530" s="8">
        <v>22</v>
      </c>
      <c r="J530" s="8">
        <v>29</v>
      </c>
      <c r="K530" s="8">
        <v>11</v>
      </c>
      <c r="L530" s="8">
        <v>40</v>
      </c>
      <c r="M530" s="8">
        <v>94</v>
      </c>
      <c r="N530" s="6">
        <f t="shared" si="26"/>
        <v>0.27500000000000002</v>
      </c>
      <c r="O530" s="11">
        <v>11</v>
      </c>
      <c r="P530" s="11">
        <v>0</v>
      </c>
      <c r="Q530" s="11">
        <v>5</v>
      </c>
      <c r="R530" s="11">
        <v>0</v>
      </c>
      <c r="S530" s="11">
        <v>0</v>
      </c>
      <c r="T530" s="11">
        <v>0</v>
      </c>
      <c r="U530" s="11">
        <v>0</v>
      </c>
      <c r="V530" s="11">
        <v>1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4</v>
      </c>
    </row>
    <row r="531" spans="1:32">
      <c r="A531" t="s">
        <v>71</v>
      </c>
      <c r="B531">
        <v>2024</v>
      </c>
      <c r="C531" t="str">
        <f t="shared" si="25"/>
        <v>2024-Q3</v>
      </c>
      <c r="D531" t="s">
        <v>44</v>
      </c>
      <c r="E531" t="str">
        <f t="shared" si="24"/>
        <v>South South</v>
      </c>
      <c r="F531" s="8">
        <v>9</v>
      </c>
      <c r="G531" s="8">
        <v>23</v>
      </c>
      <c r="H531" s="8">
        <v>3</v>
      </c>
      <c r="I531" s="8">
        <v>35</v>
      </c>
      <c r="J531" s="8">
        <v>99</v>
      </c>
      <c r="K531" s="8">
        <v>12</v>
      </c>
      <c r="L531" s="8">
        <v>111</v>
      </c>
      <c r="M531" s="8">
        <v>245</v>
      </c>
      <c r="N531" s="6">
        <f t="shared" si="26"/>
        <v>0.10810810810810811</v>
      </c>
      <c r="O531" s="11">
        <v>12</v>
      </c>
      <c r="P531" s="11">
        <v>0</v>
      </c>
      <c r="Q531" s="11">
        <v>2</v>
      </c>
      <c r="R531" s="11">
        <v>3</v>
      </c>
      <c r="S531" s="11">
        <v>4</v>
      </c>
      <c r="T531" s="11">
        <v>0</v>
      </c>
      <c r="U531" s="11">
        <v>0</v>
      </c>
      <c r="V531" s="11">
        <v>2</v>
      </c>
      <c r="W531" s="11">
        <v>0</v>
      </c>
      <c r="X531" s="11">
        <v>1</v>
      </c>
      <c r="Y531" s="11">
        <v>3</v>
      </c>
      <c r="Z531" s="11">
        <v>3</v>
      </c>
      <c r="AA531" s="11">
        <v>0</v>
      </c>
      <c r="AB531" s="11">
        <v>0</v>
      </c>
      <c r="AC531" s="11">
        <v>0</v>
      </c>
      <c r="AD531" s="11">
        <v>0</v>
      </c>
      <c r="AE531" s="11">
        <v>1</v>
      </c>
      <c r="AF531" s="11">
        <v>22</v>
      </c>
    </row>
    <row r="532" spans="1:32">
      <c r="A532" t="s">
        <v>71</v>
      </c>
      <c r="B532">
        <v>2024</v>
      </c>
      <c r="C532" t="str">
        <f t="shared" si="25"/>
        <v>2024-Q3</v>
      </c>
      <c r="D532" t="s">
        <v>45</v>
      </c>
      <c r="E532" t="str">
        <f t="shared" si="24"/>
        <v>South West</v>
      </c>
      <c r="F532" s="8">
        <v>5</v>
      </c>
      <c r="G532" s="8">
        <v>15</v>
      </c>
      <c r="H532" s="8">
        <v>1</v>
      </c>
      <c r="I532" s="8">
        <v>21</v>
      </c>
      <c r="J532" s="8">
        <v>53</v>
      </c>
      <c r="K532" s="8">
        <v>7</v>
      </c>
      <c r="L532" s="8">
        <v>60</v>
      </c>
      <c r="M532" s="8">
        <v>125</v>
      </c>
      <c r="N532" s="6">
        <f t="shared" si="26"/>
        <v>0.11666666666666667</v>
      </c>
      <c r="O532" s="11">
        <v>13</v>
      </c>
      <c r="P532" s="11">
        <v>0</v>
      </c>
      <c r="Q532" s="11">
        <v>1</v>
      </c>
      <c r="R532" s="11">
        <v>1</v>
      </c>
      <c r="S532" s="11">
        <v>0</v>
      </c>
      <c r="T532" s="11">
        <v>1</v>
      </c>
      <c r="U532" s="11">
        <v>0</v>
      </c>
      <c r="V532" s="11">
        <v>0</v>
      </c>
      <c r="W532" s="11">
        <v>1</v>
      </c>
      <c r="X532" s="11">
        <v>1</v>
      </c>
      <c r="Y532" s="11">
        <v>1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12</v>
      </c>
    </row>
    <row r="533" spans="1:32">
      <c r="A533" t="s">
        <v>71</v>
      </c>
      <c r="B533">
        <v>2024</v>
      </c>
      <c r="C533" t="str">
        <f t="shared" si="25"/>
        <v>2024-Q3</v>
      </c>
      <c r="D533" t="s">
        <v>46</v>
      </c>
      <c r="E533" t="str">
        <f t="shared" si="24"/>
        <v>South East</v>
      </c>
      <c r="F533" s="8">
        <v>8</v>
      </c>
      <c r="G533" s="8">
        <v>17</v>
      </c>
      <c r="H533" s="8">
        <v>3</v>
      </c>
      <c r="I533" s="8">
        <v>28</v>
      </c>
      <c r="J533" s="8">
        <v>66</v>
      </c>
      <c r="K533" s="8">
        <v>14</v>
      </c>
      <c r="L533" s="8">
        <v>80</v>
      </c>
      <c r="M533" s="8">
        <v>272</v>
      </c>
      <c r="N533" s="6">
        <f t="shared" si="26"/>
        <v>0.17499999999999999</v>
      </c>
      <c r="O533" s="11">
        <v>17</v>
      </c>
      <c r="P533" s="11">
        <v>0</v>
      </c>
      <c r="Q533" s="11">
        <v>1</v>
      </c>
      <c r="R533" s="11">
        <v>1</v>
      </c>
      <c r="S533" s="11">
        <v>6</v>
      </c>
      <c r="T533" s="11">
        <v>0</v>
      </c>
      <c r="U533" s="11">
        <v>0</v>
      </c>
      <c r="V533" s="11">
        <v>0</v>
      </c>
      <c r="W533" s="11">
        <v>2</v>
      </c>
      <c r="X533" s="11">
        <v>0</v>
      </c>
      <c r="Y533" s="11">
        <v>2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20</v>
      </c>
    </row>
    <row r="534" spans="1:32">
      <c r="A534" t="s">
        <v>71</v>
      </c>
      <c r="B534">
        <v>2024</v>
      </c>
      <c r="C534" t="str">
        <f t="shared" si="25"/>
        <v>2024-Q3</v>
      </c>
      <c r="D534" t="s">
        <v>47</v>
      </c>
      <c r="E534" t="str">
        <f t="shared" si="24"/>
        <v>North Central</v>
      </c>
      <c r="F534" s="8">
        <v>37</v>
      </c>
      <c r="G534" s="8">
        <v>95</v>
      </c>
      <c r="H534" s="8">
        <v>27</v>
      </c>
      <c r="I534" s="8">
        <v>159</v>
      </c>
      <c r="J534" s="8">
        <v>323</v>
      </c>
      <c r="K534" s="8">
        <v>56</v>
      </c>
      <c r="L534" s="8">
        <v>379</v>
      </c>
      <c r="M534" s="8">
        <v>881</v>
      </c>
      <c r="N534" s="6">
        <f t="shared" si="26"/>
        <v>0.14775725593667546</v>
      </c>
      <c r="O534" s="11">
        <v>115</v>
      </c>
      <c r="P534" s="11">
        <v>2</v>
      </c>
      <c r="Q534" s="11">
        <v>10</v>
      </c>
      <c r="R534" s="11">
        <v>12</v>
      </c>
      <c r="S534" s="11">
        <v>4</v>
      </c>
      <c r="T534" s="11">
        <v>0</v>
      </c>
      <c r="U534" s="11">
        <v>2</v>
      </c>
      <c r="V534" s="11">
        <v>4</v>
      </c>
      <c r="W534" s="11">
        <v>5</v>
      </c>
      <c r="X534" s="11">
        <v>0</v>
      </c>
      <c r="Y534" s="11">
        <v>13</v>
      </c>
      <c r="Z534" s="11">
        <v>2</v>
      </c>
      <c r="AA534" s="11">
        <v>0</v>
      </c>
      <c r="AB534" s="11">
        <v>0</v>
      </c>
      <c r="AC534" s="11">
        <v>0</v>
      </c>
      <c r="AD534" s="11">
        <v>0</v>
      </c>
      <c r="AE534" s="11">
        <v>5</v>
      </c>
      <c r="AF534" s="11">
        <v>87</v>
      </c>
    </row>
    <row r="535" spans="1:32">
      <c r="A535" t="s">
        <v>71</v>
      </c>
      <c r="B535">
        <v>2024</v>
      </c>
      <c r="C535" t="str">
        <f t="shared" si="25"/>
        <v>2024-Q3</v>
      </c>
      <c r="D535" t="s">
        <v>48</v>
      </c>
      <c r="E535" t="str">
        <f t="shared" si="24"/>
        <v>North East</v>
      </c>
      <c r="F535" s="8">
        <v>8</v>
      </c>
      <c r="G535" s="8">
        <v>49</v>
      </c>
      <c r="H535" s="8">
        <v>3</v>
      </c>
      <c r="I535" s="8">
        <v>60</v>
      </c>
      <c r="J535" s="8">
        <v>226</v>
      </c>
      <c r="K535" s="8">
        <v>13</v>
      </c>
      <c r="L535" s="8">
        <v>239</v>
      </c>
      <c r="M535" s="8">
        <v>395</v>
      </c>
      <c r="N535" s="6">
        <f t="shared" si="26"/>
        <v>5.4393305439330547E-2</v>
      </c>
      <c r="O535" s="11">
        <v>33</v>
      </c>
      <c r="P535" s="11">
        <v>1</v>
      </c>
      <c r="Q535" s="11">
        <v>5</v>
      </c>
      <c r="R535" s="11">
        <v>4</v>
      </c>
      <c r="S535" s="11">
        <v>5</v>
      </c>
      <c r="T535" s="11">
        <v>0</v>
      </c>
      <c r="U535" s="11">
        <v>0</v>
      </c>
      <c r="V535" s="11">
        <v>0</v>
      </c>
      <c r="W535" s="11">
        <v>2</v>
      </c>
      <c r="X535" s="11">
        <v>2</v>
      </c>
      <c r="Y535" s="11">
        <v>0</v>
      </c>
      <c r="Z535" s="11">
        <v>2</v>
      </c>
      <c r="AA535" s="11">
        <v>0</v>
      </c>
      <c r="AB535" s="11">
        <v>0</v>
      </c>
      <c r="AC535" s="11">
        <v>0</v>
      </c>
      <c r="AD535" s="11">
        <v>0</v>
      </c>
      <c r="AE535" s="11">
        <v>1</v>
      </c>
      <c r="AF535" s="11">
        <v>11</v>
      </c>
    </row>
    <row r="536" spans="1:32">
      <c r="A536" t="s">
        <v>71</v>
      </c>
      <c r="B536">
        <v>2024</v>
      </c>
      <c r="C536" t="str">
        <f t="shared" si="25"/>
        <v>2024-Q3</v>
      </c>
      <c r="D536" t="s">
        <v>49</v>
      </c>
      <c r="E536" t="str">
        <f t="shared" si="24"/>
        <v>South East</v>
      </c>
      <c r="F536" s="8">
        <v>4</v>
      </c>
      <c r="G536" s="8">
        <v>9</v>
      </c>
      <c r="H536" s="8">
        <v>1</v>
      </c>
      <c r="I536" s="8">
        <v>14</v>
      </c>
      <c r="J536" s="8">
        <v>39</v>
      </c>
      <c r="K536" s="8">
        <v>1</v>
      </c>
      <c r="L536" s="8">
        <v>40</v>
      </c>
      <c r="M536" s="8">
        <v>93</v>
      </c>
      <c r="N536" s="6">
        <f t="shared" si="26"/>
        <v>2.5000000000000001E-2</v>
      </c>
      <c r="O536" s="11">
        <v>4</v>
      </c>
      <c r="P536" s="11">
        <v>0</v>
      </c>
      <c r="Q536" s="11">
        <v>0</v>
      </c>
      <c r="R536" s="11">
        <v>0</v>
      </c>
      <c r="S536" s="11">
        <v>7</v>
      </c>
      <c r="T536" s="11">
        <v>0</v>
      </c>
      <c r="U536" s="11">
        <v>0</v>
      </c>
      <c r="V536" s="11">
        <v>0</v>
      </c>
      <c r="W536" s="11">
        <v>2</v>
      </c>
      <c r="X536" s="11">
        <v>0</v>
      </c>
      <c r="Y536" s="11">
        <v>0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  <c r="AE536" s="11">
        <v>0</v>
      </c>
      <c r="AF536" s="11">
        <v>2</v>
      </c>
    </row>
    <row r="537" spans="1:32">
      <c r="A537" t="s">
        <v>71</v>
      </c>
      <c r="B537">
        <v>2024</v>
      </c>
      <c r="C537" t="str">
        <f t="shared" si="25"/>
        <v>2024-Q3</v>
      </c>
      <c r="D537" t="s">
        <v>50</v>
      </c>
      <c r="E537" t="str">
        <f t="shared" si="24"/>
        <v>North West</v>
      </c>
      <c r="F537" s="8">
        <v>28</v>
      </c>
      <c r="G537" s="8">
        <v>89</v>
      </c>
      <c r="H537" s="8">
        <v>0</v>
      </c>
      <c r="I537" s="8">
        <v>117</v>
      </c>
      <c r="J537" s="8">
        <v>539</v>
      </c>
      <c r="K537" s="8">
        <v>73</v>
      </c>
      <c r="L537" s="8">
        <v>612</v>
      </c>
      <c r="M537" s="8">
        <v>961</v>
      </c>
      <c r="N537" s="6">
        <f t="shared" si="26"/>
        <v>0.11928104575163399</v>
      </c>
      <c r="O537" s="11">
        <v>72</v>
      </c>
      <c r="P537" s="11">
        <v>2</v>
      </c>
      <c r="Q537" s="11">
        <v>15</v>
      </c>
      <c r="R537" s="11">
        <v>1</v>
      </c>
      <c r="S537" s="11">
        <v>3</v>
      </c>
      <c r="T537" s="11">
        <v>10</v>
      </c>
      <c r="U537" s="11">
        <v>0</v>
      </c>
      <c r="V537" s="11">
        <v>2</v>
      </c>
      <c r="W537" s="11">
        <v>14</v>
      </c>
      <c r="X537" s="11">
        <v>0</v>
      </c>
      <c r="Y537" s="11">
        <v>3</v>
      </c>
      <c r="Z537" s="11">
        <v>3</v>
      </c>
      <c r="AA537" s="11">
        <v>1</v>
      </c>
      <c r="AB537" s="11">
        <v>0</v>
      </c>
      <c r="AC537" s="11">
        <v>0</v>
      </c>
      <c r="AD537" s="11">
        <v>0</v>
      </c>
      <c r="AE537" s="11">
        <v>3</v>
      </c>
      <c r="AF537" s="11">
        <v>64</v>
      </c>
    </row>
    <row r="538" spans="1:32">
      <c r="A538" t="s">
        <v>71</v>
      </c>
      <c r="B538">
        <v>2024</v>
      </c>
      <c r="C538" t="str">
        <f t="shared" si="25"/>
        <v>2024-Q3</v>
      </c>
      <c r="D538" t="s">
        <v>51</v>
      </c>
      <c r="E538" t="str">
        <f t="shared" si="24"/>
        <v>North West</v>
      </c>
      <c r="F538" s="8">
        <v>36</v>
      </c>
      <c r="G538" s="8">
        <v>82</v>
      </c>
      <c r="H538" s="8">
        <v>6</v>
      </c>
      <c r="I538" s="8">
        <v>124</v>
      </c>
      <c r="J538" s="8">
        <v>504</v>
      </c>
      <c r="K538" s="8">
        <v>106</v>
      </c>
      <c r="L538" s="8">
        <v>610</v>
      </c>
      <c r="M538" s="8">
        <v>1200</v>
      </c>
      <c r="N538" s="6">
        <f t="shared" si="26"/>
        <v>0.17377049180327869</v>
      </c>
      <c r="O538" s="11">
        <v>64</v>
      </c>
      <c r="P538" s="11">
        <v>0</v>
      </c>
      <c r="Q538" s="11">
        <v>23</v>
      </c>
      <c r="R538" s="11">
        <v>2</v>
      </c>
      <c r="S538" s="11">
        <v>0</v>
      </c>
      <c r="T538" s="11">
        <v>1</v>
      </c>
      <c r="U538" s="11">
        <v>1</v>
      </c>
      <c r="V538" s="11">
        <v>1</v>
      </c>
      <c r="W538" s="11">
        <v>0</v>
      </c>
      <c r="X538" s="11">
        <v>2</v>
      </c>
      <c r="Y538" s="11">
        <v>16</v>
      </c>
      <c r="Z538" s="11">
        <v>1</v>
      </c>
      <c r="AA538" s="11">
        <v>0</v>
      </c>
      <c r="AB538" s="11">
        <v>0</v>
      </c>
      <c r="AC538" s="11">
        <v>0</v>
      </c>
      <c r="AD538" s="11">
        <v>9</v>
      </c>
      <c r="AE538" s="11">
        <v>0</v>
      </c>
      <c r="AF538" s="11">
        <v>11</v>
      </c>
    </row>
    <row r="539" spans="1:32">
      <c r="A539" t="s">
        <v>71</v>
      </c>
      <c r="B539">
        <v>2024</v>
      </c>
      <c r="C539" t="str">
        <f t="shared" si="25"/>
        <v>2024-Q3</v>
      </c>
      <c r="D539" t="s">
        <v>52</v>
      </c>
      <c r="E539" t="str">
        <f t="shared" si="24"/>
        <v>North West</v>
      </c>
      <c r="F539" s="8">
        <v>14</v>
      </c>
      <c r="G539" s="8">
        <v>20</v>
      </c>
      <c r="H539" s="8">
        <v>1</v>
      </c>
      <c r="I539" s="8">
        <v>35</v>
      </c>
      <c r="J539" s="8">
        <v>177</v>
      </c>
      <c r="K539" s="8">
        <v>59</v>
      </c>
      <c r="L539" s="8">
        <v>236</v>
      </c>
      <c r="M539" s="8">
        <v>322</v>
      </c>
      <c r="N539" s="6">
        <f t="shared" si="26"/>
        <v>0.25</v>
      </c>
      <c r="O539" s="11">
        <v>16</v>
      </c>
      <c r="P539" s="11">
        <v>1</v>
      </c>
      <c r="Q539" s="11">
        <v>0</v>
      </c>
      <c r="R539" s="11">
        <v>0</v>
      </c>
      <c r="S539" s="11">
        <v>3</v>
      </c>
      <c r="T539" s="11">
        <v>1</v>
      </c>
      <c r="U539" s="11">
        <v>0</v>
      </c>
      <c r="V539" s="11">
        <v>2</v>
      </c>
      <c r="W539" s="11">
        <v>0</v>
      </c>
      <c r="X539" s="11">
        <v>0</v>
      </c>
      <c r="Y539" s="11">
        <v>4</v>
      </c>
      <c r="Z539" s="11">
        <v>1</v>
      </c>
      <c r="AA539" s="11">
        <v>0</v>
      </c>
      <c r="AB539" s="11">
        <v>0</v>
      </c>
      <c r="AC539" s="11">
        <v>0</v>
      </c>
      <c r="AD539" s="11">
        <v>0</v>
      </c>
      <c r="AE539" s="11">
        <v>2</v>
      </c>
      <c r="AF539" s="11">
        <v>18</v>
      </c>
    </row>
    <row r="540" spans="1:32">
      <c r="A540" t="s">
        <v>71</v>
      </c>
      <c r="B540">
        <v>2024</v>
      </c>
      <c r="C540" t="str">
        <f t="shared" si="25"/>
        <v>2024-Q3</v>
      </c>
      <c r="D540" t="s">
        <v>53</v>
      </c>
      <c r="E540" t="str">
        <f t="shared" si="24"/>
        <v>North West</v>
      </c>
      <c r="F540" s="8">
        <v>8</v>
      </c>
      <c r="G540" s="8">
        <v>9</v>
      </c>
      <c r="H540" s="8">
        <v>0</v>
      </c>
      <c r="I540" s="8">
        <v>17</v>
      </c>
      <c r="J540" s="8">
        <v>90</v>
      </c>
      <c r="K540" s="8">
        <v>26</v>
      </c>
      <c r="L540" s="8">
        <v>116</v>
      </c>
      <c r="M540" s="8">
        <v>123</v>
      </c>
      <c r="N540" s="6">
        <f t="shared" si="26"/>
        <v>0.22413793103448276</v>
      </c>
      <c r="O540" s="11">
        <v>13</v>
      </c>
      <c r="P540" s="11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1</v>
      </c>
      <c r="W540" s="11">
        <v>0</v>
      </c>
      <c r="X540" s="11">
        <v>0</v>
      </c>
      <c r="Y540" s="11">
        <v>0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  <c r="AE540" s="11">
        <v>0</v>
      </c>
      <c r="AF540" s="11">
        <v>8</v>
      </c>
    </row>
    <row r="541" spans="1:32">
      <c r="A541" t="s">
        <v>71</v>
      </c>
      <c r="B541">
        <v>2024</v>
      </c>
      <c r="C541" t="str">
        <f t="shared" si="25"/>
        <v>2024-Q3</v>
      </c>
      <c r="D541" t="s">
        <v>54</v>
      </c>
      <c r="E541" t="str">
        <f t="shared" si="24"/>
        <v>North West</v>
      </c>
      <c r="F541" s="8">
        <v>9</v>
      </c>
      <c r="G541" s="8">
        <v>20</v>
      </c>
      <c r="H541" s="8">
        <v>1</v>
      </c>
      <c r="I541" s="8">
        <v>30</v>
      </c>
      <c r="J541" s="8">
        <v>99</v>
      </c>
      <c r="K541" s="8">
        <v>32</v>
      </c>
      <c r="L541" s="8">
        <v>131</v>
      </c>
      <c r="M541" s="8">
        <v>274</v>
      </c>
      <c r="N541" s="6">
        <f t="shared" si="26"/>
        <v>0.24427480916030533</v>
      </c>
      <c r="O541" s="11">
        <v>18</v>
      </c>
      <c r="P541" s="11">
        <v>0</v>
      </c>
      <c r="Q541" s="11">
        <v>1</v>
      </c>
      <c r="R541" s="11">
        <v>1</v>
      </c>
      <c r="S541" s="11">
        <v>0</v>
      </c>
      <c r="T541" s="11">
        <v>0</v>
      </c>
      <c r="U541" s="11">
        <v>0</v>
      </c>
      <c r="V541" s="11">
        <v>0</v>
      </c>
      <c r="W541" s="11">
        <v>4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10</v>
      </c>
    </row>
    <row r="542" spans="1:32">
      <c r="A542" t="s">
        <v>71</v>
      </c>
      <c r="B542">
        <v>2024</v>
      </c>
      <c r="C542" t="str">
        <f t="shared" si="25"/>
        <v>2024-Q3</v>
      </c>
      <c r="D542" t="s">
        <v>55</v>
      </c>
      <c r="E542" t="str">
        <f t="shared" si="24"/>
        <v>North Central</v>
      </c>
      <c r="F542" s="8">
        <v>21</v>
      </c>
      <c r="G542" s="8">
        <v>44</v>
      </c>
      <c r="H542" s="8">
        <v>11</v>
      </c>
      <c r="I542" s="8">
        <v>76</v>
      </c>
      <c r="J542" s="8">
        <v>253</v>
      </c>
      <c r="K542" s="8">
        <v>27</v>
      </c>
      <c r="L542" s="8">
        <v>280</v>
      </c>
      <c r="M542" s="8">
        <v>685</v>
      </c>
      <c r="N542" s="6">
        <f t="shared" si="26"/>
        <v>9.6428571428571433E-2</v>
      </c>
      <c r="O542" s="11">
        <v>64</v>
      </c>
      <c r="P542" s="11">
        <v>0</v>
      </c>
      <c r="Q542" s="11">
        <v>12</v>
      </c>
      <c r="R542" s="11">
        <v>2</v>
      </c>
      <c r="S542" s="11">
        <v>8</v>
      </c>
      <c r="T542" s="11">
        <v>4</v>
      </c>
      <c r="U542" s="11">
        <v>0</v>
      </c>
      <c r="V542" s="11">
        <v>0</v>
      </c>
      <c r="W542" s="11">
        <v>3</v>
      </c>
      <c r="X542" s="11">
        <v>1</v>
      </c>
      <c r="Y542" s="11">
        <v>6</v>
      </c>
      <c r="Z542" s="11">
        <v>0</v>
      </c>
      <c r="AA542" s="11">
        <v>0</v>
      </c>
      <c r="AB542" s="11">
        <v>0</v>
      </c>
      <c r="AC542" s="11">
        <v>0</v>
      </c>
      <c r="AD542" s="11">
        <v>2</v>
      </c>
      <c r="AE542" s="11">
        <v>0</v>
      </c>
      <c r="AF542" s="11">
        <v>5</v>
      </c>
    </row>
    <row r="543" spans="1:32">
      <c r="A543" t="s">
        <v>71</v>
      </c>
      <c r="B543">
        <v>2024</v>
      </c>
      <c r="C543" t="str">
        <f t="shared" si="25"/>
        <v>2024-Q3</v>
      </c>
      <c r="D543" t="s">
        <v>56</v>
      </c>
      <c r="E543" t="str">
        <f t="shared" si="24"/>
        <v>North Central</v>
      </c>
      <c r="F543" s="8">
        <v>14</v>
      </c>
      <c r="G543" s="8">
        <v>37</v>
      </c>
      <c r="H543" s="8">
        <v>2</v>
      </c>
      <c r="I543" s="8">
        <v>53</v>
      </c>
      <c r="J543" s="8">
        <v>198</v>
      </c>
      <c r="K543" s="8">
        <v>32</v>
      </c>
      <c r="L543" s="8">
        <v>230</v>
      </c>
      <c r="M543" s="8">
        <v>395</v>
      </c>
      <c r="N543" s="6">
        <f t="shared" si="26"/>
        <v>0.1391304347826087</v>
      </c>
      <c r="O543" s="11">
        <v>34</v>
      </c>
      <c r="P543" s="11">
        <v>0</v>
      </c>
      <c r="Q543" s="11">
        <v>5</v>
      </c>
      <c r="R543" s="11">
        <v>7</v>
      </c>
      <c r="S543" s="11">
        <v>0</v>
      </c>
      <c r="T543" s="11">
        <v>0</v>
      </c>
      <c r="U543" s="11">
        <v>0</v>
      </c>
      <c r="V543" s="11">
        <v>0</v>
      </c>
      <c r="W543" s="11">
        <v>2</v>
      </c>
      <c r="X543" s="11">
        <v>0</v>
      </c>
      <c r="Y543" s="11">
        <v>0</v>
      </c>
      <c r="Z543" s="11">
        <v>0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v>27</v>
      </c>
    </row>
    <row r="544" spans="1:32">
      <c r="A544" t="s">
        <v>71</v>
      </c>
      <c r="B544">
        <v>2024</v>
      </c>
      <c r="C544" t="str">
        <f t="shared" si="25"/>
        <v>2024-Q3</v>
      </c>
      <c r="D544" t="s">
        <v>57</v>
      </c>
      <c r="E544" t="str">
        <f t="shared" si="24"/>
        <v>South West</v>
      </c>
      <c r="F544" s="8">
        <v>21</v>
      </c>
      <c r="G544" s="8">
        <v>54</v>
      </c>
      <c r="H544" s="8">
        <v>32</v>
      </c>
      <c r="I544" s="8">
        <v>107</v>
      </c>
      <c r="J544" s="8">
        <v>161</v>
      </c>
      <c r="K544" s="8">
        <v>24</v>
      </c>
      <c r="L544" s="8">
        <v>185</v>
      </c>
      <c r="M544" s="8">
        <v>513</v>
      </c>
      <c r="N544" s="6">
        <f t="shared" si="26"/>
        <v>0.12972972972972974</v>
      </c>
      <c r="O544" s="11">
        <v>55</v>
      </c>
      <c r="P544" s="11">
        <v>0</v>
      </c>
      <c r="Q544" s="11">
        <v>0</v>
      </c>
      <c r="R544" s="11">
        <v>6</v>
      </c>
      <c r="S544" s="11">
        <v>7</v>
      </c>
      <c r="T544" s="11">
        <v>0</v>
      </c>
      <c r="U544" s="11">
        <v>0</v>
      </c>
      <c r="V544" s="11">
        <v>0</v>
      </c>
      <c r="W544" s="11">
        <v>2</v>
      </c>
      <c r="X544" s="11">
        <v>0</v>
      </c>
      <c r="Y544" s="11">
        <v>2</v>
      </c>
      <c r="Z544" s="11">
        <v>3</v>
      </c>
      <c r="AA544" s="11">
        <v>0</v>
      </c>
      <c r="AB544" s="11">
        <v>3</v>
      </c>
      <c r="AC544" s="11">
        <v>0</v>
      </c>
      <c r="AD544" s="11">
        <v>1</v>
      </c>
      <c r="AE544" s="11">
        <v>0</v>
      </c>
      <c r="AF544" s="11">
        <v>28</v>
      </c>
    </row>
    <row r="545" spans="1:32">
      <c r="A545" t="s">
        <v>71</v>
      </c>
      <c r="B545">
        <v>2024</v>
      </c>
      <c r="C545" t="str">
        <f t="shared" si="25"/>
        <v>2024-Q3</v>
      </c>
      <c r="D545" t="s">
        <v>58</v>
      </c>
      <c r="E545" t="str">
        <f t="shared" si="24"/>
        <v>North Central</v>
      </c>
      <c r="F545" s="8">
        <v>10</v>
      </c>
      <c r="G545" s="8">
        <v>88</v>
      </c>
      <c r="H545" s="8">
        <v>3</v>
      </c>
      <c r="I545" s="8">
        <v>101</v>
      </c>
      <c r="J545" s="8">
        <v>303</v>
      </c>
      <c r="K545" s="8">
        <v>17</v>
      </c>
      <c r="L545" s="8">
        <v>320</v>
      </c>
      <c r="M545" s="8">
        <v>549</v>
      </c>
      <c r="N545" s="6">
        <f t="shared" si="26"/>
        <v>5.3124999999999999E-2</v>
      </c>
      <c r="O545" s="11">
        <v>60</v>
      </c>
      <c r="P545" s="11">
        <v>1</v>
      </c>
      <c r="Q545" s="11">
        <v>4</v>
      </c>
      <c r="R545" s="11">
        <v>2</v>
      </c>
      <c r="S545" s="11">
        <v>0</v>
      </c>
      <c r="T545" s="11">
        <v>1</v>
      </c>
      <c r="U545" s="11">
        <v>0</v>
      </c>
      <c r="V545" s="11">
        <v>0</v>
      </c>
      <c r="W545" s="11">
        <v>17</v>
      </c>
      <c r="X545" s="11">
        <v>0</v>
      </c>
      <c r="Y545" s="11">
        <v>8</v>
      </c>
      <c r="Z545" s="11">
        <v>3</v>
      </c>
      <c r="AA545" s="11">
        <v>0</v>
      </c>
      <c r="AB545" s="11">
        <v>1</v>
      </c>
      <c r="AC545" s="11">
        <v>0</v>
      </c>
      <c r="AD545" s="11">
        <v>4</v>
      </c>
      <c r="AE545" s="11">
        <v>7</v>
      </c>
      <c r="AF545" s="11">
        <v>31</v>
      </c>
    </row>
    <row r="546" spans="1:32">
      <c r="A546" t="s">
        <v>71</v>
      </c>
      <c r="B546">
        <v>2024</v>
      </c>
      <c r="C546" t="str">
        <f t="shared" si="25"/>
        <v>2024-Q3</v>
      </c>
      <c r="D546" t="s">
        <v>59</v>
      </c>
      <c r="E546" t="str">
        <f t="shared" si="24"/>
        <v>North Central</v>
      </c>
      <c r="F546" s="8">
        <v>33</v>
      </c>
      <c r="G546" s="8">
        <v>50</v>
      </c>
      <c r="H546" s="8">
        <v>1</v>
      </c>
      <c r="I546" s="8">
        <v>84</v>
      </c>
      <c r="J546" s="8">
        <v>369</v>
      </c>
      <c r="K546" s="8">
        <v>113</v>
      </c>
      <c r="L546" s="8">
        <v>482</v>
      </c>
      <c r="M546" s="8">
        <v>788</v>
      </c>
      <c r="N546" s="6">
        <f t="shared" si="26"/>
        <v>0.23443983402489627</v>
      </c>
      <c r="O546" s="11">
        <v>49</v>
      </c>
      <c r="P546" s="11">
        <v>0</v>
      </c>
      <c r="Q546" s="11">
        <v>5</v>
      </c>
      <c r="R546" s="11">
        <v>0</v>
      </c>
      <c r="S546" s="11">
        <v>4</v>
      </c>
      <c r="T546" s="11">
        <v>1</v>
      </c>
      <c r="U546" s="11">
        <v>1</v>
      </c>
      <c r="V546" s="11">
        <v>5</v>
      </c>
      <c r="W546" s="11">
        <v>6</v>
      </c>
      <c r="X546" s="11">
        <v>0</v>
      </c>
      <c r="Y546" s="11">
        <v>2</v>
      </c>
      <c r="Z546" s="11">
        <v>1</v>
      </c>
      <c r="AA546" s="11">
        <v>0</v>
      </c>
      <c r="AB546" s="11">
        <v>0</v>
      </c>
      <c r="AC546" s="11">
        <v>0</v>
      </c>
      <c r="AD546" s="11">
        <v>5</v>
      </c>
      <c r="AE546" s="11">
        <v>1</v>
      </c>
      <c r="AF546" s="11">
        <v>36</v>
      </c>
    </row>
    <row r="547" spans="1:32">
      <c r="A547" t="s">
        <v>71</v>
      </c>
      <c r="B547">
        <v>2024</v>
      </c>
      <c r="C547" t="str">
        <f t="shared" si="25"/>
        <v>2024-Q3</v>
      </c>
      <c r="D547" t="s">
        <v>60</v>
      </c>
      <c r="E547" t="str">
        <f t="shared" si="24"/>
        <v>South West</v>
      </c>
      <c r="F547" s="8">
        <v>47</v>
      </c>
      <c r="G547" s="8">
        <v>114</v>
      </c>
      <c r="H547" s="8">
        <v>29</v>
      </c>
      <c r="I547" s="8">
        <v>190</v>
      </c>
      <c r="J547" s="8">
        <v>477</v>
      </c>
      <c r="K547" s="8">
        <v>91</v>
      </c>
      <c r="L547" s="8">
        <v>568</v>
      </c>
      <c r="M547" s="8">
        <v>1506</v>
      </c>
      <c r="N547" s="6">
        <f t="shared" si="26"/>
        <v>0.16021126760563381</v>
      </c>
      <c r="O547" s="11">
        <v>133</v>
      </c>
      <c r="P547" s="11">
        <v>0</v>
      </c>
      <c r="Q547" s="11">
        <v>25</v>
      </c>
      <c r="R547" s="11">
        <v>10</v>
      </c>
      <c r="S547" s="11">
        <v>6</v>
      </c>
      <c r="T547" s="11">
        <v>6</v>
      </c>
      <c r="U547" s="11">
        <v>0</v>
      </c>
      <c r="V547" s="11">
        <v>1</v>
      </c>
      <c r="W547" s="11">
        <v>9</v>
      </c>
      <c r="X547" s="11">
        <v>0</v>
      </c>
      <c r="Y547" s="11">
        <v>10</v>
      </c>
      <c r="Z547" s="11">
        <v>1</v>
      </c>
      <c r="AA547" s="11">
        <v>1</v>
      </c>
      <c r="AB547" s="11">
        <v>1</v>
      </c>
      <c r="AC547" s="11">
        <v>0</v>
      </c>
      <c r="AD547" s="11">
        <v>2</v>
      </c>
      <c r="AE547" s="11">
        <v>2</v>
      </c>
      <c r="AF547" s="11">
        <v>137</v>
      </c>
    </row>
    <row r="548" spans="1:32">
      <c r="A548" t="s">
        <v>71</v>
      </c>
      <c r="B548">
        <v>2024</v>
      </c>
      <c r="C548" t="str">
        <f t="shared" si="25"/>
        <v>2024-Q3</v>
      </c>
      <c r="D548" t="s">
        <v>61</v>
      </c>
      <c r="E548" t="str">
        <f t="shared" si="24"/>
        <v>South West</v>
      </c>
      <c r="F548" s="8">
        <v>19</v>
      </c>
      <c r="G548" s="8">
        <v>38</v>
      </c>
      <c r="H548" s="8">
        <v>7</v>
      </c>
      <c r="I548" s="8">
        <v>64</v>
      </c>
      <c r="J548" s="8">
        <v>122</v>
      </c>
      <c r="K548" s="8">
        <v>41</v>
      </c>
      <c r="L548" s="8">
        <v>163</v>
      </c>
      <c r="M548" s="8">
        <v>324</v>
      </c>
      <c r="N548" s="6">
        <f t="shared" si="26"/>
        <v>0.25153374233128833</v>
      </c>
      <c r="O548" s="11">
        <v>34</v>
      </c>
      <c r="P548" s="11">
        <v>1</v>
      </c>
      <c r="Q548" s="11">
        <v>3</v>
      </c>
      <c r="R548" s="11">
        <v>3</v>
      </c>
      <c r="S548" s="11">
        <v>1</v>
      </c>
      <c r="T548" s="11">
        <v>1</v>
      </c>
      <c r="U548" s="11">
        <v>0</v>
      </c>
      <c r="V548" s="11">
        <v>0</v>
      </c>
      <c r="W548" s="11">
        <v>8</v>
      </c>
      <c r="X548" s="11">
        <v>0</v>
      </c>
      <c r="Y548" s="11">
        <v>2</v>
      </c>
      <c r="Z548" s="11">
        <v>1</v>
      </c>
      <c r="AA548" s="11">
        <v>1</v>
      </c>
      <c r="AB548" s="11">
        <v>0</v>
      </c>
      <c r="AC548" s="11">
        <v>0</v>
      </c>
      <c r="AD548" s="11">
        <v>0</v>
      </c>
      <c r="AE548" s="11">
        <v>2</v>
      </c>
      <c r="AF548" s="11">
        <v>35</v>
      </c>
    </row>
    <row r="549" spans="1:32">
      <c r="A549" t="s">
        <v>71</v>
      </c>
      <c r="B549">
        <v>2024</v>
      </c>
      <c r="C549" t="str">
        <f t="shared" si="25"/>
        <v>2024-Q3</v>
      </c>
      <c r="D549" t="s">
        <v>62</v>
      </c>
      <c r="E549" t="str">
        <f t="shared" si="24"/>
        <v>South West</v>
      </c>
      <c r="F549" s="8">
        <v>22</v>
      </c>
      <c r="G549" s="8">
        <v>41</v>
      </c>
      <c r="H549" s="8">
        <v>4</v>
      </c>
      <c r="I549" s="8">
        <v>67</v>
      </c>
      <c r="J549" s="8">
        <v>263</v>
      </c>
      <c r="K549" s="8">
        <v>44</v>
      </c>
      <c r="L549" s="8">
        <v>307</v>
      </c>
      <c r="M549" s="8">
        <v>626</v>
      </c>
      <c r="N549" s="6">
        <f t="shared" si="26"/>
        <v>0.14332247557003258</v>
      </c>
      <c r="O549" s="11">
        <v>49</v>
      </c>
      <c r="P549" s="11">
        <v>0</v>
      </c>
      <c r="Q549" s="11">
        <v>3</v>
      </c>
      <c r="R549" s="11">
        <v>7</v>
      </c>
      <c r="S549" s="11">
        <v>2</v>
      </c>
      <c r="T549" s="11">
        <v>0</v>
      </c>
      <c r="U549" s="11">
        <v>0</v>
      </c>
      <c r="V549" s="11">
        <v>0</v>
      </c>
      <c r="W549" s="11">
        <v>2</v>
      </c>
      <c r="X549" s="11">
        <v>0</v>
      </c>
      <c r="Y549" s="11">
        <v>11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45</v>
      </c>
    </row>
    <row r="550" spans="1:32">
      <c r="A550" t="s">
        <v>71</v>
      </c>
      <c r="B550">
        <v>2024</v>
      </c>
      <c r="C550" t="str">
        <f t="shared" si="25"/>
        <v>2024-Q3</v>
      </c>
      <c r="D550" t="s">
        <v>63</v>
      </c>
      <c r="E550" t="str">
        <f t="shared" si="24"/>
        <v>South West</v>
      </c>
      <c r="F550" s="8">
        <v>36</v>
      </c>
      <c r="G550" s="8">
        <v>86</v>
      </c>
      <c r="H550" s="8">
        <v>7</v>
      </c>
      <c r="I550" s="8">
        <v>129</v>
      </c>
      <c r="J550" s="8">
        <v>368</v>
      </c>
      <c r="K550" s="8">
        <v>67</v>
      </c>
      <c r="L550" s="8">
        <v>435</v>
      </c>
      <c r="M550" s="8">
        <v>792</v>
      </c>
      <c r="N550" s="6">
        <f t="shared" si="26"/>
        <v>0.15402298850574714</v>
      </c>
      <c r="O550" s="11">
        <v>81</v>
      </c>
      <c r="P550" s="11">
        <v>0</v>
      </c>
      <c r="Q550" s="11">
        <v>7</v>
      </c>
      <c r="R550" s="11">
        <v>4</v>
      </c>
      <c r="S550" s="11">
        <v>5</v>
      </c>
      <c r="T550" s="11">
        <v>6</v>
      </c>
      <c r="U550" s="11">
        <v>0</v>
      </c>
      <c r="V550" s="11">
        <v>0</v>
      </c>
      <c r="W550" s="11">
        <v>4</v>
      </c>
      <c r="X550" s="11">
        <v>5</v>
      </c>
      <c r="Y550" s="11">
        <v>9</v>
      </c>
      <c r="Z550" s="11">
        <v>3</v>
      </c>
      <c r="AA550" s="11">
        <v>1</v>
      </c>
      <c r="AB550" s="11">
        <v>0</v>
      </c>
      <c r="AC550" s="11">
        <v>0</v>
      </c>
      <c r="AD550" s="11">
        <v>0</v>
      </c>
      <c r="AE550" s="11">
        <v>3</v>
      </c>
      <c r="AF550" s="11">
        <v>80</v>
      </c>
    </row>
    <row r="551" spans="1:32">
      <c r="A551" t="s">
        <v>71</v>
      </c>
      <c r="B551">
        <v>2024</v>
      </c>
      <c r="C551" t="str">
        <f t="shared" si="25"/>
        <v>2024-Q3</v>
      </c>
      <c r="D551" t="s">
        <v>64</v>
      </c>
      <c r="E551" t="str">
        <f t="shared" si="24"/>
        <v>North Central</v>
      </c>
      <c r="F551" s="8">
        <v>8</v>
      </c>
      <c r="G551" s="8">
        <v>43</v>
      </c>
      <c r="H551" s="8">
        <v>1</v>
      </c>
      <c r="I551" s="8">
        <v>52</v>
      </c>
      <c r="J551" s="8">
        <v>154</v>
      </c>
      <c r="K551" s="8">
        <v>14</v>
      </c>
      <c r="L551" s="8">
        <v>168</v>
      </c>
      <c r="M551" s="8">
        <v>281</v>
      </c>
      <c r="N551" s="6">
        <f t="shared" si="26"/>
        <v>8.3333333333333329E-2</v>
      </c>
      <c r="O551" s="11">
        <v>17</v>
      </c>
      <c r="P551" s="11">
        <v>0</v>
      </c>
      <c r="Q551" s="11">
        <v>2</v>
      </c>
      <c r="R551" s="11">
        <v>0</v>
      </c>
      <c r="S551" s="11">
        <v>9</v>
      </c>
      <c r="T551" s="11">
        <v>2</v>
      </c>
      <c r="U551" s="11">
        <v>0</v>
      </c>
      <c r="V551" s="11">
        <v>0</v>
      </c>
      <c r="W551" s="11">
        <v>3</v>
      </c>
      <c r="X551" s="11">
        <v>0</v>
      </c>
      <c r="Y551" s="11">
        <v>1</v>
      </c>
      <c r="Z551" s="11">
        <v>2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20</v>
      </c>
    </row>
    <row r="552" spans="1:32">
      <c r="A552" t="s">
        <v>71</v>
      </c>
      <c r="B552">
        <v>2024</v>
      </c>
      <c r="C552" t="str">
        <f t="shared" si="25"/>
        <v>2024-Q3</v>
      </c>
      <c r="D552" t="s">
        <v>65</v>
      </c>
      <c r="E552" t="str">
        <f t="shared" si="24"/>
        <v>South South</v>
      </c>
      <c r="F552" s="8">
        <v>5</v>
      </c>
      <c r="G552" s="8">
        <v>5</v>
      </c>
      <c r="H552" s="8">
        <v>3</v>
      </c>
      <c r="I552" s="8">
        <v>13</v>
      </c>
      <c r="J552" s="8">
        <v>24</v>
      </c>
      <c r="K552" s="8">
        <v>5</v>
      </c>
      <c r="L552" s="8">
        <v>29</v>
      </c>
      <c r="M552" s="8">
        <v>64</v>
      </c>
      <c r="N552" s="6">
        <f t="shared" si="26"/>
        <v>0.17241379310344829</v>
      </c>
      <c r="O552" s="11">
        <v>7</v>
      </c>
      <c r="P552" s="11">
        <v>0</v>
      </c>
      <c r="Q552" s="11">
        <v>0</v>
      </c>
      <c r="R552" s="11">
        <v>0</v>
      </c>
      <c r="S552" s="11">
        <v>1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1</v>
      </c>
      <c r="Z552" s="11">
        <v>0</v>
      </c>
      <c r="AA552" s="11">
        <v>0</v>
      </c>
      <c r="AB552" s="11">
        <v>1</v>
      </c>
      <c r="AC552" s="11">
        <v>0</v>
      </c>
      <c r="AD552" s="11">
        <v>0</v>
      </c>
      <c r="AE552" s="11">
        <v>0</v>
      </c>
      <c r="AF552" s="11">
        <v>3</v>
      </c>
    </row>
    <row r="553" spans="1:32">
      <c r="A553" t="s">
        <v>71</v>
      </c>
      <c r="B553">
        <v>2024</v>
      </c>
      <c r="C553" t="str">
        <f t="shared" si="25"/>
        <v>2024-Q3</v>
      </c>
      <c r="D553" t="s">
        <v>66</v>
      </c>
      <c r="E553" t="str">
        <f t="shared" si="24"/>
        <v>North West</v>
      </c>
      <c r="F553" s="8">
        <v>7</v>
      </c>
      <c r="G553" s="8">
        <v>12</v>
      </c>
      <c r="H553" s="8">
        <v>0</v>
      </c>
      <c r="I553" s="8">
        <v>19</v>
      </c>
      <c r="J553" s="8">
        <v>52</v>
      </c>
      <c r="K553" s="8">
        <v>16</v>
      </c>
      <c r="L553" s="8">
        <v>68</v>
      </c>
      <c r="M553" s="8">
        <v>149</v>
      </c>
      <c r="N553" s="6">
        <f t="shared" si="26"/>
        <v>0.23529411764705882</v>
      </c>
      <c r="O553" s="11">
        <v>12</v>
      </c>
      <c r="P553" s="11">
        <v>1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1</v>
      </c>
      <c r="X553" s="11">
        <v>0</v>
      </c>
      <c r="Y553" s="11">
        <v>3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17</v>
      </c>
    </row>
    <row r="554" spans="1:32">
      <c r="A554" t="s">
        <v>71</v>
      </c>
      <c r="B554">
        <v>2024</v>
      </c>
      <c r="C554" t="str">
        <f t="shared" si="25"/>
        <v>2024-Q3</v>
      </c>
      <c r="D554" t="s">
        <v>67</v>
      </c>
      <c r="E554" t="str">
        <f t="shared" si="24"/>
        <v>North East</v>
      </c>
      <c r="F554" s="8">
        <v>4</v>
      </c>
      <c r="G554" s="8">
        <v>24</v>
      </c>
      <c r="H554" s="8">
        <v>1</v>
      </c>
      <c r="I554" s="8">
        <v>29</v>
      </c>
      <c r="J554" s="8">
        <v>66</v>
      </c>
      <c r="K554" s="8">
        <v>5</v>
      </c>
      <c r="L554" s="8">
        <v>71</v>
      </c>
      <c r="M554" s="8">
        <v>143</v>
      </c>
      <c r="N554" s="6">
        <f t="shared" si="26"/>
        <v>7.0422535211267609E-2</v>
      </c>
      <c r="O554" s="11">
        <v>5</v>
      </c>
      <c r="P554" s="11">
        <v>0</v>
      </c>
      <c r="Q554" s="11">
        <v>3</v>
      </c>
      <c r="R554" s="11">
        <v>1</v>
      </c>
      <c r="S554" s="11">
        <v>1</v>
      </c>
      <c r="T554" s="11">
        <v>0</v>
      </c>
      <c r="U554" s="11">
        <v>0</v>
      </c>
      <c r="V554" s="11">
        <v>1</v>
      </c>
      <c r="W554" s="11">
        <v>4</v>
      </c>
      <c r="X554" s="11">
        <v>2</v>
      </c>
      <c r="Y554" s="11">
        <v>2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0</v>
      </c>
      <c r="AF554" s="11">
        <v>12</v>
      </c>
    </row>
    <row r="555" spans="1:32">
      <c r="A555" t="s">
        <v>71</v>
      </c>
      <c r="B555">
        <v>2024</v>
      </c>
      <c r="C555" t="str">
        <f t="shared" si="25"/>
        <v>2024-Q3</v>
      </c>
      <c r="D555" t="s">
        <v>68</v>
      </c>
      <c r="E555" t="str">
        <f t="shared" si="24"/>
        <v>North East</v>
      </c>
      <c r="F555" s="8">
        <v>6</v>
      </c>
      <c r="G555" s="8">
        <v>32</v>
      </c>
      <c r="H555" s="8">
        <v>1</v>
      </c>
      <c r="I555" s="8">
        <v>39</v>
      </c>
      <c r="J555" s="8">
        <v>167</v>
      </c>
      <c r="K555" s="8">
        <v>7</v>
      </c>
      <c r="L555" s="8">
        <v>174</v>
      </c>
      <c r="M555" s="8">
        <v>302</v>
      </c>
      <c r="N555" s="6">
        <f t="shared" si="26"/>
        <v>4.0229885057471264E-2</v>
      </c>
      <c r="O555" s="11">
        <v>16</v>
      </c>
      <c r="P555" s="11">
        <v>0</v>
      </c>
      <c r="Q555" s="11">
        <v>9</v>
      </c>
      <c r="R555" s="11">
        <v>0</v>
      </c>
      <c r="S555" s="11">
        <v>0</v>
      </c>
      <c r="T555" s="11">
        <v>4</v>
      </c>
      <c r="U555" s="11">
        <v>0</v>
      </c>
      <c r="V555" s="11">
        <v>0</v>
      </c>
      <c r="W555" s="11">
        <v>6</v>
      </c>
      <c r="X555" s="11">
        <v>0</v>
      </c>
      <c r="Y555" s="11">
        <v>0</v>
      </c>
      <c r="Z555" s="11">
        <v>1</v>
      </c>
      <c r="AA555" s="11">
        <v>0</v>
      </c>
      <c r="AB555" s="11">
        <v>0</v>
      </c>
      <c r="AC555" s="11">
        <v>0</v>
      </c>
      <c r="AD555" s="11">
        <v>0</v>
      </c>
      <c r="AE555" s="11">
        <v>0</v>
      </c>
      <c r="AF555" s="11">
        <v>15</v>
      </c>
    </row>
    <row r="556" spans="1:32">
      <c r="A556" t="s">
        <v>71</v>
      </c>
      <c r="B556">
        <v>2024</v>
      </c>
      <c r="C556" t="str">
        <f t="shared" si="25"/>
        <v>2024-Q3</v>
      </c>
      <c r="D556" t="s">
        <v>69</v>
      </c>
      <c r="E556" t="str">
        <f t="shared" si="24"/>
        <v>North West</v>
      </c>
      <c r="F556" s="8">
        <v>4</v>
      </c>
      <c r="G556" s="8">
        <v>7</v>
      </c>
      <c r="H556" s="8">
        <v>0</v>
      </c>
      <c r="I556" s="8">
        <v>11</v>
      </c>
      <c r="J556" s="8">
        <v>30</v>
      </c>
      <c r="K556" s="8">
        <v>12</v>
      </c>
      <c r="L556" s="8">
        <v>42</v>
      </c>
      <c r="M556" s="8">
        <v>57</v>
      </c>
      <c r="N556" s="6">
        <f t="shared" si="26"/>
        <v>0.2857142857142857</v>
      </c>
      <c r="O556" s="11">
        <v>7</v>
      </c>
      <c r="P556" s="11">
        <v>0</v>
      </c>
      <c r="Q556" s="11">
        <v>0</v>
      </c>
      <c r="R556" s="11">
        <v>0</v>
      </c>
      <c r="S556" s="11">
        <v>0</v>
      </c>
      <c r="T556" s="11">
        <v>1</v>
      </c>
      <c r="U556" s="11">
        <v>0</v>
      </c>
      <c r="V556" s="11">
        <v>1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1</v>
      </c>
      <c r="AF556" s="11">
        <v>6</v>
      </c>
    </row>
    <row r="557" spans="1:32">
      <c r="A557" t="s">
        <v>72</v>
      </c>
      <c r="B557">
        <v>2024</v>
      </c>
      <c r="C557" t="str">
        <f t="shared" si="25"/>
        <v>2024-Q4</v>
      </c>
      <c r="D557" t="s">
        <v>33</v>
      </c>
      <c r="E557" t="str">
        <f t="shared" si="24"/>
        <v>South East</v>
      </c>
      <c r="F557" s="9">
        <v>5</v>
      </c>
      <c r="G557" s="9">
        <v>15</v>
      </c>
      <c r="H557" s="9">
        <v>0</v>
      </c>
      <c r="I557" s="9">
        <v>20</v>
      </c>
      <c r="J557" s="9">
        <v>99</v>
      </c>
      <c r="K557" s="9">
        <v>22</v>
      </c>
      <c r="L557" s="9">
        <v>121</v>
      </c>
      <c r="M557" s="9">
        <v>208</v>
      </c>
      <c r="N557" s="6">
        <f t="shared" si="26"/>
        <v>0.18181818181818182</v>
      </c>
      <c r="O557" s="11">
        <v>10</v>
      </c>
      <c r="P557" s="11">
        <v>0</v>
      </c>
      <c r="Q557" s="11">
        <v>5</v>
      </c>
      <c r="R557" s="11">
        <v>0</v>
      </c>
      <c r="S557" s="11">
        <v>1</v>
      </c>
      <c r="T557" s="11">
        <v>0</v>
      </c>
      <c r="U557" s="11">
        <v>0</v>
      </c>
      <c r="V557" s="11">
        <v>3</v>
      </c>
      <c r="W557" s="11">
        <v>0</v>
      </c>
      <c r="X557" s="11">
        <v>0</v>
      </c>
      <c r="Y557" s="11">
        <v>1</v>
      </c>
      <c r="Z557" s="11">
        <v>0</v>
      </c>
      <c r="AA557" s="11">
        <v>0</v>
      </c>
      <c r="AB557" s="11">
        <v>0</v>
      </c>
      <c r="AC557" s="11">
        <v>0</v>
      </c>
      <c r="AD557" s="11">
        <v>0</v>
      </c>
      <c r="AE557" s="11">
        <v>1</v>
      </c>
      <c r="AF557" s="11">
        <v>1</v>
      </c>
    </row>
    <row r="558" spans="1:32">
      <c r="A558" t="s">
        <v>72</v>
      </c>
      <c r="B558">
        <v>2024</v>
      </c>
      <c r="C558" t="str">
        <f t="shared" si="25"/>
        <v>2024-Q4</v>
      </c>
      <c r="D558" t="s">
        <v>34</v>
      </c>
      <c r="E558" t="str">
        <f t="shared" si="24"/>
        <v>North East</v>
      </c>
      <c r="F558" s="10">
        <v>4</v>
      </c>
      <c r="G558" s="10">
        <v>45</v>
      </c>
      <c r="H558" s="10">
        <v>4</v>
      </c>
      <c r="I558" s="10">
        <v>53</v>
      </c>
      <c r="J558" s="10">
        <v>150</v>
      </c>
      <c r="K558" s="10">
        <v>8</v>
      </c>
      <c r="L558" s="10">
        <v>158</v>
      </c>
      <c r="M558" s="10">
        <v>465</v>
      </c>
      <c r="N558" s="6">
        <f t="shared" si="26"/>
        <v>5.0632911392405063E-2</v>
      </c>
      <c r="O558" s="11">
        <v>40</v>
      </c>
      <c r="P558" s="11">
        <v>1</v>
      </c>
      <c r="Q558" s="11">
        <v>0</v>
      </c>
      <c r="R558" s="11">
        <v>1</v>
      </c>
      <c r="S558" s="11">
        <v>0</v>
      </c>
      <c r="T558" s="11">
        <v>2</v>
      </c>
      <c r="U558" s="11">
        <v>0</v>
      </c>
      <c r="V558" s="11">
        <v>5</v>
      </c>
      <c r="W558" s="11">
        <v>2</v>
      </c>
      <c r="X558" s="11">
        <v>0</v>
      </c>
      <c r="Y558" s="11">
        <v>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</row>
    <row r="559" spans="1:32">
      <c r="A559" t="s">
        <v>72</v>
      </c>
      <c r="B559">
        <v>2024</v>
      </c>
      <c r="C559" t="str">
        <f t="shared" si="25"/>
        <v>2024-Q4</v>
      </c>
      <c r="D559" t="s">
        <v>35</v>
      </c>
      <c r="E559" t="str">
        <f t="shared" si="24"/>
        <v>South South</v>
      </c>
      <c r="F559" s="10">
        <v>7</v>
      </c>
      <c r="G559" s="10">
        <v>8</v>
      </c>
      <c r="H559" s="10">
        <v>2</v>
      </c>
      <c r="I559" s="10">
        <v>17</v>
      </c>
      <c r="J559" s="10">
        <v>34</v>
      </c>
      <c r="K559" s="10">
        <v>15</v>
      </c>
      <c r="L559" s="10">
        <v>49</v>
      </c>
      <c r="M559" s="10">
        <v>95</v>
      </c>
      <c r="N559" s="6">
        <f t="shared" si="26"/>
        <v>0.30612244897959184</v>
      </c>
      <c r="O559" s="11">
        <v>18</v>
      </c>
      <c r="P559" s="11">
        <v>2</v>
      </c>
      <c r="Q559" s="11">
        <v>0</v>
      </c>
      <c r="R559" s="11">
        <v>0</v>
      </c>
      <c r="S559" s="11">
        <v>1</v>
      </c>
      <c r="T559" s="11">
        <v>0</v>
      </c>
      <c r="U559" s="11">
        <v>0</v>
      </c>
      <c r="V559" s="11">
        <v>2</v>
      </c>
      <c r="W559" s="11">
        <v>0</v>
      </c>
      <c r="X559" s="11">
        <v>1</v>
      </c>
      <c r="Y559" s="11">
        <v>0</v>
      </c>
      <c r="Z559" s="11">
        <v>0</v>
      </c>
      <c r="AA559" s="11">
        <v>0</v>
      </c>
      <c r="AB559" s="11">
        <v>1</v>
      </c>
      <c r="AC559" s="11">
        <v>0</v>
      </c>
      <c r="AD559" s="11">
        <v>0</v>
      </c>
      <c r="AE559" s="11">
        <v>0</v>
      </c>
      <c r="AF559" s="11">
        <v>0</v>
      </c>
    </row>
    <row r="560" spans="1:32">
      <c r="A560" t="s">
        <v>72</v>
      </c>
      <c r="B560">
        <v>2024</v>
      </c>
      <c r="C560" t="str">
        <f t="shared" si="25"/>
        <v>2024-Q4</v>
      </c>
      <c r="D560" t="s">
        <v>36</v>
      </c>
      <c r="E560" t="str">
        <f t="shared" si="24"/>
        <v>South East</v>
      </c>
      <c r="F560" s="10">
        <v>7</v>
      </c>
      <c r="G560" s="10">
        <v>17</v>
      </c>
      <c r="H560" s="10">
        <v>1</v>
      </c>
      <c r="I560" s="10">
        <v>25</v>
      </c>
      <c r="J560" s="10">
        <v>103</v>
      </c>
      <c r="K560" s="10">
        <v>12</v>
      </c>
      <c r="L560" s="10">
        <v>115</v>
      </c>
      <c r="M560" s="10">
        <v>274</v>
      </c>
      <c r="N560" s="6">
        <f t="shared" si="26"/>
        <v>0.10434782608695652</v>
      </c>
      <c r="O560" s="11">
        <v>12</v>
      </c>
      <c r="P560" s="11">
        <v>1</v>
      </c>
      <c r="Q560" s="11">
        <v>1</v>
      </c>
      <c r="R560" s="11">
        <v>1</v>
      </c>
      <c r="S560" s="11">
        <v>7</v>
      </c>
      <c r="T560" s="11">
        <v>1</v>
      </c>
      <c r="U560" s="11">
        <v>0</v>
      </c>
      <c r="V560" s="11">
        <v>5</v>
      </c>
      <c r="W560" s="11">
        <v>3</v>
      </c>
      <c r="X560" s="11">
        <v>0</v>
      </c>
      <c r="Y560" s="11">
        <v>1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</row>
    <row r="561" spans="1:32">
      <c r="A561" t="s">
        <v>72</v>
      </c>
      <c r="B561">
        <v>2024</v>
      </c>
      <c r="C561" t="str">
        <f t="shared" si="25"/>
        <v>2024-Q4</v>
      </c>
      <c r="D561" t="s">
        <v>37</v>
      </c>
      <c r="E561" t="str">
        <f t="shared" si="24"/>
        <v>North East</v>
      </c>
      <c r="F561" s="10">
        <v>18</v>
      </c>
      <c r="G561" s="10">
        <v>62</v>
      </c>
      <c r="H561" s="10">
        <v>3</v>
      </c>
      <c r="I561" s="10">
        <v>83</v>
      </c>
      <c r="J561" s="10">
        <v>395</v>
      </c>
      <c r="K561" s="10">
        <v>36</v>
      </c>
      <c r="L561" s="10">
        <v>431</v>
      </c>
      <c r="M561" s="10">
        <v>670</v>
      </c>
      <c r="N561" s="6">
        <f t="shared" si="26"/>
        <v>8.3526682134570762E-2</v>
      </c>
      <c r="O561" s="11">
        <v>27</v>
      </c>
      <c r="P561" s="11">
        <v>0</v>
      </c>
      <c r="Q561" s="11">
        <v>6</v>
      </c>
      <c r="R561" s="11">
        <v>0</v>
      </c>
      <c r="S561" s="11">
        <v>0</v>
      </c>
      <c r="T561" s="11">
        <v>9</v>
      </c>
      <c r="U561" s="11">
        <v>0</v>
      </c>
      <c r="V561" s="11">
        <v>3</v>
      </c>
      <c r="W561" s="11">
        <v>0</v>
      </c>
      <c r="X561" s="11">
        <v>6</v>
      </c>
      <c r="Y561" s="11">
        <v>6</v>
      </c>
      <c r="Z561" s="11">
        <v>6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</row>
    <row r="562" spans="1:32">
      <c r="A562" t="s">
        <v>72</v>
      </c>
      <c r="B562">
        <v>2024</v>
      </c>
      <c r="C562" t="str">
        <f t="shared" si="25"/>
        <v>2024-Q4</v>
      </c>
      <c r="D562" t="s">
        <v>38</v>
      </c>
      <c r="E562" t="str">
        <f t="shared" si="24"/>
        <v>South South</v>
      </c>
      <c r="F562" s="10">
        <v>0</v>
      </c>
      <c r="G562" s="10">
        <v>5</v>
      </c>
      <c r="H562" s="10">
        <v>0</v>
      </c>
      <c r="I562" s="10">
        <v>5</v>
      </c>
      <c r="J562" s="10">
        <v>13</v>
      </c>
      <c r="K562" s="10">
        <v>0</v>
      </c>
      <c r="L562" s="10">
        <v>13</v>
      </c>
      <c r="M562" s="10">
        <v>26</v>
      </c>
      <c r="N562" s="6">
        <f t="shared" si="26"/>
        <v>0</v>
      </c>
      <c r="O562" s="11">
        <v>4</v>
      </c>
      <c r="P562" s="11">
        <v>0</v>
      </c>
      <c r="Q562" s="11">
        <v>0</v>
      </c>
      <c r="R562" s="11">
        <v>0</v>
      </c>
      <c r="S562" s="11">
        <v>3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1</v>
      </c>
      <c r="AE562" s="11">
        <v>0</v>
      </c>
      <c r="AF562" s="11">
        <v>0</v>
      </c>
    </row>
    <row r="563" spans="1:32">
      <c r="A563" t="s">
        <v>72</v>
      </c>
      <c r="B563">
        <v>2024</v>
      </c>
      <c r="C563" t="str">
        <f t="shared" si="25"/>
        <v>2024-Q4</v>
      </c>
      <c r="D563" t="s">
        <v>39</v>
      </c>
      <c r="E563" t="str">
        <f t="shared" si="24"/>
        <v>North Central</v>
      </c>
      <c r="F563" s="10">
        <v>13</v>
      </c>
      <c r="G563" s="10">
        <v>31</v>
      </c>
      <c r="H563" s="10">
        <v>5</v>
      </c>
      <c r="I563" s="10">
        <v>49</v>
      </c>
      <c r="J563" s="10">
        <v>143</v>
      </c>
      <c r="K563" s="10">
        <v>22</v>
      </c>
      <c r="L563" s="10">
        <v>165</v>
      </c>
      <c r="M563" s="10">
        <v>333</v>
      </c>
      <c r="N563" s="6">
        <f t="shared" si="26"/>
        <v>0.13333333333333333</v>
      </c>
      <c r="O563" s="11">
        <v>30</v>
      </c>
      <c r="P563" s="11">
        <v>1</v>
      </c>
      <c r="Q563" s="11">
        <v>3</v>
      </c>
      <c r="R563" s="11">
        <v>1</v>
      </c>
      <c r="S563" s="11">
        <v>2</v>
      </c>
      <c r="T563" s="11">
        <v>0</v>
      </c>
      <c r="U563" s="11">
        <v>0</v>
      </c>
      <c r="V563" s="11">
        <v>9</v>
      </c>
      <c r="W563" s="11">
        <v>3</v>
      </c>
      <c r="X563" s="11">
        <v>0</v>
      </c>
      <c r="Y563" s="11">
        <v>0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</row>
    <row r="564" spans="1:32">
      <c r="A564" t="s">
        <v>72</v>
      </c>
      <c r="B564">
        <v>2024</v>
      </c>
      <c r="C564" t="str">
        <f t="shared" si="25"/>
        <v>2024-Q4</v>
      </c>
      <c r="D564" t="s">
        <v>40</v>
      </c>
      <c r="E564" t="str">
        <f t="shared" si="24"/>
        <v>North East</v>
      </c>
      <c r="F564" s="10">
        <v>9</v>
      </c>
      <c r="G564" s="10">
        <v>28</v>
      </c>
      <c r="H564" s="10">
        <v>3</v>
      </c>
      <c r="I564" s="10">
        <v>40</v>
      </c>
      <c r="J564" s="10">
        <v>150</v>
      </c>
      <c r="K564" s="10">
        <v>47</v>
      </c>
      <c r="L564" s="10">
        <v>197</v>
      </c>
      <c r="M564" s="10">
        <v>227</v>
      </c>
      <c r="N564" s="6">
        <f t="shared" si="26"/>
        <v>0.23857868020304568</v>
      </c>
      <c r="O564" s="11">
        <v>6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</row>
    <row r="565" spans="1:32">
      <c r="A565" t="s">
        <v>72</v>
      </c>
      <c r="B565">
        <v>2024</v>
      </c>
      <c r="C565" t="str">
        <f t="shared" si="25"/>
        <v>2024-Q4</v>
      </c>
      <c r="D565" t="s">
        <v>41</v>
      </c>
      <c r="E565" t="str">
        <f t="shared" si="24"/>
        <v>South South</v>
      </c>
      <c r="F565" s="10">
        <v>10</v>
      </c>
      <c r="G565" s="10">
        <v>18</v>
      </c>
      <c r="H565" s="10">
        <v>2</v>
      </c>
      <c r="I565" s="10">
        <v>30</v>
      </c>
      <c r="J565" s="10">
        <v>81</v>
      </c>
      <c r="K565" s="10">
        <v>19</v>
      </c>
      <c r="L565" s="10">
        <v>100</v>
      </c>
      <c r="M565" s="10">
        <v>145</v>
      </c>
      <c r="N565" s="6">
        <f t="shared" si="26"/>
        <v>0.19</v>
      </c>
      <c r="O565" s="11">
        <v>28</v>
      </c>
      <c r="P565" s="11">
        <v>0</v>
      </c>
      <c r="Q565" s="11">
        <v>1</v>
      </c>
      <c r="R565" s="11">
        <v>1</v>
      </c>
      <c r="S565" s="11">
        <v>2</v>
      </c>
      <c r="T565" s="11">
        <v>0</v>
      </c>
      <c r="U565" s="11">
        <v>0</v>
      </c>
      <c r="V565" s="11">
        <v>4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</row>
    <row r="566" spans="1:32">
      <c r="A566" t="s">
        <v>72</v>
      </c>
      <c r="B566">
        <v>2024</v>
      </c>
      <c r="C566" t="str">
        <f t="shared" si="25"/>
        <v>2024-Q4</v>
      </c>
      <c r="D566" t="s">
        <v>42</v>
      </c>
      <c r="E566" t="str">
        <f t="shared" si="24"/>
        <v>South South</v>
      </c>
      <c r="F566" s="10">
        <v>7</v>
      </c>
      <c r="G566" s="10">
        <v>27</v>
      </c>
      <c r="H566" s="10">
        <v>6</v>
      </c>
      <c r="I566" s="10">
        <v>40</v>
      </c>
      <c r="J566" s="10">
        <v>126</v>
      </c>
      <c r="K566" s="10">
        <v>8</v>
      </c>
      <c r="L566" s="10">
        <v>134</v>
      </c>
      <c r="M566" s="10">
        <v>359</v>
      </c>
      <c r="N566" s="6">
        <f t="shared" si="26"/>
        <v>5.9701492537313432E-2</v>
      </c>
      <c r="O566" s="11">
        <v>28</v>
      </c>
      <c r="P566" s="11">
        <v>1</v>
      </c>
      <c r="Q566" s="11">
        <v>7</v>
      </c>
      <c r="R566" s="11">
        <v>2</v>
      </c>
      <c r="S566" s="11">
        <v>0</v>
      </c>
      <c r="T566" s="11">
        <v>0</v>
      </c>
      <c r="U566" s="11">
        <v>1</v>
      </c>
      <c r="V566" s="11">
        <v>1</v>
      </c>
      <c r="W566" s="11">
        <v>1</v>
      </c>
      <c r="X566" s="11">
        <v>0</v>
      </c>
      <c r="Y566" s="11">
        <v>2</v>
      </c>
      <c r="Z566" s="11">
        <v>1</v>
      </c>
      <c r="AA566" s="11">
        <v>4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</row>
    <row r="567" spans="1:32">
      <c r="A567" t="s">
        <v>72</v>
      </c>
      <c r="B567">
        <v>2024</v>
      </c>
      <c r="C567" t="str">
        <f t="shared" si="25"/>
        <v>2024-Q4</v>
      </c>
      <c r="D567" t="s">
        <v>43</v>
      </c>
      <c r="E567" t="str">
        <f t="shared" si="24"/>
        <v>South East</v>
      </c>
      <c r="F567" s="10">
        <v>8</v>
      </c>
      <c r="G567" s="10">
        <v>21</v>
      </c>
      <c r="H567" s="10">
        <v>2</v>
      </c>
      <c r="I567" s="10">
        <v>31</v>
      </c>
      <c r="J567" s="10">
        <v>90</v>
      </c>
      <c r="K567" s="10">
        <v>15</v>
      </c>
      <c r="L567" s="10">
        <v>105</v>
      </c>
      <c r="M567" s="10">
        <v>258</v>
      </c>
      <c r="N567" s="6">
        <f t="shared" si="26"/>
        <v>0.14285714285714285</v>
      </c>
      <c r="O567" s="11">
        <v>22</v>
      </c>
      <c r="P567" s="11">
        <v>0</v>
      </c>
      <c r="Q567" s="11">
        <v>1</v>
      </c>
      <c r="R567" s="11">
        <v>0</v>
      </c>
      <c r="S567" s="11">
        <v>0</v>
      </c>
      <c r="T567" s="11">
        <v>0</v>
      </c>
      <c r="U567" s="11">
        <v>0</v>
      </c>
      <c r="V567" s="11">
        <v>1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s="11">
        <v>0</v>
      </c>
      <c r="AC567" s="11">
        <v>0</v>
      </c>
      <c r="AD567" s="11">
        <v>0</v>
      </c>
      <c r="AE567" s="11">
        <v>0</v>
      </c>
      <c r="AF567" s="11">
        <v>0</v>
      </c>
    </row>
    <row r="568" spans="1:32">
      <c r="A568" t="s">
        <v>72</v>
      </c>
      <c r="B568">
        <v>2024</v>
      </c>
      <c r="C568" t="str">
        <f t="shared" si="25"/>
        <v>2024-Q4</v>
      </c>
      <c r="D568" t="s">
        <v>44</v>
      </c>
      <c r="E568" t="str">
        <f t="shared" si="24"/>
        <v>South South</v>
      </c>
      <c r="F568" s="10">
        <v>21</v>
      </c>
      <c r="G568" s="10">
        <v>21</v>
      </c>
      <c r="H568" s="10">
        <v>7</v>
      </c>
      <c r="I568" s="10">
        <v>49</v>
      </c>
      <c r="J568" s="10">
        <v>129</v>
      </c>
      <c r="K568" s="10">
        <v>28</v>
      </c>
      <c r="L568" s="10">
        <v>157</v>
      </c>
      <c r="M568" s="10">
        <v>357</v>
      </c>
      <c r="N568" s="6">
        <f t="shared" si="26"/>
        <v>0.17834394904458598</v>
      </c>
      <c r="O568" s="11">
        <v>43</v>
      </c>
      <c r="P568" s="11">
        <v>0</v>
      </c>
      <c r="Q568" s="11">
        <v>4</v>
      </c>
      <c r="R568" s="11">
        <v>0</v>
      </c>
      <c r="S568" s="11">
        <v>5</v>
      </c>
      <c r="T568" s="11">
        <v>0</v>
      </c>
      <c r="U568" s="11">
        <v>0</v>
      </c>
      <c r="V568" s="11">
        <v>3</v>
      </c>
      <c r="W568" s="11">
        <v>0</v>
      </c>
      <c r="X568" s="11">
        <v>0</v>
      </c>
      <c r="Y568" s="11">
        <v>7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2</v>
      </c>
    </row>
    <row r="569" spans="1:32">
      <c r="A569" t="s">
        <v>72</v>
      </c>
      <c r="B569">
        <v>2024</v>
      </c>
      <c r="C569" t="str">
        <f t="shared" si="25"/>
        <v>2024-Q4</v>
      </c>
      <c r="D569" t="s">
        <v>45</v>
      </c>
      <c r="E569" t="str">
        <f t="shared" si="24"/>
        <v>South West</v>
      </c>
      <c r="F569" s="10">
        <v>4</v>
      </c>
      <c r="G569" s="10">
        <v>14</v>
      </c>
      <c r="H569" s="10">
        <v>2</v>
      </c>
      <c r="I569" s="10">
        <v>20</v>
      </c>
      <c r="J569" s="10">
        <v>118</v>
      </c>
      <c r="K569" s="10">
        <v>6</v>
      </c>
      <c r="L569" s="10">
        <v>124</v>
      </c>
      <c r="M569" s="10">
        <v>205</v>
      </c>
      <c r="N569" s="6">
        <f t="shared" si="26"/>
        <v>4.8387096774193547E-2</v>
      </c>
      <c r="O569" s="11">
        <v>13</v>
      </c>
      <c r="P569" s="11">
        <v>0</v>
      </c>
      <c r="Q569" s="11">
        <v>1</v>
      </c>
      <c r="R569" s="11">
        <v>0</v>
      </c>
      <c r="S569" s="11">
        <v>6</v>
      </c>
      <c r="T569" s="11">
        <v>0</v>
      </c>
      <c r="U569" s="11">
        <v>0</v>
      </c>
      <c r="V569" s="11">
        <v>0</v>
      </c>
      <c r="W569" s="11">
        <v>1</v>
      </c>
      <c r="X569" s="11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  <c r="AE569" s="11">
        <v>1</v>
      </c>
      <c r="AF569" s="11">
        <v>0</v>
      </c>
    </row>
    <row r="570" spans="1:32">
      <c r="A570" t="s">
        <v>72</v>
      </c>
      <c r="B570">
        <v>2024</v>
      </c>
      <c r="C570" t="str">
        <f t="shared" si="25"/>
        <v>2024-Q4</v>
      </c>
      <c r="D570" t="s">
        <v>46</v>
      </c>
      <c r="E570" t="str">
        <f t="shared" si="24"/>
        <v>South East</v>
      </c>
      <c r="F570" s="10">
        <v>16</v>
      </c>
      <c r="G570" s="10">
        <v>40</v>
      </c>
      <c r="H570" s="10">
        <v>9</v>
      </c>
      <c r="I570" s="10">
        <v>65</v>
      </c>
      <c r="J570" s="10">
        <v>190</v>
      </c>
      <c r="K570" s="10">
        <v>36</v>
      </c>
      <c r="L570" s="10">
        <v>226</v>
      </c>
      <c r="M570" s="10">
        <v>582</v>
      </c>
      <c r="N570" s="6">
        <f t="shared" si="26"/>
        <v>0.15929203539823009</v>
      </c>
      <c r="O570" s="11">
        <v>50</v>
      </c>
      <c r="P570" s="11">
        <v>0</v>
      </c>
      <c r="Q570" s="11">
        <v>8</v>
      </c>
      <c r="R570" s="11">
        <v>0</v>
      </c>
      <c r="S570" s="11">
        <v>18</v>
      </c>
      <c r="T570" s="11">
        <v>0</v>
      </c>
      <c r="U570" s="11">
        <v>0</v>
      </c>
      <c r="V570" s="11">
        <v>11</v>
      </c>
      <c r="W570" s="11">
        <v>1</v>
      </c>
      <c r="X570" s="11">
        <v>0</v>
      </c>
      <c r="Y570" s="11">
        <v>4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2</v>
      </c>
    </row>
    <row r="571" spans="1:32">
      <c r="A571" t="s">
        <v>72</v>
      </c>
      <c r="B571">
        <v>2024</v>
      </c>
      <c r="C571" t="str">
        <f t="shared" si="25"/>
        <v>2024-Q4</v>
      </c>
      <c r="D571" t="s">
        <v>47</v>
      </c>
      <c r="E571" t="str">
        <f t="shared" si="24"/>
        <v>North Central</v>
      </c>
      <c r="F571" s="10">
        <v>31</v>
      </c>
      <c r="G571" s="10">
        <v>121</v>
      </c>
      <c r="H571" s="10">
        <v>29</v>
      </c>
      <c r="I571" s="10">
        <v>181</v>
      </c>
      <c r="J571" s="10">
        <v>397</v>
      </c>
      <c r="K571" s="10">
        <v>55</v>
      </c>
      <c r="L571" s="10">
        <v>452</v>
      </c>
      <c r="M571" s="10">
        <v>973</v>
      </c>
      <c r="N571" s="6">
        <f t="shared" si="26"/>
        <v>0.12168141592920353</v>
      </c>
      <c r="O571" s="11">
        <v>190</v>
      </c>
      <c r="P571" s="11">
        <v>2</v>
      </c>
      <c r="Q571" s="11">
        <v>19</v>
      </c>
      <c r="R571" s="11">
        <v>9</v>
      </c>
      <c r="S571" s="11">
        <v>5</v>
      </c>
      <c r="T571" s="11">
        <v>0</v>
      </c>
      <c r="U571" s="11">
        <v>3</v>
      </c>
      <c r="V571" s="11">
        <v>7</v>
      </c>
      <c r="W571" s="11">
        <v>3</v>
      </c>
      <c r="X571" s="11">
        <v>0</v>
      </c>
      <c r="Y571" s="11">
        <v>40</v>
      </c>
      <c r="Z571" s="11">
        <v>2</v>
      </c>
      <c r="AA571" s="11">
        <v>1</v>
      </c>
      <c r="AB571" s="11">
        <v>7</v>
      </c>
      <c r="AC571" s="11">
        <v>0</v>
      </c>
      <c r="AD571" s="11">
        <v>1</v>
      </c>
      <c r="AE571" s="11">
        <v>0</v>
      </c>
      <c r="AF571" s="11">
        <v>2</v>
      </c>
    </row>
    <row r="572" spans="1:32">
      <c r="A572" t="s">
        <v>72</v>
      </c>
      <c r="B572">
        <v>2024</v>
      </c>
      <c r="C572" t="str">
        <f t="shared" si="25"/>
        <v>2024-Q4</v>
      </c>
      <c r="D572" t="s">
        <v>48</v>
      </c>
      <c r="E572" t="str">
        <f t="shared" si="24"/>
        <v>North East</v>
      </c>
      <c r="F572" s="10">
        <v>19</v>
      </c>
      <c r="G572" s="10">
        <v>72</v>
      </c>
      <c r="H572" s="10">
        <v>1</v>
      </c>
      <c r="I572" s="10">
        <v>92</v>
      </c>
      <c r="J572" s="10">
        <v>284</v>
      </c>
      <c r="K572" s="10">
        <v>31</v>
      </c>
      <c r="L572" s="10">
        <v>315</v>
      </c>
      <c r="M572" s="10">
        <v>725</v>
      </c>
      <c r="N572" s="6">
        <f t="shared" si="26"/>
        <v>9.841269841269841E-2</v>
      </c>
      <c r="O572" s="11">
        <v>76</v>
      </c>
      <c r="P572" s="11">
        <v>1</v>
      </c>
      <c r="Q572" s="11">
        <v>7</v>
      </c>
      <c r="R572" s="11">
        <v>5</v>
      </c>
      <c r="S572" s="11">
        <v>2</v>
      </c>
      <c r="T572" s="11">
        <v>4</v>
      </c>
      <c r="U572" s="11">
        <v>0</v>
      </c>
      <c r="V572" s="11">
        <v>6</v>
      </c>
      <c r="W572" s="11">
        <v>0</v>
      </c>
      <c r="X572" s="11">
        <v>8</v>
      </c>
      <c r="Y572" s="11">
        <v>6</v>
      </c>
      <c r="Z572" s="11">
        <v>1</v>
      </c>
      <c r="AA572" s="11">
        <v>0</v>
      </c>
      <c r="AB572" s="11">
        <v>0</v>
      </c>
      <c r="AC572" s="11">
        <v>0</v>
      </c>
      <c r="AD572" s="11">
        <v>3</v>
      </c>
      <c r="AE572" s="11">
        <v>0</v>
      </c>
      <c r="AF572" s="11">
        <v>2</v>
      </c>
    </row>
    <row r="573" spans="1:32">
      <c r="A573" t="s">
        <v>72</v>
      </c>
      <c r="B573">
        <v>2024</v>
      </c>
      <c r="C573" t="str">
        <f t="shared" si="25"/>
        <v>2024-Q4</v>
      </c>
      <c r="D573" t="s">
        <v>49</v>
      </c>
      <c r="E573" t="str">
        <f t="shared" si="24"/>
        <v>South East</v>
      </c>
      <c r="F573" s="10">
        <v>6</v>
      </c>
      <c r="G573" s="10">
        <v>14</v>
      </c>
      <c r="H573" s="10">
        <v>1</v>
      </c>
      <c r="I573" s="10">
        <v>21</v>
      </c>
      <c r="J573" s="10">
        <v>55</v>
      </c>
      <c r="K573" s="10">
        <v>12</v>
      </c>
      <c r="L573" s="10">
        <v>67</v>
      </c>
      <c r="M573" s="10">
        <v>148</v>
      </c>
      <c r="N573" s="6">
        <f t="shared" si="26"/>
        <v>0.17910447761194029</v>
      </c>
      <c r="O573" s="11">
        <v>10</v>
      </c>
      <c r="P573" s="11">
        <v>0</v>
      </c>
      <c r="Q573" s="11">
        <v>3</v>
      </c>
      <c r="R573" s="11">
        <v>1</v>
      </c>
      <c r="S573" s="11">
        <v>6</v>
      </c>
      <c r="T573" s="11">
        <v>0</v>
      </c>
      <c r="U573" s="11">
        <v>0</v>
      </c>
      <c r="V573" s="11">
        <v>1</v>
      </c>
      <c r="W573" s="11">
        <v>1</v>
      </c>
      <c r="X573" s="11">
        <v>0</v>
      </c>
      <c r="Y573" s="11">
        <v>0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</row>
    <row r="574" spans="1:32">
      <c r="A574" t="s">
        <v>72</v>
      </c>
      <c r="B574">
        <v>2024</v>
      </c>
      <c r="C574" t="str">
        <f t="shared" si="25"/>
        <v>2024-Q4</v>
      </c>
      <c r="D574" t="s">
        <v>50</v>
      </c>
      <c r="E574" t="str">
        <f t="shared" si="24"/>
        <v>North West</v>
      </c>
      <c r="F574" s="10">
        <v>38</v>
      </c>
      <c r="G574" s="10">
        <v>73</v>
      </c>
      <c r="H574" s="10">
        <v>2</v>
      </c>
      <c r="I574" s="10">
        <v>113</v>
      </c>
      <c r="J574" s="10">
        <v>559</v>
      </c>
      <c r="K574" s="10">
        <v>269</v>
      </c>
      <c r="L574" s="10">
        <v>828</v>
      </c>
      <c r="M574" s="10">
        <v>1319</v>
      </c>
      <c r="N574" s="6">
        <f t="shared" si="26"/>
        <v>0.3248792270531401</v>
      </c>
      <c r="O574" s="11">
        <v>122</v>
      </c>
      <c r="P574" s="11">
        <v>2</v>
      </c>
      <c r="Q574" s="11">
        <v>12</v>
      </c>
      <c r="R574" s="11">
        <v>4</v>
      </c>
      <c r="S574" s="11">
        <v>1</v>
      </c>
      <c r="T574" s="11">
        <v>14</v>
      </c>
      <c r="U574" s="11">
        <v>0</v>
      </c>
      <c r="V574" s="11">
        <v>14</v>
      </c>
      <c r="W574" s="11">
        <v>6</v>
      </c>
      <c r="X574" s="11">
        <v>0</v>
      </c>
      <c r="Y574" s="11">
        <v>3</v>
      </c>
      <c r="Z574" s="11">
        <v>4</v>
      </c>
      <c r="AA574" s="11">
        <v>3</v>
      </c>
      <c r="AB574" s="11">
        <v>3</v>
      </c>
      <c r="AC574" s="11">
        <v>0</v>
      </c>
      <c r="AD574" s="11">
        <v>0</v>
      </c>
      <c r="AE574" s="11">
        <v>0</v>
      </c>
      <c r="AF574" s="11">
        <v>10</v>
      </c>
    </row>
    <row r="575" spans="1:32">
      <c r="A575" t="s">
        <v>72</v>
      </c>
      <c r="B575">
        <v>2024</v>
      </c>
      <c r="C575" t="str">
        <f t="shared" si="25"/>
        <v>2024-Q4</v>
      </c>
      <c r="D575" t="s">
        <v>51</v>
      </c>
      <c r="E575" t="str">
        <f t="shared" si="24"/>
        <v>North West</v>
      </c>
      <c r="F575" s="10">
        <v>68</v>
      </c>
      <c r="G575" s="10">
        <v>116</v>
      </c>
      <c r="H575" s="10">
        <v>7</v>
      </c>
      <c r="I575" s="10">
        <v>191</v>
      </c>
      <c r="J575" s="10">
        <v>909</v>
      </c>
      <c r="K575" s="10">
        <v>174</v>
      </c>
      <c r="L575" s="10">
        <v>1083</v>
      </c>
      <c r="M575" s="10">
        <v>1871</v>
      </c>
      <c r="N575" s="6">
        <f t="shared" si="26"/>
        <v>0.16066481994459833</v>
      </c>
      <c r="O575" s="11">
        <v>91</v>
      </c>
      <c r="P575" s="11">
        <v>0</v>
      </c>
      <c r="Q575" s="11">
        <v>11</v>
      </c>
      <c r="R575" s="11">
        <v>0</v>
      </c>
      <c r="S575" s="11">
        <v>1</v>
      </c>
      <c r="T575" s="11">
        <v>2</v>
      </c>
      <c r="U575" s="11">
        <v>7</v>
      </c>
      <c r="V575" s="11">
        <v>8</v>
      </c>
      <c r="W575" s="11">
        <v>6</v>
      </c>
      <c r="X575" s="11">
        <v>2</v>
      </c>
      <c r="Y575" s="11">
        <v>16</v>
      </c>
      <c r="Z575" s="11">
        <v>0</v>
      </c>
      <c r="AA575" s="11">
        <v>0</v>
      </c>
      <c r="AB575" s="11">
        <v>1</v>
      </c>
      <c r="AC575" s="11">
        <v>0</v>
      </c>
      <c r="AD575" s="11">
        <v>6</v>
      </c>
      <c r="AE575" s="11">
        <v>0</v>
      </c>
      <c r="AF575" s="11">
        <v>3</v>
      </c>
    </row>
    <row r="576" spans="1:32">
      <c r="A576" t="s">
        <v>72</v>
      </c>
      <c r="B576">
        <v>2024</v>
      </c>
      <c r="C576" t="str">
        <f t="shared" si="25"/>
        <v>2024-Q4</v>
      </c>
      <c r="D576" t="s">
        <v>52</v>
      </c>
      <c r="E576" t="str">
        <f t="shared" si="24"/>
        <v>North West</v>
      </c>
      <c r="F576" s="10">
        <v>14</v>
      </c>
      <c r="G576" s="10">
        <v>36</v>
      </c>
      <c r="H576" s="10">
        <v>2</v>
      </c>
      <c r="I576" s="10">
        <v>52</v>
      </c>
      <c r="J576" s="10">
        <v>162</v>
      </c>
      <c r="K576" s="10">
        <v>26</v>
      </c>
      <c r="L576" s="10">
        <v>188</v>
      </c>
      <c r="M576" s="10">
        <v>312</v>
      </c>
      <c r="N576" s="6">
        <f t="shared" si="26"/>
        <v>0.13829787234042554</v>
      </c>
      <c r="O576" s="11">
        <v>43</v>
      </c>
      <c r="P576" s="11">
        <v>0</v>
      </c>
      <c r="Q576" s="11">
        <v>2</v>
      </c>
      <c r="R576" s="11">
        <v>1</v>
      </c>
      <c r="S576" s="11">
        <v>0</v>
      </c>
      <c r="T576" s="11">
        <v>1</v>
      </c>
      <c r="U576" s="11">
        <v>3</v>
      </c>
      <c r="V576" s="11">
        <v>3</v>
      </c>
      <c r="W576" s="11">
        <v>0</v>
      </c>
      <c r="X576" s="11">
        <v>0</v>
      </c>
      <c r="Y576" s="11">
        <v>5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1</v>
      </c>
      <c r="AF576" s="11">
        <v>4</v>
      </c>
    </row>
    <row r="577" spans="1:32">
      <c r="A577" t="s">
        <v>72</v>
      </c>
      <c r="B577">
        <v>2024</v>
      </c>
      <c r="C577" t="str">
        <f t="shared" si="25"/>
        <v>2024-Q4</v>
      </c>
      <c r="D577" t="s">
        <v>53</v>
      </c>
      <c r="E577" t="str">
        <f t="shared" si="24"/>
        <v>North West</v>
      </c>
      <c r="F577" s="10">
        <v>10</v>
      </c>
      <c r="G577" s="10">
        <v>17</v>
      </c>
      <c r="H577" s="10">
        <v>1</v>
      </c>
      <c r="I577" s="10">
        <v>28</v>
      </c>
      <c r="J577" s="10">
        <v>148</v>
      </c>
      <c r="K577" s="10">
        <v>42</v>
      </c>
      <c r="L577" s="10">
        <v>190</v>
      </c>
      <c r="M577" s="10">
        <v>264</v>
      </c>
      <c r="N577" s="6">
        <f t="shared" si="26"/>
        <v>0.22105263157894736</v>
      </c>
      <c r="O577" s="11">
        <v>18</v>
      </c>
      <c r="P577" s="11">
        <v>0</v>
      </c>
      <c r="Q577" s="11">
        <v>3</v>
      </c>
      <c r="R577" s="11">
        <v>1</v>
      </c>
      <c r="S577" s="11">
        <v>0</v>
      </c>
      <c r="T577" s="11">
        <v>0</v>
      </c>
      <c r="U577" s="11">
        <v>0</v>
      </c>
      <c r="V577" s="11">
        <v>3</v>
      </c>
      <c r="W577" s="11">
        <v>0</v>
      </c>
      <c r="X577" s="11">
        <v>0</v>
      </c>
      <c r="Y577" s="11">
        <v>1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1</v>
      </c>
    </row>
    <row r="578" spans="1:32">
      <c r="A578" t="s">
        <v>72</v>
      </c>
      <c r="B578">
        <v>2024</v>
      </c>
      <c r="C578" t="str">
        <f t="shared" si="25"/>
        <v>2024-Q4</v>
      </c>
      <c r="D578" t="s">
        <v>54</v>
      </c>
      <c r="E578" t="str">
        <f t="shared" ref="E578:E641" si="27">IF(OR(D578="Adamawa", D578="Bauchi", D578="Borno", D578="Gombe", D578="Taraba", D578="Yobe"), "North East",
IF(OR(D578="Jigawa", D578="Kaduna", D578="Kano", D578="Katsina", D578="Kebbi", D578="Sokoto", D578="Zamfara"), "North West",
IF(OR(D578="Benue", D578="Kogi", D578="Kwara", D578="Nasarawa", D578="Niger", D578="Plateau", D578="FCT"), "North Central",
IF(OR(D578="Abia", D578="Anambra", D578="Ebonyi", D578="Enugu", D578="Imo"), "South East",
IF(OR(D578="Akwa Ibom", D578="Bayelsa", D578="Cross River", D578="Delta", D578="Edo", D578="Rivers"), "South South",
IF(OR(D578="Ekiti", D578="Lagos", D578="Ogun", D578="Ondo", D578="Osun", D578="Oyo"), "South West",
"Zone Not Found"))))))</f>
        <v>North West</v>
      </c>
      <c r="F578" s="10">
        <v>13</v>
      </c>
      <c r="G578" s="10">
        <v>27</v>
      </c>
      <c r="H578" s="10">
        <v>0</v>
      </c>
      <c r="I578" s="10">
        <v>40</v>
      </c>
      <c r="J578" s="10">
        <v>210</v>
      </c>
      <c r="K578" s="10">
        <v>26</v>
      </c>
      <c r="L578" s="10">
        <v>236</v>
      </c>
      <c r="M578" s="10">
        <v>322</v>
      </c>
      <c r="N578" s="6">
        <f t="shared" si="26"/>
        <v>0.11016949152542373</v>
      </c>
      <c r="O578" s="11">
        <v>33</v>
      </c>
      <c r="P578" s="11">
        <v>0</v>
      </c>
      <c r="Q578" s="11">
        <v>0</v>
      </c>
      <c r="R578" s="11">
        <v>1</v>
      </c>
      <c r="S578" s="11">
        <v>0</v>
      </c>
      <c r="T578" s="11">
        <v>0</v>
      </c>
      <c r="U578" s="11">
        <v>0</v>
      </c>
      <c r="V578" s="11">
        <v>1</v>
      </c>
      <c r="W578" s="11">
        <v>2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</row>
    <row r="579" spans="1:32">
      <c r="A579" t="s">
        <v>72</v>
      </c>
      <c r="B579">
        <v>2024</v>
      </c>
      <c r="C579" t="str">
        <f t="shared" ref="C579:C642" si="28">B579&amp;"-"&amp;A579</f>
        <v>2024-Q4</v>
      </c>
      <c r="D579" t="s">
        <v>55</v>
      </c>
      <c r="E579" t="str">
        <f t="shared" si="27"/>
        <v>North Central</v>
      </c>
      <c r="F579" s="10">
        <v>28</v>
      </c>
      <c r="G579" s="10">
        <v>44</v>
      </c>
      <c r="H579" s="10">
        <v>6</v>
      </c>
      <c r="I579" s="10">
        <v>78</v>
      </c>
      <c r="J579" s="10">
        <v>336</v>
      </c>
      <c r="K579" s="10">
        <v>51</v>
      </c>
      <c r="L579" s="10">
        <v>387</v>
      </c>
      <c r="M579" s="10">
        <v>765</v>
      </c>
      <c r="N579" s="6">
        <f t="shared" ref="N579:N642" si="29">K579/L579</f>
        <v>0.13178294573643412</v>
      </c>
      <c r="O579" s="11">
        <v>14</v>
      </c>
      <c r="P579" s="11">
        <v>0</v>
      </c>
      <c r="Q579" s="11">
        <v>5</v>
      </c>
      <c r="R579" s="11">
        <v>2</v>
      </c>
      <c r="S579" s="11">
        <v>14</v>
      </c>
      <c r="T579" s="11">
        <v>3</v>
      </c>
      <c r="U579" s="11">
        <v>0</v>
      </c>
      <c r="V579" s="11">
        <v>7</v>
      </c>
      <c r="W579" s="11">
        <v>4</v>
      </c>
      <c r="X579" s="11">
        <v>0</v>
      </c>
      <c r="Y579" s="11">
        <v>5</v>
      </c>
      <c r="Z579" s="11">
        <v>0</v>
      </c>
      <c r="AA579" s="11">
        <v>1</v>
      </c>
      <c r="AB579" s="11">
        <v>0</v>
      </c>
      <c r="AC579" s="11">
        <v>0</v>
      </c>
      <c r="AD579" s="11">
        <v>1</v>
      </c>
      <c r="AE579" s="11">
        <v>0</v>
      </c>
      <c r="AF579" s="11">
        <v>1</v>
      </c>
    </row>
    <row r="580" spans="1:32">
      <c r="A580" t="s">
        <v>72</v>
      </c>
      <c r="B580">
        <v>2024</v>
      </c>
      <c r="C580" t="str">
        <f t="shared" si="28"/>
        <v>2024-Q4</v>
      </c>
      <c r="D580" t="s">
        <v>56</v>
      </c>
      <c r="E580" t="str">
        <f t="shared" si="27"/>
        <v>North Central</v>
      </c>
      <c r="F580" s="10">
        <v>17</v>
      </c>
      <c r="G580" s="10">
        <v>33</v>
      </c>
      <c r="H580" s="10">
        <v>4</v>
      </c>
      <c r="I580" s="10">
        <v>54</v>
      </c>
      <c r="J580" s="10">
        <v>233</v>
      </c>
      <c r="K580" s="10">
        <v>56</v>
      </c>
      <c r="L580" s="10">
        <v>289</v>
      </c>
      <c r="M580" s="10">
        <v>507</v>
      </c>
      <c r="N580" s="6">
        <f t="shared" si="29"/>
        <v>0.19377162629757785</v>
      </c>
      <c r="O580" s="11">
        <v>52</v>
      </c>
      <c r="P580" s="11">
        <v>0</v>
      </c>
      <c r="Q580" s="11">
        <v>6</v>
      </c>
      <c r="R580" s="11">
        <v>5</v>
      </c>
      <c r="S580" s="11">
        <v>1</v>
      </c>
      <c r="T580" s="11">
        <v>0</v>
      </c>
      <c r="U580" s="11">
        <v>0</v>
      </c>
      <c r="V580" s="11">
        <v>7</v>
      </c>
      <c r="W580" s="11">
        <v>0</v>
      </c>
      <c r="X580" s="11">
        <v>0</v>
      </c>
      <c r="Y580" s="11">
        <v>0</v>
      </c>
      <c r="Z580" s="11">
        <v>1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4</v>
      </c>
    </row>
    <row r="581" spans="1:32">
      <c r="A581" t="s">
        <v>72</v>
      </c>
      <c r="B581">
        <v>2024</v>
      </c>
      <c r="C581" t="str">
        <f t="shared" si="28"/>
        <v>2024-Q4</v>
      </c>
      <c r="D581" t="s">
        <v>57</v>
      </c>
      <c r="E581" t="str">
        <f t="shared" si="27"/>
        <v>South West</v>
      </c>
      <c r="F581" s="10">
        <v>29</v>
      </c>
      <c r="G581" s="10">
        <v>86</v>
      </c>
      <c r="H581" s="10">
        <v>41</v>
      </c>
      <c r="I581" s="10">
        <v>156</v>
      </c>
      <c r="J581" s="10">
        <v>260</v>
      </c>
      <c r="K581" s="10">
        <v>46</v>
      </c>
      <c r="L581" s="10">
        <v>306</v>
      </c>
      <c r="M581" s="10">
        <v>780</v>
      </c>
      <c r="N581" s="6">
        <f t="shared" si="29"/>
        <v>0.15032679738562091</v>
      </c>
      <c r="O581" s="11">
        <v>106</v>
      </c>
      <c r="P581" s="11">
        <v>0</v>
      </c>
      <c r="Q581" s="11">
        <v>1</v>
      </c>
      <c r="R581" s="11">
        <v>4</v>
      </c>
      <c r="S581" s="11">
        <v>10</v>
      </c>
      <c r="T581" s="11">
        <v>1</v>
      </c>
      <c r="U581" s="11">
        <v>0</v>
      </c>
      <c r="V581" s="11">
        <v>9</v>
      </c>
      <c r="W581" s="11">
        <v>4</v>
      </c>
      <c r="X581" s="11">
        <v>0</v>
      </c>
      <c r="Y581" s="11">
        <v>9</v>
      </c>
      <c r="Z581" s="11">
        <v>0</v>
      </c>
      <c r="AA581" s="11">
        <v>0</v>
      </c>
      <c r="AB581" s="11">
        <v>0</v>
      </c>
      <c r="AC581" s="11">
        <v>1</v>
      </c>
      <c r="AD581" s="11">
        <v>1</v>
      </c>
      <c r="AE581" s="11">
        <v>0</v>
      </c>
      <c r="AF581" s="11">
        <v>10</v>
      </c>
    </row>
    <row r="582" spans="1:32">
      <c r="A582" t="s">
        <v>72</v>
      </c>
      <c r="B582">
        <v>2024</v>
      </c>
      <c r="C582" t="str">
        <f t="shared" si="28"/>
        <v>2024-Q4</v>
      </c>
      <c r="D582" t="s">
        <v>58</v>
      </c>
      <c r="E582" t="str">
        <f t="shared" si="27"/>
        <v>North Central</v>
      </c>
      <c r="F582" s="10">
        <v>27</v>
      </c>
      <c r="G582" s="10">
        <v>83</v>
      </c>
      <c r="H582" s="10">
        <v>17</v>
      </c>
      <c r="I582" s="10">
        <v>127</v>
      </c>
      <c r="J582" s="10">
        <v>436</v>
      </c>
      <c r="K582" s="10">
        <v>37</v>
      </c>
      <c r="L582" s="10">
        <v>473</v>
      </c>
      <c r="M582" s="10">
        <v>928</v>
      </c>
      <c r="N582" s="6">
        <f t="shared" si="29"/>
        <v>7.8224101479915431E-2</v>
      </c>
      <c r="O582" s="11">
        <v>91</v>
      </c>
      <c r="P582" s="11">
        <v>1</v>
      </c>
      <c r="Q582" s="11">
        <v>6</v>
      </c>
      <c r="R582" s="11">
        <v>0</v>
      </c>
      <c r="S582" s="11">
        <v>8</v>
      </c>
      <c r="T582" s="11">
        <v>0</v>
      </c>
      <c r="U582" s="11">
        <v>0</v>
      </c>
      <c r="V582" s="11">
        <v>7</v>
      </c>
      <c r="W582" s="11">
        <v>23</v>
      </c>
      <c r="X582" s="11">
        <v>0</v>
      </c>
      <c r="Y582" s="11">
        <v>14</v>
      </c>
      <c r="Z582" s="11">
        <v>0</v>
      </c>
      <c r="AA582" s="11">
        <v>0</v>
      </c>
      <c r="AB582" s="11">
        <v>0</v>
      </c>
      <c r="AC582" s="11">
        <v>0</v>
      </c>
      <c r="AD582" s="11">
        <v>1</v>
      </c>
      <c r="AE582" s="11">
        <v>0</v>
      </c>
      <c r="AF582" s="11">
        <v>13</v>
      </c>
    </row>
    <row r="583" spans="1:32">
      <c r="A583" t="s">
        <v>72</v>
      </c>
      <c r="B583">
        <v>2024</v>
      </c>
      <c r="C583" t="str">
        <f t="shared" si="28"/>
        <v>2024-Q4</v>
      </c>
      <c r="D583" t="s">
        <v>59</v>
      </c>
      <c r="E583" t="str">
        <f t="shared" si="27"/>
        <v>North Central</v>
      </c>
      <c r="F583" s="10">
        <v>52</v>
      </c>
      <c r="G583" s="10">
        <v>69</v>
      </c>
      <c r="H583" s="10">
        <v>6</v>
      </c>
      <c r="I583" s="10">
        <v>127</v>
      </c>
      <c r="J583" s="10">
        <v>760</v>
      </c>
      <c r="K583" s="10">
        <v>152</v>
      </c>
      <c r="L583" s="10">
        <v>912</v>
      </c>
      <c r="M583" s="10">
        <v>1570</v>
      </c>
      <c r="N583" s="6">
        <f t="shared" si="29"/>
        <v>0.16666666666666666</v>
      </c>
      <c r="O583" s="11">
        <v>137</v>
      </c>
      <c r="P583" s="11">
        <v>0</v>
      </c>
      <c r="Q583" s="11">
        <v>6</v>
      </c>
      <c r="R583" s="11">
        <v>2</v>
      </c>
      <c r="S583" s="11">
        <v>4</v>
      </c>
      <c r="T583" s="11">
        <v>0</v>
      </c>
      <c r="U583" s="11">
        <v>0</v>
      </c>
      <c r="V583" s="11">
        <v>15</v>
      </c>
      <c r="W583" s="11">
        <v>2</v>
      </c>
      <c r="X583" s="11">
        <v>2</v>
      </c>
      <c r="Y583" s="11">
        <v>3</v>
      </c>
      <c r="Z583" s="11">
        <v>1</v>
      </c>
      <c r="AA583" s="11">
        <v>0</v>
      </c>
      <c r="AB583" s="11">
        <v>0</v>
      </c>
      <c r="AC583" s="11">
        <v>0</v>
      </c>
      <c r="AD583" s="11">
        <v>2</v>
      </c>
      <c r="AE583" s="11">
        <v>0</v>
      </c>
      <c r="AF583" s="11">
        <v>6</v>
      </c>
    </row>
    <row r="584" spans="1:32">
      <c r="A584" t="s">
        <v>72</v>
      </c>
      <c r="B584">
        <v>2024</v>
      </c>
      <c r="C584" t="str">
        <f t="shared" si="28"/>
        <v>2024-Q4</v>
      </c>
      <c r="D584" t="s">
        <v>60</v>
      </c>
      <c r="E584" t="str">
        <f t="shared" si="27"/>
        <v>South West</v>
      </c>
      <c r="F584" s="10">
        <v>62</v>
      </c>
      <c r="G584" s="10">
        <v>124</v>
      </c>
      <c r="H584" s="10">
        <v>57</v>
      </c>
      <c r="I584" s="10">
        <v>243</v>
      </c>
      <c r="J584" s="10">
        <v>566</v>
      </c>
      <c r="K584" s="10">
        <v>87</v>
      </c>
      <c r="L584" s="10">
        <v>653</v>
      </c>
      <c r="M584" s="10">
        <v>1849</v>
      </c>
      <c r="N584" s="6">
        <f t="shared" si="29"/>
        <v>0.1332312404287902</v>
      </c>
      <c r="O584" s="11">
        <v>306</v>
      </c>
      <c r="P584" s="11">
        <v>2</v>
      </c>
      <c r="Q584" s="11">
        <v>34</v>
      </c>
      <c r="R584" s="11">
        <v>11</v>
      </c>
      <c r="S584" s="11">
        <v>10</v>
      </c>
      <c r="T584" s="11">
        <v>5</v>
      </c>
      <c r="U584" s="11">
        <v>0</v>
      </c>
      <c r="V584" s="11">
        <v>20</v>
      </c>
      <c r="W584" s="11">
        <v>17</v>
      </c>
      <c r="X584" s="11">
        <v>0</v>
      </c>
      <c r="Y584" s="11">
        <v>21</v>
      </c>
      <c r="Z584" s="11">
        <v>2</v>
      </c>
      <c r="AA584" s="11">
        <v>2</v>
      </c>
      <c r="AB584" s="11">
        <v>0</v>
      </c>
      <c r="AC584" s="11">
        <v>0</v>
      </c>
      <c r="AD584" s="11">
        <v>0</v>
      </c>
      <c r="AE584" s="11">
        <v>0</v>
      </c>
      <c r="AF584" s="11">
        <v>10</v>
      </c>
    </row>
    <row r="585" spans="1:32">
      <c r="A585" t="s">
        <v>72</v>
      </c>
      <c r="B585">
        <v>2024</v>
      </c>
      <c r="C585" t="str">
        <f t="shared" si="28"/>
        <v>2024-Q4</v>
      </c>
      <c r="D585" t="s">
        <v>61</v>
      </c>
      <c r="E585" t="str">
        <f t="shared" si="27"/>
        <v>South West</v>
      </c>
      <c r="F585" s="10">
        <v>21</v>
      </c>
      <c r="G585" s="10">
        <v>55</v>
      </c>
      <c r="H585" s="10">
        <v>11</v>
      </c>
      <c r="I585" s="10">
        <v>87</v>
      </c>
      <c r="J585" s="10">
        <v>185</v>
      </c>
      <c r="K585" s="10">
        <v>44</v>
      </c>
      <c r="L585" s="10">
        <v>229</v>
      </c>
      <c r="M585" s="10">
        <v>506</v>
      </c>
      <c r="N585" s="6">
        <f t="shared" si="29"/>
        <v>0.19213973799126638</v>
      </c>
      <c r="O585" s="11">
        <v>102</v>
      </c>
      <c r="P585" s="11">
        <v>1</v>
      </c>
      <c r="Q585" s="11">
        <v>6</v>
      </c>
      <c r="R585" s="11">
        <v>2</v>
      </c>
      <c r="S585" s="11">
        <v>3</v>
      </c>
      <c r="T585" s="11">
        <v>1</v>
      </c>
      <c r="U585" s="11">
        <v>0</v>
      </c>
      <c r="V585" s="11">
        <v>7</v>
      </c>
      <c r="W585" s="11">
        <v>5</v>
      </c>
      <c r="X585" s="11">
        <v>0</v>
      </c>
      <c r="Y585" s="11">
        <v>6</v>
      </c>
      <c r="Z585" s="11">
        <v>1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</row>
    <row r="586" spans="1:32">
      <c r="A586" t="s">
        <v>72</v>
      </c>
      <c r="B586">
        <v>2024</v>
      </c>
      <c r="C586" t="str">
        <f t="shared" si="28"/>
        <v>2024-Q4</v>
      </c>
      <c r="D586" t="s">
        <v>62</v>
      </c>
      <c r="E586" t="str">
        <f t="shared" si="27"/>
        <v>South West</v>
      </c>
      <c r="F586" s="10">
        <v>15</v>
      </c>
      <c r="G586" s="10">
        <v>45</v>
      </c>
      <c r="H586" s="10">
        <v>11</v>
      </c>
      <c r="I586" s="10">
        <v>71</v>
      </c>
      <c r="J586" s="10">
        <v>250</v>
      </c>
      <c r="K586" s="10">
        <v>22</v>
      </c>
      <c r="L586" s="10">
        <v>272</v>
      </c>
      <c r="M586" s="10">
        <v>612</v>
      </c>
      <c r="N586" s="6">
        <f t="shared" si="29"/>
        <v>8.0882352941176475E-2</v>
      </c>
      <c r="O586" s="11">
        <v>92</v>
      </c>
      <c r="P586" s="11">
        <v>0</v>
      </c>
      <c r="Q586" s="11">
        <v>3</v>
      </c>
      <c r="R586" s="11">
        <v>5</v>
      </c>
      <c r="S586" s="11">
        <v>4</v>
      </c>
      <c r="T586" s="11">
        <v>0</v>
      </c>
      <c r="U586" s="11">
        <v>0</v>
      </c>
      <c r="V586" s="11">
        <v>7</v>
      </c>
      <c r="W586" s="11">
        <v>4</v>
      </c>
      <c r="X586" s="11">
        <v>0</v>
      </c>
      <c r="Y586" s="11">
        <v>12</v>
      </c>
      <c r="Z586" s="11">
        <v>1</v>
      </c>
      <c r="AA586" s="11">
        <v>5</v>
      </c>
      <c r="AB586" s="11">
        <v>0</v>
      </c>
      <c r="AC586" s="11">
        <v>0</v>
      </c>
      <c r="AD586" s="11">
        <v>1</v>
      </c>
      <c r="AE586" s="11">
        <v>0</v>
      </c>
      <c r="AF586" s="11">
        <v>0</v>
      </c>
    </row>
    <row r="587" spans="1:32">
      <c r="A587" t="s">
        <v>72</v>
      </c>
      <c r="B587">
        <v>2024</v>
      </c>
      <c r="C587" t="str">
        <f t="shared" si="28"/>
        <v>2024-Q4</v>
      </c>
      <c r="D587" t="s">
        <v>63</v>
      </c>
      <c r="E587" t="str">
        <f t="shared" si="27"/>
        <v>South West</v>
      </c>
      <c r="F587" s="10">
        <v>53</v>
      </c>
      <c r="G587" s="10">
        <v>92</v>
      </c>
      <c r="H587" s="10">
        <v>16</v>
      </c>
      <c r="I587" s="10">
        <v>161</v>
      </c>
      <c r="J587" s="10">
        <v>401</v>
      </c>
      <c r="K587" s="10">
        <v>90</v>
      </c>
      <c r="L587" s="10">
        <v>491</v>
      </c>
      <c r="M587" s="10">
        <v>1097</v>
      </c>
      <c r="N587" s="6">
        <f t="shared" si="29"/>
        <v>0.18329938900203666</v>
      </c>
      <c r="O587" s="11">
        <v>210</v>
      </c>
      <c r="P587" s="11">
        <v>0</v>
      </c>
      <c r="Q587" s="11">
        <v>5</v>
      </c>
      <c r="R587" s="11">
        <v>9</v>
      </c>
      <c r="S587" s="11">
        <v>6</v>
      </c>
      <c r="T587" s="11">
        <v>2</v>
      </c>
      <c r="U587" s="11">
        <v>1</v>
      </c>
      <c r="V587" s="11">
        <v>14</v>
      </c>
      <c r="W587" s="11">
        <v>5</v>
      </c>
      <c r="X587" s="11">
        <v>1</v>
      </c>
      <c r="Y587" s="11">
        <v>13</v>
      </c>
      <c r="Z587" s="11">
        <v>2</v>
      </c>
      <c r="AA587" s="11">
        <v>0</v>
      </c>
      <c r="AB587" s="11">
        <v>0</v>
      </c>
      <c r="AC587" s="11">
        <v>0</v>
      </c>
      <c r="AD587" s="11">
        <v>1</v>
      </c>
      <c r="AE587" s="11">
        <v>0</v>
      </c>
      <c r="AF587" s="11">
        <v>0</v>
      </c>
    </row>
    <row r="588" spans="1:32">
      <c r="A588" t="s">
        <v>72</v>
      </c>
      <c r="B588">
        <v>2024</v>
      </c>
      <c r="C588" t="str">
        <f t="shared" si="28"/>
        <v>2024-Q4</v>
      </c>
      <c r="D588" t="s">
        <v>64</v>
      </c>
      <c r="E588" t="str">
        <f t="shared" si="27"/>
        <v>North Central</v>
      </c>
      <c r="F588" s="10">
        <v>21</v>
      </c>
      <c r="G588" s="10">
        <v>66</v>
      </c>
      <c r="H588" s="10">
        <v>7</v>
      </c>
      <c r="I588" s="10">
        <v>94</v>
      </c>
      <c r="J588" s="10">
        <v>300</v>
      </c>
      <c r="K588" s="10">
        <v>49</v>
      </c>
      <c r="L588" s="10">
        <v>349</v>
      </c>
      <c r="M588" s="10">
        <v>610</v>
      </c>
      <c r="N588" s="6">
        <f t="shared" si="29"/>
        <v>0.14040114613180515</v>
      </c>
      <c r="O588" s="11">
        <v>40</v>
      </c>
      <c r="P588" s="11">
        <v>0</v>
      </c>
      <c r="Q588" s="11">
        <v>2</v>
      </c>
      <c r="R588" s="11">
        <v>3</v>
      </c>
      <c r="S588" s="11">
        <v>20</v>
      </c>
      <c r="T588" s="11">
        <v>0</v>
      </c>
      <c r="U588" s="11">
        <v>0</v>
      </c>
      <c r="V588" s="11">
        <v>8</v>
      </c>
      <c r="W588" s="11">
        <v>13</v>
      </c>
      <c r="X588" s="11">
        <v>0</v>
      </c>
      <c r="Y588" s="11">
        <v>0</v>
      </c>
      <c r="Z588" s="11">
        <v>0</v>
      </c>
      <c r="AA588" s="11">
        <v>0</v>
      </c>
      <c r="AB588" s="11">
        <v>1</v>
      </c>
      <c r="AC588" s="11">
        <v>0</v>
      </c>
      <c r="AD588" s="11">
        <v>0</v>
      </c>
      <c r="AE588" s="11">
        <v>0</v>
      </c>
      <c r="AF588" s="11">
        <v>8</v>
      </c>
    </row>
    <row r="589" spans="1:32">
      <c r="A589" t="s">
        <v>72</v>
      </c>
      <c r="B589">
        <v>2024</v>
      </c>
      <c r="C589" t="str">
        <f t="shared" si="28"/>
        <v>2024-Q4</v>
      </c>
      <c r="D589" t="s">
        <v>65</v>
      </c>
      <c r="E589" t="str">
        <f t="shared" si="27"/>
        <v>South South</v>
      </c>
      <c r="F589" s="10">
        <v>2</v>
      </c>
      <c r="G589" s="10">
        <v>4</v>
      </c>
      <c r="H589" s="10">
        <v>0</v>
      </c>
      <c r="I589" s="10">
        <v>6</v>
      </c>
      <c r="J589" s="10">
        <v>26</v>
      </c>
      <c r="K589" s="10">
        <v>3</v>
      </c>
      <c r="L589" s="10">
        <v>29</v>
      </c>
      <c r="M589" s="10">
        <v>35</v>
      </c>
      <c r="N589" s="6">
        <f t="shared" si="29"/>
        <v>0.10344827586206896</v>
      </c>
      <c r="O589" s="11">
        <v>1</v>
      </c>
      <c r="P589" s="11">
        <v>0</v>
      </c>
      <c r="Q589" s="11">
        <v>2</v>
      </c>
      <c r="R589" s="11">
        <v>0</v>
      </c>
      <c r="S589" s="11">
        <v>1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2</v>
      </c>
    </row>
    <row r="590" spans="1:32">
      <c r="A590" t="s">
        <v>72</v>
      </c>
      <c r="B590">
        <v>2024</v>
      </c>
      <c r="C590" t="str">
        <f t="shared" si="28"/>
        <v>2024-Q4</v>
      </c>
      <c r="D590" t="s">
        <v>66</v>
      </c>
      <c r="E590" t="str">
        <f t="shared" si="27"/>
        <v>North West</v>
      </c>
      <c r="F590" s="10">
        <v>5</v>
      </c>
      <c r="G590" s="10">
        <v>5</v>
      </c>
      <c r="H590" s="10">
        <v>0</v>
      </c>
      <c r="I590" s="10">
        <v>10</v>
      </c>
      <c r="J590" s="10">
        <v>57</v>
      </c>
      <c r="K590" s="10">
        <v>7</v>
      </c>
      <c r="L590" s="10">
        <v>64</v>
      </c>
      <c r="M590" s="10">
        <v>104</v>
      </c>
      <c r="N590" s="6">
        <f t="shared" si="29"/>
        <v>0.109375</v>
      </c>
      <c r="O590" s="11">
        <v>6</v>
      </c>
      <c r="P590" s="11">
        <v>0</v>
      </c>
      <c r="Q590" s="11">
        <v>0</v>
      </c>
      <c r="R590" s="11">
        <v>1</v>
      </c>
      <c r="S590" s="11">
        <v>0</v>
      </c>
      <c r="T590" s="11">
        <v>3</v>
      </c>
      <c r="U590" s="11">
        <v>0</v>
      </c>
      <c r="V590" s="11">
        <v>1</v>
      </c>
      <c r="W590" s="11">
        <v>0</v>
      </c>
      <c r="X590" s="11">
        <v>0</v>
      </c>
      <c r="Y590" s="11">
        <v>0</v>
      </c>
      <c r="Z590" s="11">
        <v>2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</row>
    <row r="591" spans="1:32">
      <c r="A591" t="s">
        <v>72</v>
      </c>
      <c r="B591">
        <v>2024</v>
      </c>
      <c r="C591" t="str">
        <f t="shared" si="28"/>
        <v>2024-Q4</v>
      </c>
      <c r="D591" t="s">
        <v>67</v>
      </c>
      <c r="E591" t="str">
        <f t="shared" si="27"/>
        <v>North East</v>
      </c>
      <c r="F591" s="10">
        <v>4</v>
      </c>
      <c r="G591" s="10">
        <v>15</v>
      </c>
      <c r="H591" s="10">
        <v>1</v>
      </c>
      <c r="I591" s="10">
        <v>20</v>
      </c>
      <c r="J591" s="10">
        <v>67</v>
      </c>
      <c r="K591" s="10">
        <v>10</v>
      </c>
      <c r="L591" s="10">
        <v>77</v>
      </c>
      <c r="M591" s="10">
        <v>109</v>
      </c>
      <c r="N591" s="6">
        <f t="shared" si="29"/>
        <v>0.12987012987012986</v>
      </c>
      <c r="O591" s="11">
        <v>16</v>
      </c>
      <c r="P591" s="11">
        <v>0</v>
      </c>
      <c r="Q591" s="11">
        <v>3</v>
      </c>
      <c r="R591" s="11">
        <v>1</v>
      </c>
      <c r="S591" s="11">
        <v>2</v>
      </c>
      <c r="T591" s="11">
        <v>1</v>
      </c>
      <c r="U591" s="11">
        <v>0</v>
      </c>
      <c r="V591" s="11">
        <v>0</v>
      </c>
      <c r="W591" s="11">
        <v>6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</row>
    <row r="592" spans="1:32">
      <c r="A592" t="s">
        <v>72</v>
      </c>
      <c r="B592">
        <v>2024</v>
      </c>
      <c r="C592" t="str">
        <f t="shared" si="28"/>
        <v>2024-Q4</v>
      </c>
      <c r="D592" t="s">
        <v>68</v>
      </c>
      <c r="E592" t="str">
        <f t="shared" si="27"/>
        <v>North East</v>
      </c>
      <c r="F592" s="10">
        <v>14</v>
      </c>
      <c r="G592" s="10">
        <v>38</v>
      </c>
      <c r="H592" s="10">
        <v>3</v>
      </c>
      <c r="I592" s="10">
        <v>55</v>
      </c>
      <c r="J592" s="10">
        <v>259</v>
      </c>
      <c r="K592" s="10">
        <v>30</v>
      </c>
      <c r="L592" s="10">
        <v>289</v>
      </c>
      <c r="M592" s="10">
        <v>431</v>
      </c>
      <c r="N592" s="6">
        <f t="shared" si="29"/>
        <v>0.10380622837370242</v>
      </c>
      <c r="O592" s="11">
        <v>42</v>
      </c>
      <c r="P592" s="11">
        <v>0</v>
      </c>
      <c r="Q592" s="11">
        <v>9</v>
      </c>
      <c r="R592" s="11">
        <v>0</v>
      </c>
      <c r="S592" s="11">
        <v>0</v>
      </c>
      <c r="T592" s="11">
        <v>3</v>
      </c>
      <c r="U592" s="11">
        <v>0</v>
      </c>
      <c r="V592" s="11">
        <v>0</v>
      </c>
      <c r="W592" s="11">
        <v>6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3</v>
      </c>
    </row>
    <row r="593" spans="1:32">
      <c r="A593" t="s">
        <v>72</v>
      </c>
      <c r="B593">
        <v>2024</v>
      </c>
      <c r="C593" t="str">
        <f t="shared" si="28"/>
        <v>2024-Q4</v>
      </c>
      <c r="D593" t="s">
        <v>69</v>
      </c>
      <c r="E593" t="str">
        <f t="shared" si="27"/>
        <v>North West</v>
      </c>
      <c r="F593" s="10">
        <v>5</v>
      </c>
      <c r="G593" s="10">
        <v>20</v>
      </c>
      <c r="H593" s="10">
        <v>0</v>
      </c>
      <c r="I593" s="10">
        <v>25</v>
      </c>
      <c r="J593" s="10">
        <v>100</v>
      </c>
      <c r="K593" s="10">
        <v>17</v>
      </c>
      <c r="L593" s="10">
        <v>117</v>
      </c>
      <c r="M593" s="10">
        <v>231</v>
      </c>
      <c r="N593" s="6">
        <f t="shared" si="29"/>
        <v>0.14529914529914531</v>
      </c>
      <c r="O593" s="11">
        <v>36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4</v>
      </c>
      <c r="W593" s="11">
        <v>0</v>
      </c>
      <c r="X593" s="11">
        <v>0</v>
      </c>
      <c r="Y593" s="11">
        <v>2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</row>
    <row r="594" spans="1:32">
      <c r="A594" t="s">
        <v>32</v>
      </c>
      <c r="B594">
        <v>2025</v>
      </c>
      <c r="C594" t="str">
        <f t="shared" si="28"/>
        <v>2025-Q1</v>
      </c>
      <c r="D594" t="s">
        <v>33</v>
      </c>
      <c r="E594" t="str">
        <f t="shared" si="27"/>
        <v>South East</v>
      </c>
      <c r="F594" s="10">
        <v>6</v>
      </c>
      <c r="G594" s="10">
        <v>13</v>
      </c>
      <c r="H594" s="10">
        <v>0</v>
      </c>
      <c r="I594" s="10">
        <v>19</v>
      </c>
      <c r="J594" s="10">
        <v>107</v>
      </c>
      <c r="K594" s="10">
        <v>9</v>
      </c>
      <c r="L594" s="10">
        <v>116</v>
      </c>
      <c r="M594" s="10">
        <v>206</v>
      </c>
      <c r="N594" s="6">
        <f t="shared" si="29"/>
        <v>7.7586206896551727E-2</v>
      </c>
      <c r="O594" s="11">
        <v>9</v>
      </c>
      <c r="P594" s="11">
        <v>0</v>
      </c>
      <c r="Q594" s="11">
        <v>6</v>
      </c>
      <c r="R594" s="11">
        <v>0</v>
      </c>
      <c r="S594" s="11">
        <v>0</v>
      </c>
      <c r="T594" s="11">
        <v>2</v>
      </c>
      <c r="U594" s="11">
        <v>0</v>
      </c>
      <c r="V594" s="11">
        <v>3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0</v>
      </c>
      <c r="AC594" s="11">
        <v>0</v>
      </c>
      <c r="AD594" s="11">
        <v>0</v>
      </c>
      <c r="AE594" s="11">
        <v>2</v>
      </c>
      <c r="AF594" s="11">
        <v>0</v>
      </c>
    </row>
    <row r="595" spans="1:32">
      <c r="A595" t="s">
        <v>32</v>
      </c>
      <c r="B595">
        <v>2025</v>
      </c>
      <c r="C595" t="str">
        <f t="shared" si="28"/>
        <v>2025-Q1</v>
      </c>
      <c r="D595" t="s">
        <v>34</v>
      </c>
      <c r="E595" t="str">
        <f t="shared" si="27"/>
        <v>North East</v>
      </c>
      <c r="F595" s="10">
        <v>4</v>
      </c>
      <c r="G595" s="10">
        <v>43</v>
      </c>
      <c r="H595" s="10">
        <v>2</v>
      </c>
      <c r="I595" s="10">
        <v>49</v>
      </c>
      <c r="J595" s="10">
        <v>146</v>
      </c>
      <c r="K595" s="10">
        <v>6</v>
      </c>
      <c r="L595" s="10">
        <v>152</v>
      </c>
      <c r="M595" s="10">
        <v>288</v>
      </c>
      <c r="N595" s="6">
        <f t="shared" si="29"/>
        <v>3.9473684210526314E-2</v>
      </c>
      <c r="O595" s="11">
        <v>29</v>
      </c>
      <c r="P595" s="11">
        <v>0</v>
      </c>
      <c r="Q595" s="11">
        <v>3</v>
      </c>
      <c r="R595" s="11">
        <v>0</v>
      </c>
      <c r="S595" s="11">
        <v>0</v>
      </c>
      <c r="T595" s="11">
        <v>0</v>
      </c>
      <c r="U595" s="11">
        <v>0</v>
      </c>
      <c r="V595" s="11">
        <v>4</v>
      </c>
      <c r="W595" s="11">
        <v>2</v>
      </c>
      <c r="X595" s="11">
        <v>0</v>
      </c>
      <c r="Y595" s="11">
        <v>9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1</v>
      </c>
    </row>
    <row r="596" spans="1:32">
      <c r="A596" t="s">
        <v>32</v>
      </c>
      <c r="B596">
        <v>2025</v>
      </c>
      <c r="C596" t="str">
        <f t="shared" si="28"/>
        <v>2025-Q1</v>
      </c>
      <c r="D596" t="s">
        <v>35</v>
      </c>
      <c r="E596" t="str">
        <f t="shared" si="27"/>
        <v>South South</v>
      </c>
      <c r="F596" s="10">
        <v>4</v>
      </c>
      <c r="G596" s="10">
        <v>5</v>
      </c>
      <c r="H596" s="10">
        <v>1</v>
      </c>
      <c r="I596" s="10">
        <v>10</v>
      </c>
      <c r="J596" s="10">
        <v>10</v>
      </c>
      <c r="K596" s="10">
        <v>7</v>
      </c>
      <c r="L596" s="10">
        <v>17</v>
      </c>
      <c r="M596" s="10">
        <v>27</v>
      </c>
      <c r="N596" s="6">
        <f t="shared" si="29"/>
        <v>0.41176470588235292</v>
      </c>
      <c r="O596" s="11">
        <v>11</v>
      </c>
      <c r="P596" s="11">
        <v>0</v>
      </c>
      <c r="Q596" s="11">
        <v>0</v>
      </c>
      <c r="R596" s="11">
        <v>0</v>
      </c>
      <c r="S596" s="11">
        <v>2</v>
      </c>
      <c r="T596" s="11">
        <v>0</v>
      </c>
      <c r="U596" s="11">
        <v>0</v>
      </c>
      <c r="V596" s="11">
        <v>0</v>
      </c>
      <c r="W596" s="11">
        <v>0</v>
      </c>
      <c r="X596" s="11">
        <v>1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1</v>
      </c>
    </row>
    <row r="597" spans="1:32">
      <c r="A597" t="s">
        <v>32</v>
      </c>
      <c r="B597">
        <v>2025</v>
      </c>
      <c r="C597" t="str">
        <f t="shared" si="28"/>
        <v>2025-Q1</v>
      </c>
      <c r="D597" t="s">
        <v>36</v>
      </c>
      <c r="E597" t="str">
        <f t="shared" si="27"/>
        <v>South East</v>
      </c>
      <c r="F597" s="10">
        <v>9</v>
      </c>
      <c r="G597" s="10">
        <v>9</v>
      </c>
      <c r="H597" s="10">
        <v>1</v>
      </c>
      <c r="I597" s="10">
        <v>19</v>
      </c>
      <c r="J597" s="10">
        <v>72</v>
      </c>
      <c r="K597" s="10">
        <v>24</v>
      </c>
      <c r="L597" s="10">
        <v>96</v>
      </c>
      <c r="M597" s="10">
        <v>146</v>
      </c>
      <c r="N597" s="6">
        <f t="shared" si="29"/>
        <v>0.25</v>
      </c>
      <c r="O597" s="11">
        <v>13</v>
      </c>
      <c r="P597" s="11">
        <v>0</v>
      </c>
      <c r="Q597" s="11">
        <v>0</v>
      </c>
      <c r="R597" s="11">
        <v>1</v>
      </c>
      <c r="S597" s="11">
        <v>7</v>
      </c>
      <c r="T597" s="11">
        <v>0</v>
      </c>
      <c r="U597" s="11">
        <v>0</v>
      </c>
      <c r="V597" s="11">
        <v>5</v>
      </c>
      <c r="W597" s="11">
        <v>2</v>
      </c>
      <c r="X597" s="11">
        <v>0</v>
      </c>
      <c r="Y597" s="11">
        <v>1</v>
      </c>
      <c r="Z597" s="11">
        <v>1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</row>
    <row r="598" spans="1:32">
      <c r="A598" t="s">
        <v>32</v>
      </c>
      <c r="B598">
        <v>2025</v>
      </c>
      <c r="C598" t="str">
        <f t="shared" si="28"/>
        <v>2025-Q1</v>
      </c>
      <c r="D598" t="s">
        <v>37</v>
      </c>
      <c r="E598" t="str">
        <f t="shared" si="27"/>
        <v>North East</v>
      </c>
      <c r="F598" s="10">
        <v>22</v>
      </c>
      <c r="G598" s="10">
        <v>46</v>
      </c>
      <c r="H598" s="10">
        <v>0</v>
      </c>
      <c r="I598" s="10">
        <v>68</v>
      </c>
      <c r="J598" s="10">
        <v>314</v>
      </c>
      <c r="K598" s="10">
        <v>41</v>
      </c>
      <c r="L598" s="10">
        <v>355</v>
      </c>
      <c r="M598" s="10">
        <v>465</v>
      </c>
      <c r="N598" s="6">
        <f t="shared" si="29"/>
        <v>0.11549295774647887</v>
      </c>
      <c r="O598" s="11">
        <v>43</v>
      </c>
      <c r="P598" s="11">
        <v>0</v>
      </c>
      <c r="Q598" s="11">
        <v>8</v>
      </c>
      <c r="R598" s="11">
        <v>2</v>
      </c>
      <c r="S598" s="11">
        <v>0</v>
      </c>
      <c r="T598" s="11">
        <v>3</v>
      </c>
      <c r="U598" s="11">
        <v>0</v>
      </c>
      <c r="V598" s="11">
        <v>6</v>
      </c>
      <c r="W598" s="11">
        <v>4</v>
      </c>
      <c r="X598" s="11">
        <v>3</v>
      </c>
      <c r="Y598" s="11">
        <v>4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1</v>
      </c>
      <c r="AF598" s="11">
        <v>3</v>
      </c>
    </row>
    <row r="599" spans="1:32">
      <c r="A599" t="s">
        <v>32</v>
      </c>
      <c r="B599">
        <v>2025</v>
      </c>
      <c r="C599" t="str">
        <f t="shared" si="28"/>
        <v>2025-Q1</v>
      </c>
      <c r="D599" t="s">
        <v>38</v>
      </c>
      <c r="E599" t="str">
        <f t="shared" si="27"/>
        <v>South South</v>
      </c>
      <c r="F599" s="10">
        <v>1</v>
      </c>
      <c r="G599" s="10">
        <v>9</v>
      </c>
      <c r="H599" s="10">
        <v>0</v>
      </c>
      <c r="I599" s="10">
        <v>10</v>
      </c>
      <c r="J599" s="10">
        <v>28</v>
      </c>
      <c r="K599" s="10">
        <v>1</v>
      </c>
      <c r="L599" s="10">
        <v>29</v>
      </c>
      <c r="M599" s="10">
        <v>51</v>
      </c>
      <c r="N599" s="6">
        <f t="shared" si="29"/>
        <v>3.4482758620689655E-2</v>
      </c>
      <c r="O599" s="11">
        <v>11</v>
      </c>
      <c r="P599" s="11">
        <v>1</v>
      </c>
      <c r="Q599" s="11">
        <v>2</v>
      </c>
      <c r="R599" s="11">
        <v>1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1</v>
      </c>
      <c r="AE599" s="11">
        <v>0</v>
      </c>
      <c r="AF599" s="11">
        <v>0</v>
      </c>
    </row>
    <row r="600" spans="1:32">
      <c r="A600" t="s">
        <v>32</v>
      </c>
      <c r="B600">
        <v>2025</v>
      </c>
      <c r="C600" t="str">
        <f t="shared" si="28"/>
        <v>2025-Q1</v>
      </c>
      <c r="D600" t="s">
        <v>39</v>
      </c>
      <c r="E600" t="str">
        <f t="shared" si="27"/>
        <v>North Central</v>
      </c>
      <c r="F600" s="10">
        <v>14</v>
      </c>
      <c r="G600" s="10">
        <v>46</v>
      </c>
      <c r="H600" s="10">
        <v>9</v>
      </c>
      <c r="I600" s="10">
        <v>69</v>
      </c>
      <c r="J600" s="10">
        <v>207</v>
      </c>
      <c r="K600" s="10">
        <v>27</v>
      </c>
      <c r="L600" s="10">
        <v>234</v>
      </c>
      <c r="M600" s="10">
        <v>454</v>
      </c>
      <c r="N600" s="6">
        <f t="shared" si="29"/>
        <v>0.11538461538461539</v>
      </c>
      <c r="O600" s="11">
        <v>45</v>
      </c>
      <c r="P600" s="11">
        <v>0</v>
      </c>
      <c r="Q600" s="11">
        <v>4</v>
      </c>
      <c r="R600" s="11">
        <v>0</v>
      </c>
      <c r="S600" s="11">
        <v>3</v>
      </c>
      <c r="T600" s="11">
        <v>1</v>
      </c>
      <c r="U600" s="11">
        <v>0</v>
      </c>
      <c r="V600" s="11">
        <v>6</v>
      </c>
      <c r="W600" s="11">
        <v>10</v>
      </c>
      <c r="X600" s="11">
        <v>0</v>
      </c>
      <c r="Y600" s="11">
        <v>0</v>
      </c>
      <c r="Z600" s="11">
        <v>2</v>
      </c>
      <c r="AA600" s="11">
        <v>0</v>
      </c>
      <c r="AB600" s="11">
        <v>1</v>
      </c>
      <c r="AC600" s="11">
        <v>0</v>
      </c>
      <c r="AD600" s="11">
        <v>0</v>
      </c>
      <c r="AE600" s="11">
        <v>0</v>
      </c>
      <c r="AF600" s="11">
        <v>3</v>
      </c>
    </row>
    <row r="601" spans="1:32">
      <c r="A601" t="s">
        <v>32</v>
      </c>
      <c r="B601">
        <v>2025</v>
      </c>
      <c r="C601" t="str">
        <f t="shared" si="28"/>
        <v>2025-Q1</v>
      </c>
      <c r="D601" t="s">
        <v>40</v>
      </c>
      <c r="E601" t="str">
        <f t="shared" si="27"/>
        <v>North East</v>
      </c>
      <c r="F601" s="10">
        <v>13</v>
      </c>
      <c r="G601" s="10">
        <v>25</v>
      </c>
      <c r="H601" s="10">
        <v>1</v>
      </c>
      <c r="I601" s="10">
        <v>39</v>
      </c>
      <c r="J601" s="10">
        <v>183</v>
      </c>
      <c r="K601" s="10">
        <v>36</v>
      </c>
      <c r="L601" s="10">
        <v>219</v>
      </c>
      <c r="M601" s="10">
        <v>264</v>
      </c>
      <c r="N601" s="6">
        <f t="shared" si="29"/>
        <v>0.16438356164383561</v>
      </c>
      <c r="O601" s="11">
        <v>16</v>
      </c>
      <c r="P601" s="11">
        <v>0</v>
      </c>
      <c r="Q601" s="11">
        <v>4</v>
      </c>
      <c r="R601" s="11">
        <v>0</v>
      </c>
      <c r="S601" s="11">
        <v>0</v>
      </c>
      <c r="T601" s="11">
        <v>2</v>
      </c>
      <c r="U601" s="11">
        <v>3</v>
      </c>
      <c r="V601" s="11">
        <v>3</v>
      </c>
      <c r="W601" s="11">
        <v>2</v>
      </c>
      <c r="X601" s="11">
        <v>0</v>
      </c>
      <c r="Y601" s="11">
        <v>9</v>
      </c>
      <c r="Z601" s="11">
        <v>1</v>
      </c>
      <c r="AA601" s="11">
        <v>0</v>
      </c>
      <c r="AB601" s="11">
        <v>0</v>
      </c>
      <c r="AC601" s="11">
        <v>0</v>
      </c>
      <c r="AD601" s="11">
        <v>0</v>
      </c>
      <c r="AE601" s="11">
        <v>1</v>
      </c>
      <c r="AF601" s="11">
        <v>19</v>
      </c>
    </row>
    <row r="602" spans="1:32">
      <c r="A602" t="s">
        <v>32</v>
      </c>
      <c r="B602">
        <v>2025</v>
      </c>
      <c r="C602" t="str">
        <f t="shared" si="28"/>
        <v>2025-Q1</v>
      </c>
      <c r="D602" t="s">
        <v>41</v>
      </c>
      <c r="E602" t="str">
        <f t="shared" si="27"/>
        <v>South South</v>
      </c>
      <c r="F602" s="10">
        <v>14</v>
      </c>
      <c r="G602" s="10">
        <v>16</v>
      </c>
      <c r="H602" s="10">
        <v>6</v>
      </c>
      <c r="I602" s="10">
        <v>36</v>
      </c>
      <c r="J602" s="10">
        <v>69</v>
      </c>
      <c r="K602" s="10">
        <v>20</v>
      </c>
      <c r="L602" s="10">
        <v>89</v>
      </c>
      <c r="M602" s="10">
        <v>142</v>
      </c>
      <c r="N602" s="6">
        <f t="shared" si="29"/>
        <v>0.2247191011235955</v>
      </c>
      <c r="O602" s="11">
        <v>38</v>
      </c>
      <c r="P602" s="11">
        <v>0</v>
      </c>
      <c r="Q602" s="11">
        <v>0</v>
      </c>
      <c r="R602" s="11">
        <v>0</v>
      </c>
      <c r="S602" s="11">
        <v>5</v>
      </c>
      <c r="T602" s="11">
        <v>1</v>
      </c>
      <c r="U602" s="11">
        <v>0</v>
      </c>
      <c r="V602" s="11">
        <v>3</v>
      </c>
      <c r="W602" s="11">
        <v>1</v>
      </c>
      <c r="X602" s="11">
        <v>0</v>
      </c>
      <c r="Y602" s="11">
        <v>0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</row>
    <row r="603" spans="1:32">
      <c r="A603" t="s">
        <v>32</v>
      </c>
      <c r="B603">
        <v>2025</v>
      </c>
      <c r="C603" t="str">
        <f t="shared" si="28"/>
        <v>2025-Q1</v>
      </c>
      <c r="D603" t="s">
        <v>42</v>
      </c>
      <c r="E603" t="str">
        <f t="shared" si="27"/>
        <v>South South</v>
      </c>
      <c r="F603" s="10">
        <v>7</v>
      </c>
      <c r="G603" s="10">
        <v>26</v>
      </c>
      <c r="H603" s="10">
        <v>3</v>
      </c>
      <c r="I603" s="10">
        <v>36</v>
      </c>
      <c r="J603" s="10">
        <v>111</v>
      </c>
      <c r="K603" s="10">
        <v>29</v>
      </c>
      <c r="L603" s="10">
        <v>140</v>
      </c>
      <c r="M603" s="10">
        <v>289</v>
      </c>
      <c r="N603" s="6">
        <f t="shared" si="29"/>
        <v>0.20714285714285716</v>
      </c>
      <c r="O603" s="11">
        <v>29</v>
      </c>
      <c r="P603" s="11">
        <v>0</v>
      </c>
      <c r="Q603" s="11">
        <v>1</v>
      </c>
      <c r="R603" s="11">
        <v>5</v>
      </c>
      <c r="S603" s="11">
        <v>3</v>
      </c>
      <c r="T603" s="11">
        <v>0</v>
      </c>
      <c r="U603" s="11">
        <v>0</v>
      </c>
      <c r="V603" s="11">
        <v>3</v>
      </c>
      <c r="W603" s="11">
        <v>1</v>
      </c>
      <c r="X603" s="11">
        <v>0</v>
      </c>
      <c r="Y603" s="11">
        <v>2</v>
      </c>
      <c r="Z603" s="11">
        <v>2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</row>
    <row r="604" spans="1:32">
      <c r="A604" t="s">
        <v>32</v>
      </c>
      <c r="B604">
        <v>2025</v>
      </c>
      <c r="C604" t="str">
        <f t="shared" si="28"/>
        <v>2025-Q1</v>
      </c>
      <c r="D604" t="s">
        <v>43</v>
      </c>
      <c r="E604" t="str">
        <f t="shared" si="27"/>
        <v>South East</v>
      </c>
      <c r="F604" s="10">
        <v>4</v>
      </c>
      <c r="G604" s="10">
        <v>13</v>
      </c>
      <c r="H604" s="10">
        <v>4</v>
      </c>
      <c r="I604" s="10">
        <v>21</v>
      </c>
      <c r="J604" s="10">
        <v>34</v>
      </c>
      <c r="K604" s="10">
        <v>5</v>
      </c>
      <c r="L604" s="10">
        <v>39</v>
      </c>
      <c r="M604" s="10">
        <v>125</v>
      </c>
      <c r="N604" s="6">
        <f t="shared" si="29"/>
        <v>0.12820512820512819</v>
      </c>
      <c r="O604" s="11">
        <v>18</v>
      </c>
      <c r="P604" s="11">
        <v>0</v>
      </c>
      <c r="Q604" s="11">
        <v>1</v>
      </c>
      <c r="R604" s="11">
        <v>0</v>
      </c>
      <c r="S604" s="11">
        <v>1</v>
      </c>
      <c r="T604" s="11">
        <v>0</v>
      </c>
      <c r="U604" s="11">
        <v>0</v>
      </c>
      <c r="V604" s="11">
        <v>8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0</v>
      </c>
    </row>
    <row r="605" spans="1:32">
      <c r="A605" t="s">
        <v>32</v>
      </c>
      <c r="B605">
        <v>2025</v>
      </c>
      <c r="C605" t="str">
        <f t="shared" si="28"/>
        <v>2025-Q1</v>
      </c>
      <c r="D605" t="s">
        <v>44</v>
      </c>
      <c r="E605" t="str">
        <f t="shared" si="27"/>
        <v>South South</v>
      </c>
      <c r="F605" s="10">
        <v>12</v>
      </c>
      <c r="G605" s="10">
        <v>31</v>
      </c>
      <c r="H605" s="10">
        <v>10</v>
      </c>
      <c r="I605" s="10">
        <v>53</v>
      </c>
      <c r="J605" s="10">
        <v>159</v>
      </c>
      <c r="K605" s="10">
        <v>47</v>
      </c>
      <c r="L605" s="10">
        <v>206</v>
      </c>
      <c r="M605" s="10">
        <v>396</v>
      </c>
      <c r="N605" s="6">
        <f t="shared" si="29"/>
        <v>0.22815533980582525</v>
      </c>
      <c r="O605" s="11">
        <v>46</v>
      </c>
      <c r="P605" s="11">
        <v>0</v>
      </c>
      <c r="Q605" s="11">
        <v>3</v>
      </c>
      <c r="R605" s="11">
        <v>0</v>
      </c>
      <c r="S605" s="11">
        <v>6</v>
      </c>
      <c r="T605" s="11">
        <v>0</v>
      </c>
      <c r="U605" s="11">
        <v>0</v>
      </c>
      <c r="V605" s="11">
        <v>4</v>
      </c>
      <c r="W605" s="11">
        <v>0</v>
      </c>
      <c r="X605" s="11">
        <v>0</v>
      </c>
      <c r="Y605" s="11">
        <v>6</v>
      </c>
      <c r="Z605" s="11">
        <v>3</v>
      </c>
      <c r="AA605" s="11">
        <v>0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</row>
    <row r="606" spans="1:32">
      <c r="A606" t="s">
        <v>32</v>
      </c>
      <c r="B606">
        <v>2025</v>
      </c>
      <c r="C606" t="str">
        <f t="shared" si="28"/>
        <v>2025-Q1</v>
      </c>
      <c r="D606" t="s">
        <v>45</v>
      </c>
      <c r="E606" t="str">
        <f t="shared" si="27"/>
        <v>South West</v>
      </c>
      <c r="F606" s="10">
        <v>4</v>
      </c>
      <c r="G606" s="10">
        <v>9</v>
      </c>
      <c r="H606" s="10">
        <v>4</v>
      </c>
      <c r="I606" s="10">
        <v>17</v>
      </c>
      <c r="J606" s="10">
        <v>47</v>
      </c>
      <c r="K606" s="10">
        <v>4</v>
      </c>
      <c r="L606" s="10">
        <v>51</v>
      </c>
      <c r="M606" s="10">
        <v>87</v>
      </c>
      <c r="N606" s="6">
        <f t="shared" si="29"/>
        <v>7.8431372549019607E-2</v>
      </c>
      <c r="O606" s="11">
        <v>11</v>
      </c>
      <c r="P606" s="11">
        <v>0</v>
      </c>
      <c r="Q606" s="11">
        <v>1</v>
      </c>
      <c r="R606" s="11">
        <v>3</v>
      </c>
      <c r="S606" s="11">
        <v>0</v>
      </c>
      <c r="T606" s="11">
        <v>0</v>
      </c>
      <c r="U606" s="11">
        <v>0</v>
      </c>
      <c r="V606" s="11">
        <v>1</v>
      </c>
      <c r="W606" s="11">
        <v>1</v>
      </c>
      <c r="X606" s="11">
        <v>0</v>
      </c>
      <c r="Y606" s="11">
        <v>1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3</v>
      </c>
      <c r="AF606" s="11">
        <v>0</v>
      </c>
    </row>
    <row r="607" spans="1:32">
      <c r="A607" t="s">
        <v>32</v>
      </c>
      <c r="B607">
        <v>2025</v>
      </c>
      <c r="C607" t="str">
        <f t="shared" si="28"/>
        <v>2025-Q1</v>
      </c>
      <c r="D607" t="s">
        <v>46</v>
      </c>
      <c r="E607" t="str">
        <f t="shared" si="27"/>
        <v>South East</v>
      </c>
      <c r="F607" s="10">
        <v>22</v>
      </c>
      <c r="G607" s="10">
        <v>37</v>
      </c>
      <c r="H607" s="10">
        <v>13</v>
      </c>
      <c r="I607" s="10">
        <v>72</v>
      </c>
      <c r="J607" s="10">
        <v>209</v>
      </c>
      <c r="K607" s="10">
        <v>49</v>
      </c>
      <c r="L607" s="10">
        <v>258</v>
      </c>
      <c r="M607" s="10">
        <v>587</v>
      </c>
      <c r="N607" s="6">
        <f t="shared" si="29"/>
        <v>0.18992248062015504</v>
      </c>
      <c r="O607" s="11">
        <v>74</v>
      </c>
      <c r="P607" s="11">
        <v>0</v>
      </c>
      <c r="Q607" s="11">
        <v>6</v>
      </c>
      <c r="R607" s="11">
        <v>2</v>
      </c>
      <c r="S607" s="11">
        <v>11</v>
      </c>
      <c r="T607" s="11">
        <v>7</v>
      </c>
      <c r="U607" s="11">
        <v>0</v>
      </c>
      <c r="V607" s="11">
        <v>8</v>
      </c>
      <c r="W607" s="11">
        <v>1</v>
      </c>
      <c r="X607" s="11">
        <v>0</v>
      </c>
      <c r="Y607" s="11">
        <v>4</v>
      </c>
      <c r="Z607" s="11">
        <v>1</v>
      </c>
      <c r="AA607" s="11">
        <v>0</v>
      </c>
      <c r="AB607" s="11">
        <v>0</v>
      </c>
      <c r="AC607" s="11">
        <v>0</v>
      </c>
      <c r="AD607" s="11">
        <v>3</v>
      </c>
      <c r="AE607" s="11">
        <v>0</v>
      </c>
      <c r="AF607" s="11">
        <v>0</v>
      </c>
    </row>
    <row r="608" spans="1:32">
      <c r="A608" t="s">
        <v>32</v>
      </c>
      <c r="B608">
        <v>2025</v>
      </c>
      <c r="C608" t="str">
        <f t="shared" si="28"/>
        <v>2025-Q1</v>
      </c>
      <c r="D608" t="s">
        <v>47</v>
      </c>
      <c r="E608" t="str">
        <f t="shared" si="27"/>
        <v>North Central</v>
      </c>
      <c r="F608" s="10">
        <v>22</v>
      </c>
      <c r="G608" s="10">
        <v>106</v>
      </c>
      <c r="H608" s="10">
        <v>19</v>
      </c>
      <c r="I608" s="10">
        <v>147</v>
      </c>
      <c r="J608" s="10">
        <v>308</v>
      </c>
      <c r="K608" s="10">
        <v>35</v>
      </c>
      <c r="L608" s="10">
        <v>343</v>
      </c>
      <c r="M608" s="10">
        <v>797</v>
      </c>
      <c r="N608" s="6">
        <f t="shared" si="29"/>
        <v>0.10204081632653061</v>
      </c>
      <c r="O608" s="11">
        <v>140</v>
      </c>
      <c r="P608" s="11">
        <v>2</v>
      </c>
      <c r="Q608" s="11">
        <v>6</v>
      </c>
      <c r="R608" s="11">
        <v>7</v>
      </c>
      <c r="S608" s="11">
        <v>4</v>
      </c>
      <c r="T608" s="11">
        <v>1</v>
      </c>
      <c r="U608" s="11">
        <v>5</v>
      </c>
      <c r="V608" s="11">
        <v>5</v>
      </c>
      <c r="W608" s="11">
        <v>4</v>
      </c>
      <c r="X608" s="11">
        <v>0</v>
      </c>
      <c r="Y608" s="11">
        <v>17</v>
      </c>
      <c r="Z608" s="11">
        <v>9</v>
      </c>
      <c r="AA608" s="11">
        <v>0</v>
      </c>
      <c r="AB608" s="11">
        <v>1</v>
      </c>
      <c r="AC608" s="11">
        <v>0</v>
      </c>
      <c r="AD608" s="11">
        <v>0</v>
      </c>
      <c r="AE608" s="11">
        <v>14</v>
      </c>
      <c r="AF608" s="11">
        <v>3</v>
      </c>
    </row>
    <row r="609" spans="1:32">
      <c r="A609" t="s">
        <v>32</v>
      </c>
      <c r="B609">
        <v>2025</v>
      </c>
      <c r="C609" t="str">
        <f t="shared" si="28"/>
        <v>2025-Q1</v>
      </c>
      <c r="D609" t="s">
        <v>48</v>
      </c>
      <c r="E609" t="str">
        <f t="shared" si="27"/>
        <v>North East</v>
      </c>
      <c r="F609" s="10">
        <v>15</v>
      </c>
      <c r="G609" s="10">
        <v>61</v>
      </c>
      <c r="H609" s="10">
        <v>21</v>
      </c>
      <c r="I609" s="10">
        <v>97</v>
      </c>
      <c r="J609" s="10">
        <v>421</v>
      </c>
      <c r="K609" s="10">
        <v>32</v>
      </c>
      <c r="L609" s="10">
        <v>453</v>
      </c>
      <c r="M609" s="10">
        <v>763</v>
      </c>
      <c r="N609" s="6">
        <f t="shared" si="29"/>
        <v>7.0640176600441501E-2</v>
      </c>
      <c r="O609" s="11">
        <v>56</v>
      </c>
      <c r="P609" s="11">
        <v>0</v>
      </c>
      <c r="Q609" s="11">
        <v>19</v>
      </c>
      <c r="R609" s="11">
        <v>0</v>
      </c>
      <c r="S609" s="11">
        <v>6</v>
      </c>
      <c r="T609" s="11">
        <v>1</v>
      </c>
      <c r="U609" s="11">
        <v>0</v>
      </c>
      <c r="V609" s="11">
        <v>2</v>
      </c>
      <c r="W609" s="11">
        <v>11</v>
      </c>
      <c r="X609" s="11">
        <v>1</v>
      </c>
      <c r="Y609" s="11">
        <v>5</v>
      </c>
      <c r="Z609" s="11">
        <v>1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1</v>
      </c>
    </row>
    <row r="610" spans="1:32">
      <c r="A610" t="s">
        <v>32</v>
      </c>
      <c r="B610">
        <v>2025</v>
      </c>
      <c r="C610" t="str">
        <f t="shared" si="28"/>
        <v>2025-Q1</v>
      </c>
      <c r="D610" t="s">
        <v>49</v>
      </c>
      <c r="E610" t="str">
        <f t="shared" si="27"/>
        <v>South East</v>
      </c>
      <c r="F610" s="10">
        <v>8</v>
      </c>
      <c r="G610" s="10">
        <v>18</v>
      </c>
      <c r="H610" s="10">
        <v>3</v>
      </c>
      <c r="I610" s="10">
        <v>29</v>
      </c>
      <c r="J610" s="10">
        <v>124</v>
      </c>
      <c r="K610" s="10">
        <v>21</v>
      </c>
      <c r="L610" s="10">
        <v>145</v>
      </c>
      <c r="M610" s="10">
        <v>264</v>
      </c>
      <c r="N610" s="6">
        <f t="shared" si="29"/>
        <v>0.14482758620689656</v>
      </c>
      <c r="O610" s="11">
        <v>14</v>
      </c>
      <c r="P610" s="11">
        <v>0</v>
      </c>
      <c r="Q610" s="11">
        <v>2</v>
      </c>
      <c r="R610" s="11">
        <v>0</v>
      </c>
      <c r="S610" s="11">
        <v>5</v>
      </c>
      <c r="T610" s="11">
        <v>0</v>
      </c>
      <c r="U610" s="11">
        <v>0</v>
      </c>
      <c r="V610" s="11">
        <v>0</v>
      </c>
      <c r="W610" s="11">
        <v>2</v>
      </c>
      <c r="X610" s="11">
        <v>0</v>
      </c>
      <c r="Y610" s="11">
        <v>1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</row>
    <row r="611" spans="1:32">
      <c r="A611" t="s">
        <v>32</v>
      </c>
      <c r="B611">
        <v>2025</v>
      </c>
      <c r="C611" t="str">
        <f t="shared" si="28"/>
        <v>2025-Q1</v>
      </c>
      <c r="D611" t="s">
        <v>50</v>
      </c>
      <c r="E611" t="str">
        <f t="shared" si="27"/>
        <v>North West</v>
      </c>
      <c r="F611" s="10">
        <v>22</v>
      </c>
      <c r="G611" s="10">
        <v>64</v>
      </c>
      <c r="H611" s="10">
        <v>2</v>
      </c>
      <c r="I611" s="10">
        <v>88</v>
      </c>
      <c r="J611" s="10">
        <v>359</v>
      </c>
      <c r="K611" s="10">
        <v>39</v>
      </c>
      <c r="L611" s="10">
        <v>398</v>
      </c>
      <c r="M611" s="10">
        <v>921</v>
      </c>
      <c r="N611" s="6">
        <f t="shared" si="29"/>
        <v>9.7989949748743713E-2</v>
      </c>
      <c r="O611" s="11">
        <v>85</v>
      </c>
      <c r="P611" s="11">
        <v>0</v>
      </c>
      <c r="Q611" s="11">
        <v>8</v>
      </c>
      <c r="R611" s="11">
        <v>2</v>
      </c>
      <c r="S611" s="11">
        <v>1</v>
      </c>
      <c r="T611" s="11">
        <v>4</v>
      </c>
      <c r="U611" s="11">
        <v>0</v>
      </c>
      <c r="V611" s="11">
        <v>4</v>
      </c>
      <c r="W611" s="11">
        <v>13</v>
      </c>
      <c r="X611" s="11">
        <v>1</v>
      </c>
      <c r="Y611" s="11">
        <v>9</v>
      </c>
      <c r="Z611" s="11">
        <v>6</v>
      </c>
      <c r="AA611" s="11">
        <v>2</v>
      </c>
      <c r="AB611" s="11">
        <v>0</v>
      </c>
      <c r="AC611" s="11">
        <v>0</v>
      </c>
      <c r="AD611" s="11">
        <v>0</v>
      </c>
      <c r="AE611" s="11">
        <v>1</v>
      </c>
      <c r="AF611" s="11">
        <v>5</v>
      </c>
    </row>
    <row r="612" spans="1:32">
      <c r="A612" t="s">
        <v>32</v>
      </c>
      <c r="B612">
        <v>2025</v>
      </c>
      <c r="C612" t="str">
        <f t="shared" si="28"/>
        <v>2025-Q1</v>
      </c>
      <c r="D612" t="s">
        <v>51</v>
      </c>
      <c r="E612" t="str">
        <f t="shared" si="27"/>
        <v>North West</v>
      </c>
      <c r="F612" s="10">
        <v>70</v>
      </c>
      <c r="G612" s="10">
        <v>141</v>
      </c>
      <c r="H612" s="10">
        <v>5</v>
      </c>
      <c r="I612" s="10">
        <v>216</v>
      </c>
      <c r="J612" s="10">
        <v>925</v>
      </c>
      <c r="K612" s="10">
        <v>127</v>
      </c>
      <c r="L612" s="10">
        <v>1052</v>
      </c>
      <c r="M612" s="10">
        <v>2113</v>
      </c>
      <c r="N612" s="6">
        <f t="shared" si="29"/>
        <v>0.12072243346007605</v>
      </c>
      <c r="O612" s="11">
        <v>111</v>
      </c>
      <c r="P612" s="11">
        <v>0</v>
      </c>
      <c r="Q612" s="11">
        <v>28</v>
      </c>
      <c r="R612" s="11">
        <v>5</v>
      </c>
      <c r="S612" s="11">
        <v>6</v>
      </c>
      <c r="T612" s="11">
        <v>4</v>
      </c>
      <c r="U612" s="11">
        <v>4</v>
      </c>
      <c r="V612" s="11">
        <v>15</v>
      </c>
      <c r="W612" s="11">
        <v>17</v>
      </c>
      <c r="X612" s="11">
        <v>3</v>
      </c>
      <c r="Y612" s="11">
        <v>12</v>
      </c>
      <c r="Z612" s="11">
        <v>1</v>
      </c>
      <c r="AA612" s="11">
        <v>0</v>
      </c>
      <c r="AB612" s="11">
        <v>2</v>
      </c>
      <c r="AC612" s="11">
        <v>0</v>
      </c>
      <c r="AD612" s="11">
        <v>12</v>
      </c>
      <c r="AE612" s="11">
        <v>7</v>
      </c>
      <c r="AF612" s="11">
        <v>7</v>
      </c>
    </row>
    <row r="613" spans="1:32">
      <c r="A613" t="s">
        <v>32</v>
      </c>
      <c r="B613">
        <v>2025</v>
      </c>
      <c r="C613" t="str">
        <f t="shared" si="28"/>
        <v>2025-Q1</v>
      </c>
      <c r="D613" t="s">
        <v>52</v>
      </c>
      <c r="E613" t="str">
        <f t="shared" si="27"/>
        <v>North West</v>
      </c>
      <c r="F613" s="10">
        <v>29</v>
      </c>
      <c r="G613" s="10">
        <v>39</v>
      </c>
      <c r="H613" s="10">
        <v>2</v>
      </c>
      <c r="I613" s="10">
        <v>70</v>
      </c>
      <c r="J613" s="10">
        <v>371</v>
      </c>
      <c r="K613" s="10">
        <v>82</v>
      </c>
      <c r="L613" s="10">
        <v>453</v>
      </c>
      <c r="M613" s="10">
        <v>600</v>
      </c>
      <c r="N613" s="6">
        <f t="shared" si="29"/>
        <v>0.18101545253863136</v>
      </c>
      <c r="O613" s="11">
        <v>69</v>
      </c>
      <c r="P613" s="11">
        <v>0</v>
      </c>
      <c r="Q613" s="11">
        <v>3</v>
      </c>
      <c r="R613" s="11">
        <v>1</v>
      </c>
      <c r="S613" s="11">
        <v>0</v>
      </c>
      <c r="T613" s="11">
        <v>4</v>
      </c>
      <c r="U613" s="11">
        <v>0</v>
      </c>
      <c r="V613" s="11">
        <v>2</v>
      </c>
      <c r="W613" s="11">
        <v>4</v>
      </c>
      <c r="X613" s="11">
        <v>0</v>
      </c>
      <c r="Y613" s="11">
        <v>5</v>
      </c>
      <c r="Z613" s="11">
        <v>1</v>
      </c>
      <c r="AA613" s="11">
        <v>0</v>
      </c>
      <c r="AB613" s="11">
        <v>0</v>
      </c>
      <c r="AC613" s="11">
        <v>0</v>
      </c>
      <c r="AD613" s="11">
        <v>0</v>
      </c>
      <c r="AE613" s="11">
        <v>2</v>
      </c>
      <c r="AF613" s="11">
        <v>9</v>
      </c>
    </row>
    <row r="614" spans="1:32">
      <c r="A614" t="s">
        <v>32</v>
      </c>
      <c r="B614">
        <v>2025</v>
      </c>
      <c r="C614" t="str">
        <f t="shared" si="28"/>
        <v>2025-Q1</v>
      </c>
      <c r="D614" t="s">
        <v>53</v>
      </c>
      <c r="E614" t="str">
        <f t="shared" si="27"/>
        <v>North West</v>
      </c>
      <c r="F614" s="10">
        <v>14</v>
      </c>
      <c r="G614" s="10">
        <v>23</v>
      </c>
      <c r="H614" s="10">
        <v>0</v>
      </c>
      <c r="I614" s="10">
        <v>37</v>
      </c>
      <c r="J614" s="10">
        <v>339</v>
      </c>
      <c r="K614" s="10">
        <v>56</v>
      </c>
      <c r="L614" s="10">
        <v>395</v>
      </c>
      <c r="M614" s="10">
        <v>558</v>
      </c>
      <c r="N614" s="6">
        <f t="shared" si="29"/>
        <v>0.14177215189873418</v>
      </c>
      <c r="O614" s="11">
        <v>30</v>
      </c>
      <c r="P614" s="11">
        <v>0</v>
      </c>
      <c r="Q614" s="11">
        <v>5</v>
      </c>
      <c r="R614" s="11">
        <v>1</v>
      </c>
      <c r="S614" s="11">
        <v>1</v>
      </c>
      <c r="T614" s="11">
        <v>2</v>
      </c>
      <c r="U614" s="11">
        <v>0</v>
      </c>
      <c r="V614" s="11">
        <v>3</v>
      </c>
      <c r="W614" s="11">
        <v>2</v>
      </c>
      <c r="X614" s="11">
        <v>0</v>
      </c>
      <c r="Y614" s="11">
        <v>1</v>
      </c>
      <c r="Z614" s="11">
        <v>0</v>
      </c>
      <c r="AA614" s="11">
        <v>2</v>
      </c>
      <c r="AB614" s="11">
        <v>0</v>
      </c>
      <c r="AC614" s="11">
        <v>0</v>
      </c>
      <c r="AD614" s="11">
        <v>0</v>
      </c>
      <c r="AE614" s="11">
        <v>0</v>
      </c>
      <c r="AF614" s="11">
        <v>1</v>
      </c>
    </row>
    <row r="615" spans="1:32">
      <c r="A615" t="s">
        <v>32</v>
      </c>
      <c r="B615">
        <v>2025</v>
      </c>
      <c r="C615" t="str">
        <f t="shared" si="28"/>
        <v>2025-Q1</v>
      </c>
      <c r="D615" t="s">
        <v>54</v>
      </c>
      <c r="E615" t="str">
        <f t="shared" si="27"/>
        <v>North West</v>
      </c>
      <c r="F615" s="10">
        <v>18</v>
      </c>
      <c r="G615" s="10">
        <v>20</v>
      </c>
      <c r="H615" s="10">
        <v>0</v>
      </c>
      <c r="I615" s="10">
        <v>38</v>
      </c>
      <c r="J615" s="10">
        <v>161</v>
      </c>
      <c r="K615" s="10">
        <v>39</v>
      </c>
      <c r="L615" s="10">
        <v>200</v>
      </c>
      <c r="M615" s="10">
        <v>284</v>
      </c>
      <c r="N615" s="6">
        <f t="shared" si="29"/>
        <v>0.19500000000000001</v>
      </c>
      <c r="O615" s="11">
        <v>34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3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</row>
    <row r="616" spans="1:32">
      <c r="A616" t="s">
        <v>32</v>
      </c>
      <c r="B616">
        <v>2025</v>
      </c>
      <c r="C616" t="str">
        <f t="shared" si="28"/>
        <v>2025-Q1</v>
      </c>
      <c r="D616" t="s">
        <v>55</v>
      </c>
      <c r="E616" t="str">
        <f t="shared" si="27"/>
        <v>North Central</v>
      </c>
      <c r="F616" s="10">
        <v>52</v>
      </c>
      <c r="G616" s="10">
        <v>51</v>
      </c>
      <c r="H616" s="10">
        <v>9</v>
      </c>
      <c r="I616" s="10">
        <v>112</v>
      </c>
      <c r="J616" s="10">
        <v>566</v>
      </c>
      <c r="K616" s="10">
        <v>104</v>
      </c>
      <c r="L616" s="10">
        <v>670</v>
      </c>
      <c r="M616" s="10">
        <v>1354</v>
      </c>
      <c r="N616" s="6">
        <f t="shared" si="29"/>
        <v>0.15522388059701492</v>
      </c>
      <c r="O616" s="11">
        <v>23</v>
      </c>
      <c r="P616" s="11">
        <v>0</v>
      </c>
      <c r="Q616" s="11">
        <v>7</v>
      </c>
      <c r="R616" s="11">
        <v>3</v>
      </c>
      <c r="S616" s="11">
        <v>19</v>
      </c>
      <c r="T616" s="11">
        <v>4</v>
      </c>
      <c r="U616" s="11">
        <v>0</v>
      </c>
      <c r="V616" s="11">
        <v>14</v>
      </c>
      <c r="W616" s="11">
        <v>3</v>
      </c>
      <c r="X616" s="11">
        <v>0</v>
      </c>
      <c r="Y616" s="11">
        <v>13</v>
      </c>
      <c r="Z616" s="11">
        <v>1</v>
      </c>
      <c r="AA616" s="11">
        <v>0</v>
      </c>
      <c r="AB616" s="11">
        <v>0</v>
      </c>
      <c r="AC616" s="11">
        <v>0</v>
      </c>
      <c r="AD616" s="11">
        <v>0</v>
      </c>
      <c r="AE616" s="11">
        <v>26</v>
      </c>
      <c r="AF616" s="11">
        <v>1</v>
      </c>
    </row>
    <row r="617" spans="1:32">
      <c r="A617" t="s">
        <v>32</v>
      </c>
      <c r="B617">
        <v>2025</v>
      </c>
      <c r="C617" t="str">
        <f t="shared" si="28"/>
        <v>2025-Q1</v>
      </c>
      <c r="D617" t="s">
        <v>56</v>
      </c>
      <c r="E617" t="str">
        <f t="shared" si="27"/>
        <v>North Central</v>
      </c>
      <c r="F617" s="10">
        <v>25</v>
      </c>
      <c r="G617" s="10">
        <v>39</v>
      </c>
      <c r="H617" s="10">
        <v>3</v>
      </c>
      <c r="I617" s="10">
        <v>67</v>
      </c>
      <c r="J617" s="10">
        <v>294</v>
      </c>
      <c r="K617" s="10">
        <v>83</v>
      </c>
      <c r="L617" s="10">
        <v>377</v>
      </c>
      <c r="M617" s="10">
        <v>582</v>
      </c>
      <c r="N617" s="6">
        <f t="shared" si="29"/>
        <v>0.22015915119363394</v>
      </c>
      <c r="O617" s="11">
        <v>74</v>
      </c>
      <c r="P617" s="11">
        <v>1</v>
      </c>
      <c r="Q617" s="11">
        <v>4</v>
      </c>
      <c r="R617" s="11">
        <v>6</v>
      </c>
      <c r="S617" s="11">
        <v>1</v>
      </c>
      <c r="T617" s="11">
        <v>0</v>
      </c>
      <c r="U617" s="11">
        <v>0</v>
      </c>
      <c r="V617" s="11">
        <v>20</v>
      </c>
      <c r="W617" s="11">
        <v>4</v>
      </c>
      <c r="X617" s="11">
        <v>0</v>
      </c>
      <c r="Y617" s="11">
        <v>0</v>
      </c>
      <c r="Z617" s="11">
        <v>0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1">
        <v>2</v>
      </c>
    </row>
    <row r="618" spans="1:32">
      <c r="A618" t="s">
        <v>32</v>
      </c>
      <c r="B618">
        <v>2025</v>
      </c>
      <c r="C618" t="str">
        <f t="shared" si="28"/>
        <v>2025-Q1</v>
      </c>
      <c r="D618" t="s">
        <v>57</v>
      </c>
      <c r="E618" t="str">
        <f t="shared" si="27"/>
        <v>South West</v>
      </c>
      <c r="F618" s="10">
        <v>30</v>
      </c>
      <c r="G618" s="10">
        <v>85</v>
      </c>
      <c r="H618" s="10">
        <v>38</v>
      </c>
      <c r="I618" s="10">
        <v>153</v>
      </c>
      <c r="J618" s="10">
        <v>254</v>
      </c>
      <c r="K618" s="10">
        <v>36</v>
      </c>
      <c r="L618" s="10">
        <v>290</v>
      </c>
      <c r="M618" s="10">
        <v>768</v>
      </c>
      <c r="N618" s="6">
        <f t="shared" si="29"/>
        <v>0.12413793103448276</v>
      </c>
      <c r="O618" s="11">
        <v>87</v>
      </c>
      <c r="P618" s="11">
        <v>0</v>
      </c>
      <c r="Q618" s="11">
        <v>7</v>
      </c>
      <c r="R618" s="11">
        <v>13</v>
      </c>
      <c r="S618" s="11">
        <v>6</v>
      </c>
      <c r="T618" s="11">
        <v>0</v>
      </c>
      <c r="U618" s="11">
        <v>0</v>
      </c>
      <c r="V618" s="11">
        <v>9</v>
      </c>
      <c r="W618" s="11">
        <v>6</v>
      </c>
      <c r="X618" s="11">
        <v>0</v>
      </c>
      <c r="Y618" s="11">
        <v>14</v>
      </c>
      <c r="Z618" s="11">
        <v>7</v>
      </c>
      <c r="AA618" s="11">
        <v>0</v>
      </c>
      <c r="AB618" s="11">
        <v>3</v>
      </c>
      <c r="AC618" s="11">
        <v>1</v>
      </c>
      <c r="AD618" s="11">
        <v>1</v>
      </c>
      <c r="AE618" s="11">
        <v>0</v>
      </c>
      <c r="AF618" s="11">
        <v>21</v>
      </c>
    </row>
    <row r="619" spans="1:32">
      <c r="A619" t="s">
        <v>32</v>
      </c>
      <c r="B619">
        <v>2025</v>
      </c>
      <c r="C619" t="str">
        <f t="shared" si="28"/>
        <v>2025-Q1</v>
      </c>
      <c r="D619" t="s">
        <v>58</v>
      </c>
      <c r="E619" t="str">
        <f t="shared" si="27"/>
        <v>North Central</v>
      </c>
      <c r="F619" s="10">
        <v>31</v>
      </c>
      <c r="G619" s="10">
        <v>125</v>
      </c>
      <c r="H619" s="10">
        <v>1</v>
      </c>
      <c r="I619" s="10">
        <v>157</v>
      </c>
      <c r="J619" s="10">
        <v>462</v>
      </c>
      <c r="K619" s="10">
        <v>64</v>
      </c>
      <c r="L619" s="10">
        <v>526</v>
      </c>
      <c r="M619" s="10">
        <v>878</v>
      </c>
      <c r="N619" s="6">
        <f t="shared" si="29"/>
        <v>0.12167300380228137</v>
      </c>
      <c r="O619" s="11">
        <v>113</v>
      </c>
      <c r="P619" s="11">
        <v>0</v>
      </c>
      <c r="Q619" s="11">
        <v>5</v>
      </c>
      <c r="R619" s="11">
        <v>1</v>
      </c>
      <c r="S619" s="11">
        <v>5</v>
      </c>
      <c r="T619" s="11">
        <v>3</v>
      </c>
      <c r="U619" s="11">
        <v>0</v>
      </c>
      <c r="V619" s="11">
        <v>9</v>
      </c>
      <c r="W619" s="11">
        <v>14</v>
      </c>
      <c r="X619" s="11">
        <v>1</v>
      </c>
      <c r="Y619" s="11">
        <v>27</v>
      </c>
      <c r="Z619" s="11">
        <v>0</v>
      </c>
      <c r="AA619" s="11">
        <v>0</v>
      </c>
      <c r="AB619" s="11">
        <v>1</v>
      </c>
      <c r="AC619" s="11">
        <v>0</v>
      </c>
      <c r="AD619" s="11">
        <v>1</v>
      </c>
      <c r="AE619" s="11">
        <v>18</v>
      </c>
      <c r="AF619" s="11">
        <v>25</v>
      </c>
    </row>
    <row r="620" spans="1:32">
      <c r="A620" t="s">
        <v>32</v>
      </c>
      <c r="B620">
        <v>2025</v>
      </c>
      <c r="C620" t="str">
        <f t="shared" si="28"/>
        <v>2025-Q1</v>
      </c>
      <c r="D620" t="s">
        <v>59</v>
      </c>
      <c r="E620" t="str">
        <f t="shared" si="27"/>
        <v>North Central</v>
      </c>
      <c r="F620" s="10">
        <v>42</v>
      </c>
      <c r="G620" s="10">
        <v>86</v>
      </c>
      <c r="H620" s="10">
        <v>6</v>
      </c>
      <c r="I620" s="10">
        <v>134</v>
      </c>
      <c r="J620" s="10">
        <v>786</v>
      </c>
      <c r="K620" s="10">
        <v>164</v>
      </c>
      <c r="L620" s="10">
        <v>950</v>
      </c>
      <c r="M620" s="10">
        <v>1589</v>
      </c>
      <c r="N620" s="6">
        <f t="shared" si="29"/>
        <v>0.17263157894736841</v>
      </c>
      <c r="O620" s="11">
        <v>152</v>
      </c>
      <c r="P620" s="11">
        <v>0</v>
      </c>
      <c r="Q620" s="11">
        <v>5</v>
      </c>
      <c r="R620" s="11">
        <v>3</v>
      </c>
      <c r="S620" s="11">
        <v>4</v>
      </c>
      <c r="T620" s="11">
        <v>1</v>
      </c>
      <c r="U620" s="11">
        <v>0</v>
      </c>
      <c r="V620" s="11">
        <v>14</v>
      </c>
      <c r="W620" s="11">
        <v>2</v>
      </c>
      <c r="X620" s="11">
        <v>2</v>
      </c>
      <c r="Y620" s="11">
        <v>1</v>
      </c>
      <c r="Z620" s="11">
        <v>0</v>
      </c>
      <c r="AA620" s="11">
        <v>1</v>
      </c>
      <c r="AB620" s="11">
        <v>0</v>
      </c>
      <c r="AC620" s="11">
        <v>0</v>
      </c>
      <c r="AD620" s="11">
        <v>3</v>
      </c>
      <c r="AE620" s="11">
        <v>2</v>
      </c>
      <c r="AF620" s="11">
        <v>0</v>
      </c>
    </row>
    <row r="621" spans="1:32">
      <c r="A621" t="s">
        <v>32</v>
      </c>
      <c r="B621">
        <v>2025</v>
      </c>
      <c r="C621" t="str">
        <f t="shared" si="28"/>
        <v>2025-Q1</v>
      </c>
      <c r="D621" t="s">
        <v>60</v>
      </c>
      <c r="E621" t="str">
        <f t="shared" si="27"/>
        <v>South West</v>
      </c>
      <c r="F621" s="10">
        <v>57</v>
      </c>
      <c r="G621" s="10">
        <v>128</v>
      </c>
      <c r="H621" s="10">
        <v>43</v>
      </c>
      <c r="I621" s="10">
        <v>228</v>
      </c>
      <c r="J621" s="10">
        <v>486</v>
      </c>
      <c r="K621" s="10">
        <v>95</v>
      </c>
      <c r="L621" s="10">
        <v>581</v>
      </c>
      <c r="M621" s="10">
        <v>1555</v>
      </c>
      <c r="N621" s="6">
        <f t="shared" si="29"/>
        <v>0.16351118760757316</v>
      </c>
      <c r="O621" s="11">
        <v>300</v>
      </c>
      <c r="P621" s="11">
        <v>1</v>
      </c>
      <c r="Q621" s="11">
        <v>44</v>
      </c>
      <c r="R621" s="11">
        <v>4</v>
      </c>
      <c r="S621" s="11">
        <v>16</v>
      </c>
      <c r="T621" s="11">
        <v>5</v>
      </c>
      <c r="U621" s="11">
        <v>0</v>
      </c>
      <c r="V621" s="11">
        <v>15</v>
      </c>
      <c r="W621" s="11">
        <v>22</v>
      </c>
      <c r="X621" s="11">
        <v>0</v>
      </c>
      <c r="Y621" s="11">
        <v>11</v>
      </c>
      <c r="Z621" s="11">
        <v>1</v>
      </c>
      <c r="AA621" s="11">
        <v>2</v>
      </c>
      <c r="AB621" s="11">
        <v>0</v>
      </c>
      <c r="AC621" s="11">
        <v>0</v>
      </c>
      <c r="AD621" s="11">
        <v>2</v>
      </c>
      <c r="AE621" s="11">
        <v>1</v>
      </c>
      <c r="AF621" s="11">
        <v>4</v>
      </c>
    </row>
    <row r="622" spans="1:32">
      <c r="A622" t="s">
        <v>32</v>
      </c>
      <c r="B622">
        <v>2025</v>
      </c>
      <c r="C622" t="str">
        <f t="shared" si="28"/>
        <v>2025-Q1</v>
      </c>
      <c r="D622" t="s">
        <v>61</v>
      </c>
      <c r="E622" t="str">
        <f t="shared" si="27"/>
        <v>South West</v>
      </c>
      <c r="F622" s="10">
        <v>18</v>
      </c>
      <c r="G622" s="10">
        <v>79</v>
      </c>
      <c r="H622" s="10">
        <v>3</v>
      </c>
      <c r="I622" s="10">
        <v>100</v>
      </c>
      <c r="J622" s="10">
        <v>240</v>
      </c>
      <c r="K622" s="10">
        <v>52</v>
      </c>
      <c r="L622" s="10">
        <v>292</v>
      </c>
      <c r="M622" s="10">
        <v>603</v>
      </c>
      <c r="N622" s="6">
        <f t="shared" si="29"/>
        <v>0.17808219178082191</v>
      </c>
      <c r="O622" s="11">
        <v>159</v>
      </c>
      <c r="P622" s="11">
        <v>0</v>
      </c>
      <c r="Q622" s="11">
        <v>3</v>
      </c>
      <c r="R622" s="11">
        <v>0</v>
      </c>
      <c r="S622" s="11">
        <v>2</v>
      </c>
      <c r="T622" s="11">
        <v>0</v>
      </c>
      <c r="U622" s="11">
        <v>0</v>
      </c>
      <c r="V622" s="11">
        <v>5</v>
      </c>
      <c r="W622" s="11">
        <v>3</v>
      </c>
      <c r="X622" s="11">
        <v>0</v>
      </c>
      <c r="Y622" s="11">
        <v>4</v>
      </c>
      <c r="Z622" s="11">
        <v>0</v>
      </c>
      <c r="AA622" s="11">
        <v>0</v>
      </c>
      <c r="AB622" s="11">
        <v>1</v>
      </c>
      <c r="AC622" s="11">
        <v>0</v>
      </c>
      <c r="AD622" s="11">
        <v>0</v>
      </c>
      <c r="AE622" s="11">
        <v>2</v>
      </c>
      <c r="AF622" s="11">
        <v>0</v>
      </c>
    </row>
    <row r="623" spans="1:32">
      <c r="A623" t="s">
        <v>32</v>
      </c>
      <c r="B623">
        <v>2025</v>
      </c>
      <c r="C623" t="str">
        <f t="shared" si="28"/>
        <v>2025-Q1</v>
      </c>
      <c r="D623" t="s">
        <v>62</v>
      </c>
      <c r="E623" t="str">
        <f t="shared" si="27"/>
        <v>South West</v>
      </c>
      <c r="F623" s="10">
        <v>20</v>
      </c>
      <c r="G623" s="10">
        <v>51</v>
      </c>
      <c r="H623" s="10">
        <v>2</v>
      </c>
      <c r="I623" s="10">
        <v>73</v>
      </c>
      <c r="J623" s="10">
        <v>194</v>
      </c>
      <c r="K623" s="10">
        <v>32</v>
      </c>
      <c r="L623" s="10">
        <v>226</v>
      </c>
      <c r="M623" s="10">
        <v>682</v>
      </c>
      <c r="N623" s="6">
        <f t="shared" si="29"/>
        <v>0.1415929203539823</v>
      </c>
      <c r="O623" s="11">
        <v>144</v>
      </c>
      <c r="P623" s="11">
        <v>0</v>
      </c>
      <c r="Q623" s="11">
        <v>5</v>
      </c>
      <c r="R623" s="11">
        <v>4</v>
      </c>
      <c r="S623" s="11">
        <v>4</v>
      </c>
      <c r="T623" s="11">
        <v>1</v>
      </c>
      <c r="U623" s="11">
        <v>0</v>
      </c>
      <c r="V623" s="11">
        <v>6</v>
      </c>
      <c r="W623" s="11">
        <v>7</v>
      </c>
      <c r="X623" s="11">
        <v>0</v>
      </c>
      <c r="Y623" s="11">
        <v>13</v>
      </c>
      <c r="Z623" s="11">
        <v>1</v>
      </c>
      <c r="AA623" s="11">
        <v>0</v>
      </c>
      <c r="AB623" s="11">
        <v>1</v>
      </c>
      <c r="AC623" s="11">
        <v>0</v>
      </c>
      <c r="AD623" s="11">
        <v>1</v>
      </c>
      <c r="AE623" s="11">
        <v>0</v>
      </c>
      <c r="AF623" s="11">
        <v>0</v>
      </c>
    </row>
    <row r="624" spans="1:32">
      <c r="A624" t="s">
        <v>32</v>
      </c>
      <c r="B624">
        <v>2025</v>
      </c>
      <c r="C624" t="str">
        <f t="shared" si="28"/>
        <v>2025-Q1</v>
      </c>
      <c r="D624" t="s">
        <v>63</v>
      </c>
      <c r="E624" t="str">
        <f t="shared" si="27"/>
        <v>South West</v>
      </c>
      <c r="F624" s="10">
        <v>46</v>
      </c>
      <c r="G624" s="10">
        <v>91</v>
      </c>
      <c r="H624" s="10">
        <v>14</v>
      </c>
      <c r="I624" s="10">
        <v>151</v>
      </c>
      <c r="J624" s="10">
        <v>412</v>
      </c>
      <c r="K624" s="10">
        <v>78</v>
      </c>
      <c r="L624" s="10">
        <v>490</v>
      </c>
      <c r="M624" s="10">
        <v>1026</v>
      </c>
      <c r="N624" s="6">
        <f t="shared" si="29"/>
        <v>0.15918367346938775</v>
      </c>
      <c r="O624" s="11">
        <v>181</v>
      </c>
      <c r="P624" s="11">
        <v>0</v>
      </c>
      <c r="Q624" s="11">
        <v>3</v>
      </c>
      <c r="R624" s="11">
        <v>4</v>
      </c>
      <c r="S624" s="11">
        <v>23</v>
      </c>
      <c r="T624" s="11">
        <v>2</v>
      </c>
      <c r="U624" s="11">
        <v>3</v>
      </c>
      <c r="V624" s="11">
        <v>9</v>
      </c>
      <c r="W624" s="11">
        <v>9</v>
      </c>
      <c r="X624" s="11">
        <v>5</v>
      </c>
      <c r="Y624" s="11">
        <v>11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  <c r="AE624" s="11">
        <v>3</v>
      </c>
      <c r="AF624" s="11">
        <v>0</v>
      </c>
    </row>
    <row r="625" spans="1:32">
      <c r="A625" t="s">
        <v>32</v>
      </c>
      <c r="B625">
        <v>2025</v>
      </c>
      <c r="C625" t="str">
        <f t="shared" si="28"/>
        <v>2025-Q1</v>
      </c>
      <c r="D625" t="s">
        <v>64</v>
      </c>
      <c r="E625" t="str">
        <f t="shared" si="27"/>
        <v>North Central</v>
      </c>
      <c r="F625" s="10">
        <v>7</v>
      </c>
      <c r="G625" s="10">
        <v>100</v>
      </c>
      <c r="H625" s="10">
        <v>10</v>
      </c>
      <c r="I625" s="10">
        <v>117</v>
      </c>
      <c r="J625" s="10">
        <v>307</v>
      </c>
      <c r="K625" s="10">
        <v>11</v>
      </c>
      <c r="L625" s="10">
        <v>318</v>
      </c>
      <c r="M625" s="10">
        <v>596</v>
      </c>
      <c r="N625" s="6">
        <f t="shared" si="29"/>
        <v>3.4591194968553458E-2</v>
      </c>
      <c r="O625" s="11">
        <v>68</v>
      </c>
      <c r="P625" s="11">
        <v>2</v>
      </c>
      <c r="Q625" s="11">
        <v>3</v>
      </c>
      <c r="R625" s="11">
        <v>5</v>
      </c>
      <c r="S625" s="11">
        <v>33</v>
      </c>
      <c r="T625" s="11">
        <v>1</v>
      </c>
      <c r="U625" s="11">
        <v>0</v>
      </c>
      <c r="V625" s="11">
        <v>13</v>
      </c>
      <c r="W625" s="11">
        <v>11</v>
      </c>
      <c r="X625" s="11">
        <v>0</v>
      </c>
      <c r="Y625" s="11">
        <v>3</v>
      </c>
      <c r="Z625" s="11">
        <v>2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8</v>
      </c>
    </row>
    <row r="626" spans="1:32">
      <c r="A626" t="s">
        <v>32</v>
      </c>
      <c r="B626">
        <v>2025</v>
      </c>
      <c r="C626" t="str">
        <f t="shared" si="28"/>
        <v>2025-Q1</v>
      </c>
      <c r="D626" t="s">
        <v>65</v>
      </c>
      <c r="E626" t="str">
        <f t="shared" si="27"/>
        <v>South South</v>
      </c>
      <c r="F626" s="10">
        <v>3</v>
      </c>
      <c r="G626" s="10">
        <v>2</v>
      </c>
      <c r="H626" s="10">
        <v>2</v>
      </c>
      <c r="I626" s="10">
        <v>7</v>
      </c>
      <c r="J626" s="10">
        <v>3</v>
      </c>
      <c r="K626" s="10">
        <v>4</v>
      </c>
      <c r="L626" s="10">
        <v>7</v>
      </c>
      <c r="M626" s="10">
        <v>19</v>
      </c>
      <c r="N626" s="6">
        <f t="shared" si="29"/>
        <v>0.5714285714285714</v>
      </c>
      <c r="O626" s="11">
        <v>6</v>
      </c>
      <c r="P626" s="11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1</v>
      </c>
      <c r="AA626" s="11">
        <v>0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</row>
    <row r="627" spans="1:32">
      <c r="A627" t="s">
        <v>32</v>
      </c>
      <c r="B627">
        <v>2025</v>
      </c>
      <c r="C627" t="str">
        <f t="shared" si="28"/>
        <v>2025-Q1</v>
      </c>
      <c r="D627" t="s">
        <v>66</v>
      </c>
      <c r="E627" t="str">
        <f t="shared" si="27"/>
        <v>North West</v>
      </c>
      <c r="F627" s="10">
        <v>11</v>
      </c>
      <c r="G627" s="10">
        <v>7</v>
      </c>
      <c r="H627" s="10">
        <v>0</v>
      </c>
      <c r="I627" s="10">
        <v>18</v>
      </c>
      <c r="J627" s="10">
        <v>76</v>
      </c>
      <c r="K627" s="10">
        <v>20</v>
      </c>
      <c r="L627" s="10">
        <v>96</v>
      </c>
      <c r="M627" s="10">
        <v>121</v>
      </c>
      <c r="N627" s="6">
        <f t="shared" si="29"/>
        <v>0.20833333333333334</v>
      </c>
      <c r="O627" s="11">
        <v>19</v>
      </c>
      <c r="P627" s="11">
        <v>0</v>
      </c>
      <c r="Q627" s="11">
        <v>0</v>
      </c>
      <c r="R627" s="11">
        <v>2</v>
      </c>
      <c r="S627" s="11">
        <v>0</v>
      </c>
      <c r="T627" s="11">
        <v>0</v>
      </c>
      <c r="U627" s="11">
        <v>0</v>
      </c>
      <c r="V627" s="11">
        <v>2</v>
      </c>
      <c r="W627" s="11">
        <v>0</v>
      </c>
      <c r="X627" s="11">
        <v>0</v>
      </c>
      <c r="Y627" s="11">
        <v>3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  <c r="AE627" s="11">
        <v>0</v>
      </c>
      <c r="AF627" s="11">
        <v>0</v>
      </c>
    </row>
    <row r="628" spans="1:32">
      <c r="A628" t="s">
        <v>32</v>
      </c>
      <c r="B628">
        <v>2025</v>
      </c>
      <c r="C628" t="str">
        <f t="shared" si="28"/>
        <v>2025-Q1</v>
      </c>
      <c r="D628" t="s">
        <v>67</v>
      </c>
      <c r="E628" t="str">
        <f t="shared" si="27"/>
        <v>North East</v>
      </c>
      <c r="F628" s="10">
        <v>3</v>
      </c>
      <c r="G628" s="10">
        <v>11</v>
      </c>
      <c r="H628" s="10">
        <v>0</v>
      </c>
      <c r="I628" s="10">
        <v>14</v>
      </c>
      <c r="J628" s="10">
        <v>59</v>
      </c>
      <c r="K628" s="10">
        <v>14</v>
      </c>
      <c r="L628" s="10">
        <v>73</v>
      </c>
      <c r="M628" s="10">
        <v>90</v>
      </c>
      <c r="N628" s="6">
        <f t="shared" si="29"/>
        <v>0.19178082191780821</v>
      </c>
      <c r="O628" s="11">
        <v>12</v>
      </c>
      <c r="P628" s="11">
        <v>0</v>
      </c>
      <c r="Q628" s="11">
        <v>2</v>
      </c>
      <c r="R628" s="11">
        <v>0</v>
      </c>
      <c r="S628" s="11">
        <v>1</v>
      </c>
      <c r="T628" s="11">
        <v>0</v>
      </c>
      <c r="U628" s="11">
        <v>1</v>
      </c>
      <c r="V628" s="11">
        <v>0</v>
      </c>
      <c r="W628" s="11">
        <v>0</v>
      </c>
      <c r="X628" s="11">
        <v>0</v>
      </c>
      <c r="Y628" s="11">
        <v>1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</row>
    <row r="629" spans="1:32">
      <c r="A629" t="s">
        <v>32</v>
      </c>
      <c r="B629">
        <v>2025</v>
      </c>
      <c r="C629" t="str">
        <f t="shared" si="28"/>
        <v>2025-Q1</v>
      </c>
      <c r="D629" t="s">
        <v>68</v>
      </c>
      <c r="E629" t="str">
        <f t="shared" si="27"/>
        <v>North East</v>
      </c>
      <c r="F629" s="10">
        <v>16</v>
      </c>
      <c r="G629" s="10">
        <v>32</v>
      </c>
      <c r="H629" s="10">
        <v>1</v>
      </c>
      <c r="I629" s="10">
        <v>49</v>
      </c>
      <c r="J629" s="10">
        <v>269</v>
      </c>
      <c r="K629" s="10">
        <v>49</v>
      </c>
      <c r="L629" s="10">
        <v>318</v>
      </c>
      <c r="M629" s="10">
        <v>456</v>
      </c>
      <c r="N629" s="6">
        <f t="shared" si="29"/>
        <v>0.1540880503144654</v>
      </c>
      <c r="O629" s="11">
        <v>56</v>
      </c>
      <c r="P629" s="11">
        <v>0</v>
      </c>
      <c r="Q629" s="11">
        <v>9</v>
      </c>
      <c r="R629" s="11">
        <v>1</v>
      </c>
      <c r="S629" s="11">
        <v>0</v>
      </c>
      <c r="T629" s="11">
        <v>1</v>
      </c>
      <c r="U629" s="11">
        <v>0</v>
      </c>
      <c r="V629" s="11">
        <v>4</v>
      </c>
      <c r="W629" s="11">
        <v>2</v>
      </c>
      <c r="X629" s="11">
        <v>0</v>
      </c>
      <c r="Y629" s="11">
        <v>1</v>
      </c>
      <c r="Z629" s="11">
        <v>0</v>
      </c>
      <c r="AA629" s="11">
        <v>0</v>
      </c>
      <c r="AB629" s="11">
        <v>0</v>
      </c>
      <c r="AC629" s="11">
        <v>0</v>
      </c>
      <c r="AD629" s="11">
        <v>0</v>
      </c>
      <c r="AE629" s="11">
        <v>0</v>
      </c>
      <c r="AF629" s="11">
        <v>0</v>
      </c>
    </row>
    <row r="630" spans="1:32">
      <c r="A630" t="s">
        <v>32</v>
      </c>
      <c r="B630">
        <v>2025</v>
      </c>
      <c r="C630" t="str">
        <f t="shared" si="28"/>
        <v>2025-Q1</v>
      </c>
      <c r="D630" t="s">
        <v>69</v>
      </c>
      <c r="E630" t="str">
        <f t="shared" si="27"/>
        <v>North West</v>
      </c>
      <c r="F630" s="10">
        <v>11</v>
      </c>
      <c r="G630" s="10">
        <v>17</v>
      </c>
      <c r="H630" s="10">
        <v>2</v>
      </c>
      <c r="I630" s="10">
        <v>30</v>
      </c>
      <c r="J630" s="10">
        <v>186</v>
      </c>
      <c r="K630" s="10">
        <v>51</v>
      </c>
      <c r="L630" s="10">
        <v>237</v>
      </c>
      <c r="M630" s="10">
        <v>359</v>
      </c>
      <c r="N630" s="6">
        <f t="shared" si="29"/>
        <v>0.21518987341772153</v>
      </c>
      <c r="O630" s="11">
        <v>45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8</v>
      </c>
      <c r="W630" s="11">
        <v>0</v>
      </c>
      <c r="X630" s="11">
        <v>0</v>
      </c>
      <c r="Y630" s="11">
        <v>1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0</v>
      </c>
      <c r="AF630" s="11">
        <v>2</v>
      </c>
    </row>
    <row r="631" spans="1:32">
      <c r="A631" t="s">
        <v>70</v>
      </c>
      <c r="B631">
        <v>2025</v>
      </c>
      <c r="C631" t="str">
        <f t="shared" si="28"/>
        <v>2025-Q2</v>
      </c>
      <c r="D631" t="s">
        <v>33</v>
      </c>
      <c r="E631" t="str">
        <f t="shared" si="27"/>
        <v>South East</v>
      </c>
      <c r="F631" s="10">
        <v>4</v>
      </c>
      <c r="G631" s="10">
        <v>9</v>
      </c>
      <c r="H631" s="10">
        <v>0</v>
      </c>
      <c r="I631" s="10">
        <v>13</v>
      </c>
      <c r="J631" s="10">
        <v>89</v>
      </c>
      <c r="K631" s="10">
        <v>7</v>
      </c>
      <c r="L631" s="10">
        <v>96</v>
      </c>
      <c r="M631" s="10">
        <v>127</v>
      </c>
      <c r="N631" s="6">
        <f t="shared" si="29"/>
        <v>7.2916666666666671E-2</v>
      </c>
      <c r="O631" s="11">
        <v>5</v>
      </c>
      <c r="P631" s="11">
        <v>0</v>
      </c>
      <c r="Q631" s="11">
        <v>3</v>
      </c>
      <c r="R631" s="11">
        <v>0</v>
      </c>
      <c r="S631" s="11">
        <v>1</v>
      </c>
      <c r="T631" s="11">
        <v>1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  <c r="AE631" s="11">
        <v>0</v>
      </c>
      <c r="AF631" s="11">
        <v>0</v>
      </c>
    </row>
    <row r="632" spans="1:32">
      <c r="A632" t="s">
        <v>70</v>
      </c>
      <c r="B632">
        <v>2025</v>
      </c>
      <c r="C632" t="str">
        <f t="shared" si="28"/>
        <v>2025-Q2</v>
      </c>
      <c r="D632" t="s">
        <v>34</v>
      </c>
      <c r="E632" t="str">
        <f t="shared" si="27"/>
        <v>North East</v>
      </c>
      <c r="F632" s="10">
        <v>7</v>
      </c>
      <c r="G632" s="10">
        <v>46</v>
      </c>
      <c r="H632" s="10">
        <v>2</v>
      </c>
      <c r="I632" s="10">
        <v>55</v>
      </c>
      <c r="J632" s="10">
        <v>162</v>
      </c>
      <c r="K632" s="10">
        <v>8</v>
      </c>
      <c r="L632" s="10">
        <v>170</v>
      </c>
      <c r="M632" s="10">
        <v>373</v>
      </c>
      <c r="N632" s="6">
        <f t="shared" si="29"/>
        <v>4.7058823529411764E-2</v>
      </c>
      <c r="O632" s="11">
        <v>37</v>
      </c>
      <c r="P632" s="11">
        <v>0</v>
      </c>
      <c r="Q632" s="11">
        <v>4</v>
      </c>
      <c r="R632" s="11">
        <v>1</v>
      </c>
      <c r="S632" s="11">
        <v>0</v>
      </c>
      <c r="T632" s="11">
        <v>2</v>
      </c>
      <c r="U632" s="11">
        <v>0</v>
      </c>
      <c r="V632" s="11">
        <v>5</v>
      </c>
      <c r="W632" s="11">
        <v>4</v>
      </c>
      <c r="X632" s="11">
        <v>0</v>
      </c>
      <c r="Y632" s="11">
        <v>1</v>
      </c>
      <c r="Z632" s="11">
        <v>2</v>
      </c>
      <c r="AA632" s="11">
        <v>0</v>
      </c>
      <c r="AB632" s="11">
        <v>0</v>
      </c>
      <c r="AC632" s="11">
        <v>1</v>
      </c>
      <c r="AD632" s="11">
        <v>0</v>
      </c>
      <c r="AE632" s="11">
        <v>6</v>
      </c>
      <c r="AF632" s="11">
        <v>8</v>
      </c>
    </row>
    <row r="633" spans="1:32">
      <c r="A633" t="s">
        <v>70</v>
      </c>
      <c r="B633">
        <v>2025</v>
      </c>
      <c r="C633" t="str">
        <f t="shared" si="28"/>
        <v>2025-Q2</v>
      </c>
      <c r="D633" t="s">
        <v>35</v>
      </c>
      <c r="E633" t="str">
        <f t="shared" si="27"/>
        <v>South South</v>
      </c>
      <c r="F633" s="10">
        <v>6</v>
      </c>
      <c r="G633" s="10">
        <v>5</v>
      </c>
      <c r="H633" s="10">
        <v>1</v>
      </c>
      <c r="I633" s="10">
        <v>12</v>
      </c>
      <c r="J633" s="10">
        <v>29</v>
      </c>
      <c r="K633" s="10">
        <v>13</v>
      </c>
      <c r="L633" s="10">
        <v>42</v>
      </c>
      <c r="M633" s="10">
        <v>69</v>
      </c>
      <c r="N633" s="6">
        <f t="shared" si="29"/>
        <v>0.30952380952380953</v>
      </c>
      <c r="O633" s="11">
        <v>13</v>
      </c>
      <c r="P633" s="11">
        <v>0</v>
      </c>
      <c r="Q633" s="11">
        <v>1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1</v>
      </c>
      <c r="X633" s="11">
        <v>0</v>
      </c>
      <c r="Y633" s="11">
        <v>0</v>
      </c>
      <c r="Z633" s="11">
        <v>1</v>
      </c>
      <c r="AA633" s="11">
        <v>0</v>
      </c>
      <c r="AB633" s="11">
        <v>0</v>
      </c>
      <c r="AC633" s="11">
        <v>0</v>
      </c>
      <c r="AD633" s="11">
        <v>0</v>
      </c>
      <c r="AE633" s="11">
        <v>0</v>
      </c>
      <c r="AF633" s="11">
        <v>0</v>
      </c>
    </row>
    <row r="634" spans="1:32">
      <c r="A634" t="s">
        <v>70</v>
      </c>
      <c r="B634">
        <v>2025</v>
      </c>
      <c r="C634" t="str">
        <f t="shared" si="28"/>
        <v>2025-Q2</v>
      </c>
      <c r="D634" t="s">
        <v>36</v>
      </c>
      <c r="E634" t="str">
        <f t="shared" si="27"/>
        <v>South East</v>
      </c>
      <c r="F634" s="10">
        <v>8</v>
      </c>
      <c r="G634" s="10">
        <v>16</v>
      </c>
      <c r="H634" s="10">
        <v>4</v>
      </c>
      <c r="I634" s="10">
        <v>28</v>
      </c>
      <c r="J634" s="10">
        <v>82</v>
      </c>
      <c r="K634" s="10">
        <v>16</v>
      </c>
      <c r="L634" s="10">
        <v>98</v>
      </c>
      <c r="M634" s="10">
        <v>247</v>
      </c>
      <c r="N634" s="6">
        <f t="shared" si="29"/>
        <v>0.16326530612244897</v>
      </c>
      <c r="O634" s="11">
        <v>21</v>
      </c>
      <c r="P634" s="11">
        <v>0</v>
      </c>
      <c r="Q634" s="11">
        <v>5</v>
      </c>
      <c r="R634" s="11">
        <v>1</v>
      </c>
      <c r="S634" s="11">
        <v>3</v>
      </c>
      <c r="T634" s="11">
        <v>1</v>
      </c>
      <c r="U634" s="11">
        <v>0</v>
      </c>
      <c r="V634" s="11">
        <v>3</v>
      </c>
      <c r="W634" s="11">
        <v>0</v>
      </c>
      <c r="X634" s="11">
        <v>0</v>
      </c>
      <c r="Y634" s="11">
        <v>1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0</v>
      </c>
    </row>
    <row r="635" spans="1:32">
      <c r="A635" t="s">
        <v>70</v>
      </c>
      <c r="B635">
        <v>2025</v>
      </c>
      <c r="C635" t="str">
        <f t="shared" si="28"/>
        <v>2025-Q2</v>
      </c>
      <c r="D635" t="s">
        <v>37</v>
      </c>
      <c r="E635" t="str">
        <f t="shared" si="27"/>
        <v>North East</v>
      </c>
      <c r="F635" s="10">
        <v>23</v>
      </c>
      <c r="G635" s="10">
        <v>60</v>
      </c>
      <c r="H635" s="10">
        <v>5</v>
      </c>
      <c r="I635" s="10">
        <v>88</v>
      </c>
      <c r="J635" s="10">
        <v>402</v>
      </c>
      <c r="K635" s="10">
        <v>58</v>
      </c>
      <c r="L635" s="10">
        <v>460</v>
      </c>
      <c r="M635" s="10">
        <v>686</v>
      </c>
      <c r="N635" s="6">
        <f t="shared" si="29"/>
        <v>0.12608695652173912</v>
      </c>
      <c r="O635" s="11">
        <v>53</v>
      </c>
      <c r="P635" s="11">
        <v>0</v>
      </c>
      <c r="Q635" s="11">
        <v>6</v>
      </c>
      <c r="R635" s="11">
        <v>2</v>
      </c>
      <c r="S635" s="11">
        <v>0</v>
      </c>
      <c r="T635" s="11">
        <v>2</v>
      </c>
      <c r="U635" s="11">
        <v>0</v>
      </c>
      <c r="V635" s="11">
        <v>4</v>
      </c>
      <c r="W635" s="11">
        <v>1</v>
      </c>
      <c r="X635" s="11">
        <v>4</v>
      </c>
      <c r="Y635" s="11">
        <v>2</v>
      </c>
      <c r="Z635" s="11">
        <v>1</v>
      </c>
      <c r="AA635" s="11">
        <v>0</v>
      </c>
      <c r="AB635" s="11">
        <v>0</v>
      </c>
      <c r="AC635" s="11">
        <v>0</v>
      </c>
      <c r="AD635" s="11">
        <v>0</v>
      </c>
      <c r="AE635" s="11">
        <v>1</v>
      </c>
      <c r="AF635" s="11">
        <v>1</v>
      </c>
    </row>
    <row r="636" spans="1:32">
      <c r="A636" t="s">
        <v>70</v>
      </c>
      <c r="B636">
        <v>2025</v>
      </c>
      <c r="C636" t="str">
        <f t="shared" si="28"/>
        <v>2025-Q2</v>
      </c>
      <c r="D636" t="s">
        <v>38</v>
      </c>
      <c r="E636" t="str">
        <f t="shared" si="27"/>
        <v>South South</v>
      </c>
      <c r="F636" s="10">
        <v>2</v>
      </c>
      <c r="G636" s="10">
        <v>8</v>
      </c>
      <c r="H636" s="10">
        <v>3</v>
      </c>
      <c r="I636" s="10">
        <v>13</v>
      </c>
      <c r="J636" s="10">
        <v>15</v>
      </c>
      <c r="K636" s="10">
        <v>2</v>
      </c>
      <c r="L636" s="10">
        <v>17</v>
      </c>
      <c r="M636" s="10">
        <v>49</v>
      </c>
      <c r="N636" s="6">
        <f t="shared" si="29"/>
        <v>0.11764705882352941</v>
      </c>
      <c r="O636" s="11">
        <v>10</v>
      </c>
      <c r="P636" s="11">
        <v>0</v>
      </c>
      <c r="Q636" s="11">
        <v>3</v>
      </c>
      <c r="R636" s="11">
        <v>0</v>
      </c>
      <c r="S636" s="11">
        <v>1</v>
      </c>
      <c r="T636" s="11">
        <v>0</v>
      </c>
      <c r="U636" s="11">
        <v>0</v>
      </c>
      <c r="V636" s="11">
        <v>1</v>
      </c>
      <c r="W636" s="11">
        <v>0</v>
      </c>
      <c r="X636" s="11">
        <v>0</v>
      </c>
      <c r="Y636" s="11">
        <v>1</v>
      </c>
      <c r="Z636" s="11">
        <v>0</v>
      </c>
      <c r="AA636" s="11">
        <v>1</v>
      </c>
      <c r="AB636" s="11">
        <v>0</v>
      </c>
      <c r="AC636" s="11">
        <v>0</v>
      </c>
      <c r="AD636" s="11">
        <v>1</v>
      </c>
      <c r="AE636" s="11">
        <v>0</v>
      </c>
      <c r="AF636" s="11">
        <v>0</v>
      </c>
    </row>
    <row r="637" spans="1:32">
      <c r="A637" t="s">
        <v>70</v>
      </c>
      <c r="B637">
        <v>2025</v>
      </c>
      <c r="C637" t="str">
        <f t="shared" si="28"/>
        <v>2025-Q2</v>
      </c>
      <c r="D637" t="s">
        <v>39</v>
      </c>
      <c r="E637" t="str">
        <f t="shared" si="27"/>
        <v>North Central</v>
      </c>
      <c r="F637" s="10">
        <v>4</v>
      </c>
      <c r="G637" s="10">
        <v>36</v>
      </c>
      <c r="H637" s="10">
        <v>6</v>
      </c>
      <c r="I637" s="10">
        <v>46</v>
      </c>
      <c r="J637" s="10">
        <v>135</v>
      </c>
      <c r="K637" s="10">
        <v>9</v>
      </c>
      <c r="L637" s="10">
        <v>144</v>
      </c>
      <c r="M637" s="10">
        <v>269</v>
      </c>
      <c r="N637" s="6">
        <f t="shared" si="29"/>
        <v>6.25E-2</v>
      </c>
      <c r="O637" s="11">
        <v>38</v>
      </c>
      <c r="P637" s="11">
        <v>0</v>
      </c>
      <c r="Q637" s="11">
        <v>4</v>
      </c>
      <c r="R637" s="11">
        <v>2</v>
      </c>
      <c r="S637" s="11">
        <v>0</v>
      </c>
      <c r="T637" s="11">
        <v>0</v>
      </c>
      <c r="U637" s="11">
        <v>0</v>
      </c>
      <c r="V637" s="11">
        <v>3</v>
      </c>
      <c r="W637" s="11">
        <v>4</v>
      </c>
      <c r="X637" s="11">
        <v>0</v>
      </c>
      <c r="Y637" s="11">
        <v>0</v>
      </c>
      <c r="Z637" s="11">
        <v>0</v>
      </c>
      <c r="AA637" s="11">
        <v>1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</row>
    <row r="638" spans="1:32">
      <c r="A638" t="s">
        <v>70</v>
      </c>
      <c r="B638">
        <v>2025</v>
      </c>
      <c r="C638" t="str">
        <f t="shared" si="28"/>
        <v>2025-Q2</v>
      </c>
      <c r="D638" t="s">
        <v>40</v>
      </c>
      <c r="E638" t="str">
        <f t="shared" si="27"/>
        <v>North East</v>
      </c>
      <c r="F638" s="10">
        <v>13</v>
      </c>
      <c r="G638" s="10">
        <v>37</v>
      </c>
      <c r="H638" s="10">
        <v>3</v>
      </c>
      <c r="I638" s="10">
        <v>53</v>
      </c>
      <c r="J638" s="10">
        <v>230</v>
      </c>
      <c r="K638" s="10">
        <v>33</v>
      </c>
      <c r="L638" s="10">
        <v>263</v>
      </c>
      <c r="M638" s="10">
        <v>359</v>
      </c>
      <c r="N638" s="6">
        <f t="shared" si="29"/>
        <v>0.12547528517110265</v>
      </c>
      <c r="O638" s="11">
        <v>29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2</v>
      </c>
      <c r="X638" s="11">
        <v>0</v>
      </c>
      <c r="Y638" s="11">
        <v>9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5</v>
      </c>
      <c r="AF638" s="11">
        <v>24</v>
      </c>
    </row>
    <row r="639" spans="1:32">
      <c r="A639" t="s">
        <v>70</v>
      </c>
      <c r="B639">
        <v>2025</v>
      </c>
      <c r="C639" t="str">
        <f t="shared" si="28"/>
        <v>2025-Q2</v>
      </c>
      <c r="D639" t="s">
        <v>41</v>
      </c>
      <c r="E639" t="str">
        <f t="shared" si="27"/>
        <v>South South</v>
      </c>
      <c r="F639" s="10">
        <v>5</v>
      </c>
      <c r="G639" s="10">
        <v>19</v>
      </c>
      <c r="H639" s="10">
        <v>7</v>
      </c>
      <c r="I639" s="10">
        <v>31</v>
      </c>
      <c r="J639" s="10">
        <v>46</v>
      </c>
      <c r="K639" s="10">
        <v>6</v>
      </c>
      <c r="L639" s="10">
        <v>52</v>
      </c>
      <c r="M639" s="10">
        <v>122</v>
      </c>
      <c r="N639" s="6">
        <f t="shared" si="29"/>
        <v>0.11538461538461539</v>
      </c>
      <c r="O639" s="11">
        <v>28</v>
      </c>
      <c r="P639" s="11">
        <v>0</v>
      </c>
      <c r="Q639" s="11">
        <v>0</v>
      </c>
      <c r="R639" s="11">
        <v>0</v>
      </c>
      <c r="S639" s="11">
        <v>0</v>
      </c>
      <c r="T639" s="11">
        <v>1</v>
      </c>
      <c r="U639" s="11">
        <v>0</v>
      </c>
      <c r="V639" s="11">
        <v>5</v>
      </c>
      <c r="W639" s="11">
        <v>2</v>
      </c>
      <c r="X639" s="11">
        <v>0</v>
      </c>
      <c r="Y639" s="11">
        <v>0</v>
      </c>
      <c r="Z639" s="11">
        <v>1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</row>
    <row r="640" spans="1:32">
      <c r="A640" t="s">
        <v>70</v>
      </c>
      <c r="B640">
        <v>2025</v>
      </c>
      <c r="C640" t="str">
        <f t="shared" si="28"/>
        <v>2025-Q2</v>
      </c>
      <c r="D640" t="s">
        <v>42</v>
      </c>
      <c r="E640" t="str">
        <f t="shared" si="27"/>
        <v>South South</v>
      </c>
      <c r="F640" s="10">
        <v>11</v>
      </c>
      <c r="G640" s="10">
        <v>18</v>
      </c>
      <c r="H640" s="10">
        <v>3</v>
      </c>
      <c r="I640" s="10">
        <v>32</v>
      </c>
      <c r="J640" s="10">
        <v>92</v>
      </c>
      <c r="K640" s="10">
        <v>22</v>
      </c>
      <c r="L640" s="10">
        <v>114</v>
      </c>
      <c r="M640" s="10">
        <v>319</v>
      </c>
      <c r="N640" s="6">
        <f t="shared" si="29"/>
        <v>0.19298245614035087</v>
      </c>
      <c r="O640" s="11">
        <v>18</v>
      </c>
      <c r="P640" s="11">
        <v>0</v>
      </c>
      <c r="Q640" s="11">
        <v>9</v>
      </c>
      <c r="R640" s="11">
        <v>2</v>
      </c>
      <c r="S640" s="11">
        <v>2</v>
      </c>
      <c r="T640" s="11">
        <v>1</v>
      </c>
      <c r="U640" s="11">
        <v>0</v>
      </c>
      <c r="V640" s="11">
        <v>1</v>
      </c>
      <c r="W640" s="11">
        <v>1</v>
      </c>
      <c r="X640" s="11">
        <v>0</v>
      </c>
      <c r="Y640" s="11">
        <v>5</v>
      </c>
      <c r="Z640" s="11">
        <v>0</v>
      </c>
      <c r="AA640" s="11">
        <v>1</v>
      </c>
      <c r="AB640" s="11">
        <v>0</v>
      </c>
      <c r="AC640" s="11">
        <v>0</v>
      </c>
      <c r="AD640" s="11">
        <v>1</v>
      </c>
      <c r="AE640" s="11">
        <v>0</v>
      </c>
      <c r="AF640" s="11">
        <v>0</v>
      </c>
    </row>
    <row r="641" spans="1:32">
      <c r="A641" t="s">
        <v>70</v>
      </c>
      <c r="B641">
        <v>2025</v>
      </c>
      <c r="C641" t="str">
        <f t="shared" si="28"/>
        <v>2025-Q2</v>
      </c>
      <c r="D641" t="s">
        <v>43</v>
      </c>
      <c r="E641" t="str">
        <f t="shared" si="27"/>
        <v>South East</v>
      </c>
      <c r="F641" s="10">
        <v>14</v>
      </c>
      <c r="G641" s="10">
        <v>24</v>
      </c>
      <c r="H641" s="10">
        <v>2</v>
      </c>
      <c r="I641" s="10">
        <v>40</v>
      </c>
      <c r="J641" s="10">
        <v>99</v>
      </c>
      <c r="K641" s="10">
        <v>38</v>
      </c>
      <c r="L641" s="10">
        <v>137</v>
      </c>
      <c r="M641" s="10">
        <v>408</v>
      </c>
      <c r="N641" s="6">
        <f t="shared" si="29"/>
        <v>0.27737226277372262</v>
      </c>
      <c r="O641" s="11">
        <v>13</v>
      </c>
      <c r="P641" s="11">
        <v>0</v>
      </c>
      <c r="Q641" s="11">
        <v>0</v>
      </c>
      <c r="R641" s="11">
        <v>0</v>
      </c>
      <c r="S641" s="11">
        <v>1</v>
      </c>
      <c r="T641" s="11">
        <v>0</v>
      </c>
      <c r="U641" s="11">
        <v>0</v>
      </c>
      <c r="V641" s="11">
        <v>4</v>
      </c>
      <c r="W641" s="11">
        <v>1</v>
      </c>
      <c r="X641" s="11">
        <v>0</v>
      </c>
      <c r="Y641" s="11">
        <v>1</v>
      </c>
      <c r="Z641" s="11">
        <v>0</v>
      </c>
      <c r="AA641" s="11">
        <v>0</v>
      </c>
      <c r="AB641" s="11">
        <v>0</v>
      </c>
      <c r="AC641" s="11">
        <v>0</v>
      </c>
      <c r="AD641" s="11">
        <v>1</v>
      </c>
      <c r="AE641" s="11">
        <v>0</v>
      </c>
      <c r="AF641" s="11">
        <v>0</v>
      </c>
    </row>
    <row r="642" spans="1:32">
      <c r="A642" t="s">
        <v>70</v>
      </c>
      <c r="B642">
        <v>2025</v>
      </c>
      <c r="C642" t="str">
        <f t="shared" si="28"/>
        <v>2025-Q2</v>
      </c>
      <c r="D642" t="s">
        <v>44</v>
      </c>
      <c r="E642" t="str">
        <f t="shared" ref="E642:E667" si="30">IF(OR(D642="Adamawa", D642="Bauchi", D642="Borno", D642="Gombe", D642="Taraba", D642="Yobe"), "North East",
IF(OR(D642="Jigawa", D642="Kaduna", D642="Kano", D642="Katsina", D642="Kebbi", D642="Sokoto", D642="Zamfara"), "North West",
IF(OR(D642="Benue", D642="Kogi", D642="Kwara", D642="Nasarawa", D642="Niger", D642="Plateau", D642="FCT"), "North Central",
IF(OR(D642="Abia", D642="Anambra", D642="Ebonyi", D642="Enugu", D642="Imo"), "South East",
IF(OR(D642="Akwa Ibom", D642="Bayelsa", D642="Cross River", D642="Delta", D642="Edo", D642="Rivers"), "South South",
IF(OR(D642="Ekiti", D642="Lagos", D642="Ogun", D642="Ondo", D642="Osun", D642="Oyo"), "South West",
"Zone Not Found"))))))</f>
        <v>South South</v>
      </c>
      <c r="F642" s="10">
        <v>16</v>
      </c>
      <c r="G642" s="10">
        <v>31</v>
      </c>
      <c r="H642" s="10">
        <v>6</v>
      </c>
      <c r="I642" s="10">
        <v>53</v>
      </c>
      <c r="J642" s="10">
        <v>164</v>
      </c>
      <c r="K642" s="10">
        <v>28</v>
      </c>
      <c r="L642" s="10">
        <v>192</v>
      </c>
      <c r="M642" s="10">
        <v>561</v>
      </c>
      <c r="N642" s="6">
        <f t="shared" si="29"/>
        <v>0.14583333333333334</v>
      </c>
      <c r="O642" s="11">
        <v>48</v>
      </c>
      <c r="P642" s="11">
        <v>1</v>
      </c>
      <c r="Q642" s="11">
        <v>1</v>
      </c>
      <c r="R642" s="11">
        <v>0</v>
      </c>
      <c r="S642" s="11">
        <v>9</v>
      </c>
      <c r="T642" s="11">
        <v>0</v>
      </c>
      <c r="U642" s="11">
        <v>0</v>
      </c>
      <c r="V642" s="11">
        <v>7</v>
      </c>
      <c r="W642" s="11">
        <v>3</v>
      </c>
      <c r="X642" s="11">
        <v>1</v>
      </c>
      <c r="Y642" s="11">
        <v>3</v>
      </c>
      <c r="Z642" s="11">
        <v>1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</row>
    <row r="643" spans="1:32">
      <c r="A643" t="s">
        <v>70</v>
      </c>
      <c r="B643">
        <v>2025</v>
      </c>
      <c r="C643" t="str">
        <f t="shared" ref="C643:C667" si="31">B643&amp;"-"&amp;A643</f>
        <v>2025-Q2</v>
      </c>
      <c r="D643" t="s">
        <v>45</v>
      </c>
      <c r="E643" t="str">
        <f t="shared" si="30"/>
        <v>South West</v>
      </c>
      <c r="F643" s="10">
        <v>3</v>
      </c>
      <c r="G643" s="10">
        <v>23</v>
      </c>
      <c r="H643" s="10">
        <v>2</v>
      </c>
      <c r="I643" s="10">
        <v>28</v>
      </c>
      <c r="J643" s="10">
        <v>39</v>
      </c>
      <c r="K643" s="10">
        <v>3</v>
      </c>
      <c r="L643" s="10">
        <v>42</v>
      </c>
      <c r="M643" s="10">
        <v>76</v>
      </c>
      <c r="N643" s="6">
        <f t="shared" ref="N643:N667" si="32">K643/L643</f>
        <v>7.1428571428571425E-2</v>
      </c>
      <c r="O643" s="11">
        <v>13</v>
      </c>
      <c r="P643" s="11">
        <v>0</v>
      </c>
      <c r="Q643" s="11">
        <v>0</v>
      </c>
      <c r="R643" s="11">
        <v>2</v>
      </c>
      <c r="S643" s="11">
        <v>4</v>
      </c>
      <c r="T643" s="11">
        <v>0</v>
      </c>
      <c r="U643" s="11">
        <v>0</v>
      </c>
      <c r="V643" s="11">
        <v>2</v>
      </c>
      <c r="W643" s="11">
        <v>5</v>
      </c>
      <c r="X643" s="11">
        <v>0</v>
      </c>
      <c r="Y643" s="11">
        <v>0</v>
      </c>
      <c r="Z643" s="11">
        <v>0</v>
      </c>
      <c r="AA643" s="11">
        <v>0</v>
      </c>
      <c r="AB643" s="11">
        <v>2</v>
      </c>
      <c r="AC643" s="11">
        <v>0</v>
      </c>
      <c r="AD643" s="11">
        <v>0</v>
      </c>
      <c r="AE643" s="11">
        <v>1</v>
      </c>
      <c r="AF643" s="11">
        <v>5</v>
      </c>
    </row>
    <row r="644" spans="1:32">
      <c r="A644" t="s">
        <v>70</v>
      </c>
      <c r="B644">
        <v>2025</v>
      </c>
      <c r="C644" t="str">
        <f t="shared" si="31"/>
        <v>2025-Q2</v>
      </c>
      <c r="D644" t="s">
        <v>46</v>
      </c>
      <c r="E644" t="str">
        <f t="shared" si="30"/>
        <v>South East</v>
      </c>
      <c r="F644" s="10">
        <v>23</v>
      </c>
      <c r="G644" s="10">
        <v>40</v>
      </c>
      <c r="H644" s="10">
        <v>1</v>
      </c>
      <c r="I644" s="10">
        <v>64</v>
      </c>
      <c r="J644" s="10">
        <v>162</v>
      </c>
      <c r="K644" s="10">
        <v>46</v>
      </c>
      <c r="L644" s="10">
        <v>208</v>
      </c>
      <c r="M644" s="10">
        <v>509</v>
      </c>
      <c r="N644" s="6">
        <f t="shared" si="32"/>
        <v>0.22115384615384615</v>
      </c>
      <c r="O644" s="11">
        <v>63</v>
      </c>
      <c r="P644" s="11">
        <v>0</v>
      </c>
      <c r="Q644" s="11">
        <v>3</v>
      </c>
      <c r="R644" s="11">
        <v>1</v>
      </c>
      <c r="S644" s="11">
        <v>8</v>
      </c>
      <c r="T644" s="11">
        <v>3</v>
      </c>
      <c r="U644" s="11">
        <v>0</v>
      </c>
      <c r="V644" s="11">
        <v>8</v>
      </c>
      <c r="W644" s="11">
        <v>0</v>
      </c>
      <c r="X644" s="11">
        <v>1</v>
      </c>
      <c r="Y644" s="11">
        <v>3</v>
      </c>
      <c r="Z644" s="11">
        <v>0</v>
      </c>
      <c r="AA644" s="11">
        <v>0</v>
      </c>
      <c r="AB644" s="11">
        <v>0</v>
      </c>
      <c r="AC644" s="11">
        <v>1</v>
      </c>
      <c r="AD644" s="11">
        <v>0</v>
      </c>
      <c r="AE644" s="11">
        <v>0</v>
      </c>
      <c r="AF644" s="11">
        <v>1</v>
      </c>
    </row>
    <row r="645" spans="1:32">
      <c r="A645" t="s">
        <v>70</v>
      </c>
      <c r="B645">
        <v>2025</v>
      </c>
      <c r="C645" t="str">
        <f t="shared" si="31"/>
        <v>2025-Q2</v>
      </c>
      <c r="D645" t="s">
        <v>47</v>
      </c>
      <c r="E645" t="str">
        <f t="shared" si="30"/>
        <v>North Central</v>
      </c>
      <c r="F645" s="10">
        <v>28</v>
      </c>
      <c r="G645" s="10">
        <v>134</v>
      </c>
      <c r="H645" s="10">
        <v>43</v>
      </c>
      <c r="I645" s="10">
        <v>205</v>
      </c>
      <c r="J645" s="10">
        <v>422</v>
      </c>
      <c r="K645" s="10">
        <v>39</v>
      </c>
      <c r="L645" s="10">
        <v>461</v>
      </c>
      <c r="M645" s="10">
        <v>1225</v>
      </c>
      <c r="N645" s="6">
        <f t="shared" si="32"/>
        <v>8.4598698481561818E-2</v>
      </c>
      <c r="O645" s="11">
        <v>194</v>
      </c>
      <c r="P645" s="11">
        <v>13</v>
      </c>
      <c r="Q645" s="11">
        <v>5</v>
      </c>
      <c r="R645" s="11">
        <v>12</v>
      </c>
      <c r="S645" s="11">
        <v>7</v>
      </c>
      <c r="T645" s="11">
        <v>3</v>
      </c>
      <c r="U645" s="11">
        <v>1</v>
      </c>
      <c r="V645" s="11">
        <v>5</v>
      </c>
      <c r="W645" s="11">
        <v>3</v>
      </c>
      <c r="X645" s="11">
        <v>1</v>
      </c>
      <c r="Y645" s="11">
        <v>21</v>
      </c>
      <c r="Z645" s="11">
        <v>6</v>
      </c>
      <c r="AA645" s="11">
        <v>0</v>
      </c>
      <c r="AB645" s="11">
        <v>0</v>
      </c>
      <c r="AC645" s="11">
        <v>0</v>
      </c>
      <c r="AD645" s="11">
        <v>0</v>
      </c>
      <c r="AE645" s="11">
        <v>18</v>
      </c>
      <c r="AF645" s="11">
        <v>5</v>
      </c>
    </row>
    <row r="646" spans="1:32">
      <c r="A646" t="s">
        <v>70</v>
      </c>
      <c r="B646">
        <v>2025</v>
      </c>
      <c r="C646" t="str">
        <f t="shared" si="31"/>
        <v>2025-Q2</v>
      </c>
      <c r="D646" t="s">
        <v>48</v>
      </c>
      <c r="E646" t="str">
        <f t="shared" si="30"/>
        <v>North East</v>
      </c>
      <c r="F646" s="10">
        <v>16</v>
      </c>
      <c r="G646" s="10">
        <v>45</v>
      </c>
      <c r="H646" s="10">
        <v>3</v>
      </c>
      <c r="I646" s="10">
        <v>64</v>
      </c>
      <c r="J646" s="10">
        <v>206</v>
      </c>
      <c r="K646" s="10">
        <v>37</v>
      </c>
      <c r="L646" s="10">
        <v>243</v>
      </c>
      <c r="M646" s="10">
        <v>348</v>
      </c>
      <c r="N646" s="6">
        <f t="shared" si="32"/>
        <v>0.15226337448559671</v>
      </c>
      <c r="O646" s="11">
        <v>41</v>
      </c>
      <c r="P646" s="11">
        <v>0</v>
      </c>
      <c r="Q646" s="11">
        <v>4</v>
      </c>
      <c r="R646" s="11">
        <v>4</v>
      </c>
      <c r="S646" s="11">
        <v>5</v>
      </c>
      <c r="T646" s="11">
        <v>2</v>
      </c>
      <c r="U646" s="11">
        <v>1</v>
      </c>
      <c r="V646" s="11">
        <v>0</v>
      </c>
      <c r="W646" s="11">
        <v>17</v>
      </c>
      <c r="X646" s="11">
        <v>1</v>
      </c>
      <c r="Y646" s="11">
        <v>1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  <c r="AE646" s="11">
        <v>0</v>
      </c>
      <c r="AF646" s="11">
        <v>0</v>
      </c>
    </row>
    <row r="647" spans="1:32">
      <c r="A647" t="s">
        <v>70</v>
      </c>
      <c r="B647">
        <v>2025</v>
      </c>
      <c r="C647" t="str">
        <f t="shared" si="31"/>
        <v>2025-Q2</v>
      </c>
      <c r="D647" t="s">
        <v>49</v>
      </c>
      <c r="E647" t="str">
        <f t="shared" si="30"/>
        <v>South East</v>
      </c>
      <c r="F647" s="10">
        <v>6</v>
      </c>
      <c r="G647" s="10">
        <v>23</v>
      </c>
      <c r="H647" s="10">
        <v>2</v>
      </c>
      <c r="I647" s="10">
        <v>31</v>
      </c>
      <c r="J647" s="10">
        <v>101</v>
      </c>
      <c r="K647" s="10">
        <v>16</v>
      </c>
      <c r="L647" s="10">
        <v>117</v>
      </c>
      <c r="M647" s="10">
        <v>254</v>
      </c>
      <c r="N647" s="6">
        <f t="shared" si="32"/>
        <v>0.13675213675213677</v>
      </c>
      <c r="O647" s="11">
        <v>13</v>
      </c>
      <c r="P647" s="11">
        <v>0</v>
      </c>
      <c r="Q647" s="11">
        <v>3</v>
      </c>
      <c r="R647" s="11">
        <v>0</v>
      </c>
      <c r="S647" s="11">
        <v>6</v>
      </c>
      <c r="T647" s="11">
        <v>0</v>
      </c>
      <c r="U647" s="11">
        <v>1</v>
      </c>
      <c r="V647" s="11">
        <v>5</v>
      </c>
      <c r="W647" s="11">
        <v>3</v>
      </c>
      <c r="X647" s="11">
        <v>1</v>
      </c>
      <c r="Y647" s="11">
        <v>0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0</v>
      </c>
    </row>
    <row r="648" spans="1:32">
      <c r="A648" t="s">
        <v>70</v>
      </c>
      <c r="B648">
        <v>2025</v>
      </c>
      <c r="C648" t="str">
        <f t="shared" si="31"/>
        <v>2025-Q2</v>
      </c>
      <c r="D648" t="s">
        <v>50</v>
      </c>
      <c r="E648" t="str">
        <f t="shared" si="30"/>
        <v>North West</v>
      </c>
      <c r="F648" s="10">
        <v>17</v>
      </c>
      <c r="G648" s="10">
        <v>75</v>
      </c>
      <c r="H648" s="10">
        <v>10</v>
      </c>
      <c r="I648" s="10">
        <v>102</v>
      </c>
      <c r="J648" s="10">
        <v>424</v>
      </c>
      <c r="K648" s="10">
        <v>24</v>
      </c>
      <c r="L648" s="10">
        <v>448</v>
      </c>
      <c r="M648" s="10">
        <v>674</v>
      </c>
      <c r="N648" s="6">
        <f t="shared" si="32"/>
        <v>5.3571428571428568E-2</v>
      </c>
      <c r="O648" s="11">
        <v>146</v>
      </c>
      <c r="P648" s="11">
        <v>0</v>
      </c>
      <c r="Q648" s="11">
        <v>5</v>
      </c>
      <c r="R648" s="11">
        <v>1</v>
      </c>
      <c r="S648" s="11">
        <v>1</v>
      </c>
      <c r="T648" s="11">
        <v>6</v>
      </c>
      <c r="U648" s="11">
        <v>1</v>
      </c>
      <c r="V648" s="11">
        <v>5</v>
      </c>
      <c r="W648" s="11">
        <v>6</v>
      </c>
      <c r="X648" s="11">
        <v>0</v>
      </c>
      <c r="Y648" s="11">
        <v>4</v>
      </c>
      <c r="Z648" s="11">
        <v>2</v>
      </c>
      <c r="AA648" s="11">
        <v>0</v>
      </c>
      <c r="AB648" s="11">
        <v>0</v>
      </c>
      <c r="AC648" s="11">
        <v>0</v>
      </c>
      <c r="AD648" s="11">
        <v>3</v>
      </c>
      <c r="AE648" s="11">
        <v>7</v>
      </c>
      <c r="AF648" s="11">
        <v>5</v>
      </c>
    </row>
    <row r="649" spans="1:32">
      <c r="A649" t="s">
        <v>70</v>
      </c>
      <c r="B649">
        <v>2025</v>
      </c>
      <c r="C649" t="str">
        <f t="shared" si="31"/>
        <v>2025-Q2</v>
      </c>
      <c r="D649" t="s">
        <v>51</v>
      </c>
      <c r="E649" t="str">
        <f t="shared" si="30"/>
        <v>North West</v>
      </c>
      <c r="F649" s="10">
        <v>65</v>
      </c>
      <c r="G649" s="10">
        <v>128</v>
      </c>
      <c r="H649" s="10">
        <v>5</v>
      </c>
      <c r="I649" s="10">
        <v>198</v>
      </c>
      <c r="J649" s="10">
        <v>948</v>
      </c>
      <c r="K649" s="10">
        <v>140</v>
      </c>
      <c r="L649" s="10">
        <v>1088</v>
      </c>
      <c r="M649" s="10">
        <v>2078</v>
      </c>
      <c r="N649" s="6">
        <f t="shared" si="32"/>
        <v>0.12867647058823528</v>
      </c>
      <c r="O649" s="11">
        <v>128</v>
      </c>
      <c r="P649" s="11">
        <v>0</v>
      </c>
      <c r="Q649" s="11">
        <v>24</v>
      </c>
      <c r="R649" s="11">
        <v>3</v>
      </c>
      <c r="S649" s="11">
        <v>2</v>
      </c>
      <c r="T649" s="11">
        <v>2</v>
      </c>
      <c r="U649" s="11">
        <v>0</v>
      </c>
      <c r="V649" s="11">
        <v>11</v>
      </c>
      <c r="W649" s="11">
        <v>7</v>
      </c>
      <c r="X649" s="11">
        <v>4</v>
      </c>
      <c r="Y649" s="11">
        <v>12</v>
      </c>
      <c r="Z649" s="11">
        <v>1</v>
      </c>
      <c r="AA649" s="11">
        <v>0</v>
      </c>
      <c r="AB649" s="11">
        <v>0</v>
      </c>
      <c r="AC649" s="11">
        <v>0</v>
      </c>
      <c r="AD649" s="11">
        <v>9</v>
      </c>
      <c r="AE649" s="11">
        <v>0</v>
      </c>
      <c r="AF649" s="11">
        <v>7</v>
      </c>
    </row>
    <row r="650" spans="1:32">
      <c r="A650" t="s">
        <v>70</v>
      </c>
      <c r="B650">
        <v>2025</v>
      </c>
      <c r="C650" t="str">
        <f t="shared" si="31"/>
        <v>2025-Q2</v>
      </c>
      <c r="D650" t="s">
        <v>52</v>
      </c>
      <c r="E650" t="str">
        <f t="shared" si="30"/>
        <v>North West</v>
      </c>
      <c r="F650" s="10">
        <v>29</v>
      </c>
      <c r="G650" s="10">
        <v>66</v>
      </c>
      <c r="H650" s="10">
        <v>0</v>
      </c>
      <c r="I650" s="10">
        <v>95</v>
      </c>
      <c r="J650" s="10">
        <v>382</v>
      </c>
      <c r="K650" s="10">
        <v>83</v>
      </c>
      <c r="L650" s="10">
        <v>465</v>
      </c>
      <c r="M650" s="10">
        <v>622</v>
      </c>
      <c r="N650" s="6">
        <f t="shared" si="32"/>
        <v>0.17849462365591398</v>
      </c>
      <c r="O650" s="11">
        <v>93</v>
      </c>
      <c r="P650" s="11">
        <v>0</v>
      </c>
      <c r="Q650" s="11">
        <v>5</v>
      </c>
      <c r="R650" s="11">
        <v>1</v>
      </c>
      <c r="S650" s="11">
        <v>0</v>
      </c>
      <c r="T650" s="11">
        <v>2</v>
      </c>
      <c r="U650" s="11">
        <v>0</v>
      </c>
      <c r="V650" s="11">
        <v>7</v>
      </c>
      <c r="W650" s="11">
        <v>5</v>
      </c>
      <c r="X650" s="11">
        <v>0</v>
      </c>
      <c r="Y650" s="11">
        <v>10</v>
      </c>
      <c r="Z650" s="11">
        <v>7</v>
      </c>
      <c r="AA650" s="11">
        <v>1</v>
      </c>
      <c r="AB650" s="11">
        <v>0</v>
      </c>
      <c r="AC650" s="11">
        <v>0</v>
      </c>
      <c r="AD650" s="11">
        <v>0</v>
      </c>
      <c r="AE650" s="11">
        <v>0</v>
      </c>
      <c r="AF650" s="11">
        <v>5</v>
      </c>
    </row>
    <row r="651" spans="1:32">
      <c r="A651" t="s">
        <v>70</v>
      </c>
      <c r="B651">
        <v>2025</v>
      </c>
      <c r="C651" t="str">
        <f t="shared" si="31"/>
        <v>2025-Q2</v>
      </c>
      <c r="D651" t="s">
        <v>53</v>
      </c>
      <c r="E651" t="str">
        <f t="shared" si="30"/>
        <v>North West</v>
      </c>
      <c r="F651" s="10">
        <v>8</v>
      </c>
      <c r="G651" s="10">
        <v>10</v>
      </c>
      <c r="H651" s="10">
        <v>0</v>
      </c>
      <c r="I651" s="10">
        <v>18</v>
      </c>
      <c r="J651" s="10">
        <v>104</v>
      </c>
      <c r="K651" s="10">
        <v>22</v>
      </c>
      <c r="L651" s="10">
        <v>126</v>
      </c>
      <c r="M651" s="10">
        <v>169</v>
      </c>
      <c r="N651" s="6">
        <f t="shared" si="32"/>
        <v>0.17460317460317459</v>
      </c>
      <c r="O651" s="11">
        <v>20</v>
      </c>
      <c r="P651" s="11">
        <v>0</v>
      </c>
      <c r="Q651" s="11">
        <v>3</v>
      </c>
      <c r="R651" s="11">
        <v>1</v>
      </c>
      <c r="S651" s="11">
        <v>0</v>
      </c>
      <c r="T651" s="11">
        <v>1</v>
      </c>
      <c r="U651" s="11">
        <v>0</v>
      </c>
      <c r="V651" s="11">
        <v>2</v>
      </c>
      <c r="W651" s="11">
        <v>0</v>
      </c>
      <c r="X651" s="11">
        <v>0</v>
      </c>
      <c r="Y651" s="11">
        <v>1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</row>
    <row r="652" spans="1:32">
      <c r="A652" t="s">
        <v>70</v>
      </c>
      <c r="B652">
        <v>2025</v>
      </c>
      <c r="C652" t="str">
        <f t="shared" si="31"/>
        <v>2025-Q2</v>
      </c>
      <c r="D652" t="s">
        <v>54</v>
      </c>
      <c r="E652" t="str">
        <f t="shared" si="30"/>
        <v>North West</v>
      </c>
      <c r="F652" s="10">
        <v>11</v>
      </c>
      <c r="G652" s="10">
        <v>22</v>
      </c>
      <c r="H652" s="10">
        <v>0</v>
      </c>
      <c r="I652" s="10">
        <v>33</v>
      </c>
      <c r="J652" s="10">
        <v>179</v>
      </c>
      <c r="K652" s="10">
        <v>18</v>
      </c>
      <c r="L652" s="10">
        <v>197</v>
      </c>
      <c r="M652" s="10">
        <v>351</v>
      </c>
      <c r="N652" s="6">
        <f t="shared" si="32"/>
        <v>9.1370558375634514E-2</v>
      </c>
      <c r="O652" s="11">
        <v>29</v>
      </c>
      <c r="P652" s="11">
        <v>5</v>
      </c>
      <c r="Q652" s="11">
        <v>4</v>
      </c>
      <c r="R652" s="11">
        <v>3</v>
      </c>
      <c r="S652" s="11">
        <v>0</v>
      </c>
      <c r="T652" s="11">
        <v>0</v>
      </c>
      <c r="U652" s="11">
        <v>0</v>
      </c>
      <c r="V652" s="11">
        <v>0</v>
      </c>
      <c r="W652" s="11">
        <v>1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</row>
    <row r="653" spans="1:32">
      <c r="A653" t="s">
        <v>70</v>
      </c>
      <c r="B653">
        <v>2025</v>
      </c>
      <c r="C653" t="str">
        <f t="shared" si="31"/>
        <v>2025-Q2</v>
      </c>
      <c r="D653" t="s">
        <v>55</v>
      </c>
      <c r="E653" t="str">
        <f t="shared" si="30"/>
        <v>North Central</v>
      </c>
      <c r="F653" s="10">
        <v>27</v>
      </c>
      <c r="G653" s="10">
        <v>47</v>
      </c>
      <c r="H653" s="10">
        <v>10</v>
      </c>
      <c r="I653" s="10">
        <v>84</v>
      </c>
      <c r="J653" s="10">
        <v>334</v>
      </c>
      <c r="K653" s="10">
        <v>78</v>
      </c>
      <c r="L653" s="10">
        <v>412</v>
      </c>
      <c r="M653" s="10">
        <v>893</v>
      </c>
      <c r="N653" s="6">
        <f t="shared" si="32"/>
        <v>0.18932038834951456</v>
      </c>
      <c r="O653" s="11">
        <v>40</v>
      </c>
      <c r="P653" s="11">
        <v>0</v>
      </c>
      <c r="Q653" s="11">
        <v>14</v>
      </c>
      <c r="R653" s="11">
        <v>3</v>
      </c>
      <c r="S653" s="11">
        <v>9</v>
      </c>
      <c r="T653" s="11">
        <v>0</v>
      </c>
      <c r="U653" s="11">
        <v>0</v>
      </c>
      <c r="V653" s="11">
        <v>17</v>
      </c>
      <c r="W653" s="11">
        <v>1</v>
      </c>
      <c r="X653" s="11">
        <v>0</v>
      </c>
      <c r="Y653" s="11">
        <v>3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23</v>
      </c>
      <c r="AF653" s="11">
        <v>0</v>
      </c>
    </row>
    <row r="654" spans="1:32">
      <c r="A654" t="s">
        <v>70</v>
      </c>
      <c r="B654">
        <v>2025</v>
      </c>
      <c r="C654" t="str">
        <f t="shared" si="31"/>
        <v>2025-Q2</v>
      </c>
      <c r="D654" t="s">
        <v>56</v>
      </c>
      <c r="E654" t="str">
        <f t="shared" si="30"/>
        <v>North Central</v>
      </c>
      <c r="F654" s="10">
        <v>18</v>
      </c>
      <c r="G654" s="10">
        <v>53</v>
      </c>
      <c r="H654" s="10">
        <v>2</v>
      </c>
      <c r="I654" s="10">
        <v>73</v>
      </c>
      <c r="J654" s="10">
        <v>311</v>
      </c>
      <c r="K654" s="10">
        <v>28</v>
      </c>
      <c r="L654" s="10">
        <v>339</v>
      </c>
      <c r="M654" s="10">
        <v>604</v>
      </c>
      <c r="N654" s="6">
        <f t="shared" si="32"/>
        <v>8.2595870206489674E-2</v>
      </c>
      <c r="O654" s="11">
        <v>80</v>
      </c>
      <c r="P654" s="11">
        <v>0</v>
      </c>
      <c r="Q654" s="11">
        <v>4</v>
      </c>
      <c r="R654" s="11">
        <v>7</v>
      </c>
      <c r="S654" s="11">
        <v>0</v>
      </c>
      <c r="T654" s="11">
        <v>1</v>
      </c>
      <c r="U654" s="11">
        <v>0</v>
      </c>
      <c r="V654" s="11">
        <v>19</v>
      </c>
      <c r="W654" s="11">
        <v>0</v>
      </c>
      <c r="X654" s="11">
        <v>0</v>
      </c>
      <c r="Y654" s="11">
        <v>4</v>
      </c>
      <c r="Z654" s="11">
        <v>0</v>
      </c>
      <c r="AA654" s="11">
        <v>1</v>
      </c>
      <c r="AB654" s="11">
        <v>1</v>
      </c>
      <c r="AC654" s="11">
        <v>1</v>
      </c>
      <c r="AD654" s="11">
        <v>0</v>
      </c>
      <c r="AE654" s="11">
        <v>0</v>
      </c>
      <c r="AF654" s="11">
        <v>5</v>
      </c>
    </row>
    <row r="655" spans="1:32">
      <c r="A655" t="s">
        <v>70</v>
      </c>
      <c r="B655">
        <v>2025</v>
      </c>
      <c r="C655" t="str">
        <f t="shared" si="31"/>
        <v>2025-Q2</v>
      </c>
      <c r="D655" t="s">
        <v>57</v>
      </c>
      <c r="E655" t="str">
        <f t="shared" si="30"/>
        <v>South West</v>
      </c>
      <c r="F655" s="10">
        <v>28</v>
      </c>
      <c r="G655" s="10">
        <v>69</v>
      </c>
      <c r="H655" s="10">
        <v>47</v>
      </c>
      <c r="I655" s="10">
        <v>144</v>
      </c>
      <c r="J655" s="10">
        <v>234</v>
      </c>
      <c r="K655" s="10">
        <v>35</v>
      </c>
      <c r="L655" s="10">
        <v>269</v>
      </c>
      <c r="M655" s="10">
        <v>736</v>
      </c>
      <c r="N655" s="6">
        <f t="shared" si="32"/>
        <v>0.13011152416356878</v>
      </c>
      <c r="O655" s="11">
        <v>128</v>
      </c>
      <c r="P655" s="11">
        <v>0</v>
      </c>
      <c r="Q655" s="11">
        <v>4</v>
      </c>
      <c r="R655" s="11">
        <v>26</v>
      </c>
      <c r="S655" s="11">
        <v>12</v>
      </c>
      <c r="T655" s="11">
        <v>0</v>
      </c>
      <c r="U655" s="11">
        <v>0</v>
      </c>
      <c r="V655" s="11">
        <v>12</v>
      </c>
      <c r="W655" s="11">
        <v>13</v>
      </c>
      <c r="X655" s="11">
        <v>1</v>
      </c>
      <c r="Y655" s="11">
        <v>6</v>
      </c>
      <c r="Z655" s="11">
        <v>3</v>
      </c>
      <c r="AA655" s="11">
        <v>0</v>
      </c>
      <c r="AB655" s="11">
        <v>1</v>
      </c>
      <c r="AC655" s="11">
        <v>1</v>
      </c>
      <c r="AD655" s="11">
        <v>4</v>
      </c>
      <c r="AE655" s="11">
        <v>0</v>
      </c>
      <c r="AF655" s="11">
        <v>11</v>
      </c>
    </row>
    <row r="656" spans="1:32">
      <c r="A656" t="s">
        <v>70</v>
      </c>
      <c r="B656">
        <v>2025</v>
      </c>
      <c r="C656" t="str">
        <f t="shared" si="31"/>
        <v>2025-Q2</v>
      </c>
      <c r="D656" t="s">
        <v>58</v>
      </c>
      <c r="E656" t="str">
        <f t="shared" si="30"/>
        <v>North Central</v>
      </c>
      <c r="F656" s="10">
        <v>11</v>
      </c>
      <c r="G656" s="10">
        <v>79</v>
      </c>
      <c r="H656" s="10">
        <v>3</v>
      </c>
      <c r="I656" s="10">
        <v>93</v>
      </c>
      <c r="J656" s="10">
        <v>243</v>
      </c>
      <c r="K656" s="10">
        <v>15</v>
      </c>
      <c r="L656" s="10">
        <v>258</v>
      </c>
      <c r="M656" s="10">
        <v>479</v>
      </c>
      <c r="N656" s="6">
        <f t="shared" si="32"/>
        <v>5.8139534883720929E-2</v>
      </c>
      <c r="O656" s="11">
        <v>87</v>
      </c>
      <c r="P656" s="11">
        <v>0</v>
      </c>
      <c r="Q656" s="11">
        <v>1</v>
      </c>
      <c r="R656" s="11">
        <v>1</v>
      </c>
      <c r="S656" s="11">
        <v>1</v>
      </c>
      <c r="T656" s="11">
        <v>0</v>
      </c>
      <c r="U656" s="11">
        <v>2</v>
      </c>
      <c r="V656" s="11">
        <v>3</v>
      </c>
      <c r="W656" s="11">
        <v>22</v>
      </c>
      <c r="X656" s="11">
        <v>0</v>
      </c>
      <c r="Y656" s="11">
        <v>8</v>
      </c>
      <c r="Z656" s="11">
        <v>2</v>
      </c>
      <c r="AA656" s="11">
        <v>0</v>
      </c>
      <c r="AB656" s="11">
        <v>1</v>
      </c>
      <c r="AC656" s="11">
        <v>0</v>
      </c>
      <c r="AD656" s="11">
        <v>0</v>
      </c>
      <c r="AE656" s="11">
        <v>1</v>
      </c>
      <c r="AF656" s="11">
        <v>5</v>
      </c>
    </row>
    <row r="657" spans="1:32">
      <c r="A657" t="s">
        <v>70</v>
      </c>
      <c r="B657">
        <v>2025</v>
      </c>
      <c r="C657" t="str">
        <f t="shared" si="31"/>
        <v>2025-Q2</v>
      </c>
      <c r="D657" t="s">
        <v>59</v>
      </c>
      <c r="E657" t="str">
        <f t="shared" si="30"/>
        <v>North Central</v>
      </c>
      <c r="F657" s="10">
        <v>34</v>
      </c>
      <c r="G657" s="10">
        <v>62</v>
      </c>
      <c r="H657" s="10">
        <v>4</v>
      </c>
      <c r="I657" s="10">
        <v>100</v>
      </c>
      <c r="J657" s="10">
        <v>380</v>
      </c>
      <c r="K657" s="10">
        <v>69</v>
      </c>
      <c r="L657" s="10">
        <v>449</v>
      </c>
      <c r="M657" s="10">
        <v>868</v>
      </c>
      <c r="N657" s="6">
        <f t="shared" si="32"/>
        <v>0.15367483296213807</v>
      </c>
      <c r="O657" s="11">
        <v>142</v>
      </c>
      <c r="P657" s="11">
        <v>1</v>
      </c>
      <c r="Q657" s="11">
        <v>5</v>
      </c>
      <c r="R657" s="11">
        <v>1</v>
      </c>
      <c r="S657" s="11">
        <v>1</v>
      </c>
      <c r="T657" s="11">
        <v>0</v>
      </c>
      <c r="U657" s="11">
        <v>0</v>
      </c>
      <c r="V657" s="11">
        <v>15</v>
      </c>
      <c r="W657" s="11">
        <v>0</v>
      </c>
      <c r="X657" s="11">
        <v>1</v>
      </c>
      <c r="Y657" s="11">
        <v>5</v>
      </c>
      <c r="Z657" s="11">
        <v>1</v>
      </c>
      <c r="AA657" s="11">
        <v>3</v>
      </c>
      <c r="AB657" s="11">
        <v>0</v>
      </c>
      <c r="AC657" s="11">
        <v>0</v>
      </c>
      <c r="AD657" s="11">
        <v>2</v>
      </c>
      <c r="AE657" s="11">
        <v>0</v>
      </c>
      <c r="AF657" s="11">
        <v>0</v>
      </c>
    </row>
    <row r="658" spans="1:32">
      <c r="A658" t="s">
        <v>70</v>
      </c>
      <c r="B658">
        <v>2025</v>
      </c>
      <c r="C658" t="str">
        <f t="shared" si="31"/>
        <v>2025-Q2</v>
      </c>
      <c r="D658" t="s">
        <v>60</v>
      </c>
      <c r="E658" t="str">
        <f t="shared" si="30"/>
        <v>South West</v>
      </c>
      <c r="F658" s="10">
        <v>64</v>
      </c>
      <c r="G658" s="10">
        <v>162</v>
      </c>
      <c r="H658" s="10">
        <v>60</v>
      </c>
      <c r="I658" s="10">
        <v>286</v>
      </c>
      <c r="J658" s="10">
        <v>703</v>
      </c>
      <c r="K658" s="10">
        <v>119</v>
      </c>
      <c r="L658" s="10">
        <v>822</v>
      </c>
      <c r="M658" s="10">
        <v>1987</v>
      </c>
      <c r="N658" s="6">
        <f t="shared" si="32"/>
        <v>0.14476885644768855</v>
      </c>
      <c r="O658" s="11">
        <v>369</v>
      </c>
      <c r="P658" s="11">
        <v>0</v>
      </c>
      <c r="Q658" s="11">
        <v>28</v>
      </c>
      <c r="R658" s="11">
        <v>15</v>
      </c>
      <c r="S658" s="11">
        <v>22</v>
      </c>
      <c r="T658" s="11">
        <v>5</v>
      </c>
      <c r="U658" s="11">
        <v>0</v>
      </c>
      <c r="V658" s="11">
        <v>12</v>
      </c>
      <c r="W658" s="11">
        <v>20</v>
      </c>
      <c r="X658" s="11">
        <v>0</v>
      </c>
      <c r="Y658" s="11">
        <v>15</v>
      </c>
      <c r="Z658" s="11">
        <v>5</v>
      </c>
      <c r="AA658" s="11">
        <v>5</v>
      </c>
      <c r="AB658" s="11">
        <v>0</v>
      </c>
      <c r="AC658" s="11">
        <v>0</v>
      </c>
      <c r="AD658" s="11">
        <v>2</v>
      </c>
      <c r="AE658" s="11">
        <v>0</v>
      </c>
      <c r="AF658" s="11">
        <v>19</v>
      </c>
    </row>
    <row r="659" spans="1:32">
      <c r="A659" t="s">
        <v>70</v>
      </c>
      <c r="B659">
        <v>2025</v>
      </c>
      <c r="C659" t="str">
        <f t="shared" si="31"/>
        <v>2025-Q2</v>
      </c>
      <c r="D659" t="s">
        <v>61</v>
      </c>
      <c r="E659" t="str">
        <f t="shared" si="30"/>
        <v>South West</v>
      </c>
      <c r="F659" s="10">
        <v>29</v>
      </c>
      <c r="G659" s="10">
        <v>68</v>
      </c>
      <c r="H659" s="10">
        <v>9</v>
      </c>
      <c r="I659" s="10">
        <v>106</v>
      </c>
      <c r="J659" s="10">
        <v>256</v>
      </c>
      <c r="K659" s="10">
        <v>37</v>
      </c>
      <c r="L659" s="10">
        <v>293</v>
      </c>
      <c r="M659" s="10">
        <v>680</v>
      </c>
      <c r="N659" s="6">
        <f t="shared" si="32"/>
        <v>0.12627986348122866</v>
      </c>
      <c r="O659" s="11">
        <v>109</v>
      </c>
      <c r="P659" s="11">
        <v>0</v>
      </c>
      <c r="Q659" s="11">
        <v>5</v>
      </c>
      <c r="R659" s="11">
        <v>1</v>
      </c>
      <c r="S659" s="11">
        <v>7</v>
      </c>
      <c r="T659" s="11">
        <v>0</v>
      </c>
      <c r="U659" s="11">
        <v>1</v>
      </c>
      <c r="V659" s="11">
        <v>8</v>
      </c>
      <c r="W659" s="11">
        <v>8</v>
      </c>
      <c r="X659" s="11">
        <v>1</v>
      </c>
      <c r="Y659" s="11">
        <v>5</v>
      </c>
      <c r="Z659" s="11">
        <v>1</v>
      </c>
      <c r="AA659" s="11">
        <v>0</v>
      </c>
      <c r="AB659" s="11">
        <v>1</v>
      </c>
      <c r="AC659" s="11">
        <v>0</v>
      </c>
      <c r="AD659" s="11">
        <v>1</v>
      </c>
      <c r="AE659" s="11">
        <v>9</v>
      </c>
      <c r="AF659" s="11">
        <v>0</v>
      </c>
    </row>
    <row r="660" spans="1:32">
      <c r="A660" t="s">
        <v>70</v>
      </c>
      <c r="B660">
        <v>2025</v>
      </c>
      <c r="C660" t="str">
        <f t="shared" si="31"/>
        <v>2025-Q2</v>
      </c>
      <c r="D660" t="s">
        <v>62</v>
      </c>
      <c r="E660" t="str">
        <f t="shared" si="30"/>
        <v>South West</v>
      </c>
      <c r="F660" s="10">
        <v>12</v>
      </c>
      <c r="G660" s="10">
        <v>40</v>
      </c>
      <c r="H660" s="10">
        <v>1</v>
      </c>
      <c r="I660" s="10">
        <v>53</v>
      </c>
      <c r="J660" s="10">
        <v>212</v>
      </c>
      <c r="K660" s="10">
        <v>24</v>
      </c>
      <c r="L660" s="10">
        <v>236</v>
      </c>
      <c r="M660" s="10">
        <v>495</v>
      </c>
      <c r="N660" s="6">
        <f t="shared" si="32"/>
        <v>0.10169491525423729</v>
      </c>
      <c r="O660" s="11">
        <v>48</v>
      </c>
      <c r="P660" s="11">
        <v>0</v>
      </c>
      <c r="Q660" s="11">
        <v>7</v>
      </c>
      <c r="R660" s="11">
        <v>5</v>
      </c>
      <c r="S660" s="11">
        <v>2</v>
      </c>
      <c r="T660" s="11">
        <v>0</v>
      </c>
      <c r="U660" s="11">
        <v>0</v>
      </c>
      <c r="V660" s="11">
        <v>6</v>
      </c>
      <c r="W660" s="11">
        <v>1</v>
      </c>
      <c r="X660" s="11">
        <v>1</v>
      </c>
      <c r="Y660" s="11">
        <v>10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</row>
    <row r="661" spans="1:32">
      <c r="A661" t="s">
        <v>70</v>
      </c>
      <c r="B661">
        <v>2025</v>
      </c>
      <c r="C661" t="str">
        <f t="shared" si="31"/>
        <v>2025-Q2</v>
      </c>
      <c r="D661" t="s">
        <v>63</v>
      </c>
      <c r="E661" t="str">
        <f t="shared" si="30"/>
        <v>South West</v>
      </c>
      <c r="F661" s="10">
        <v>44</v>
      </c>
      <c r="G661" s="10">
        <v>100</v>
      </c>
      <c r="H661" s="10">
        <v>11</v>
      </c>
      <c r="I661" s="10">
        <v>155</v>
      </c>
      <c r="J661" s="10">
        <v>468</v>
      </c>
      <c r="K661" s="10">
        <v>69</v>
      </c>
      <c r="L661" s="10">
        <v>537</v>
      </c>
      <c r="M661" s="10">
        <v>1133</v>
      </c>
      <c r="N661" s="6">
        <f t="shared" si="32"/>
        <v>0.12849162011173185</v>
      </c>
      <c r="O661" s="11">
        <v>146</v>
      </c>
      <c r="P661" s="11">
        <v>1</v>
      </c>
      <c r="Q661" s="11">
        <v>6</v>
      </c>
      <c r="R661" s="11">
        <v>10</v>
      </c>
      <c r="S661" s="11">
        <v>12</v>
      </c>
      <c r="T661" s="11">
        <v>1</v>
      </c>
      <c r="U661" s="11">
        <v>1</v>
      </c>
      <c r="V661" s="11">
        <v>15</v>
      </c>
      <c r="W661" s="11">
        <v>13</v>
      </c>
      <c r="X661" s="11">
        <v>1</v>
      </c>
      <c r="Y661" s="11">
        <v>8</v>
      </c>
      <c r="Z661" s="11">
        <v>6</v>
      </c>
      <c r="AA661" s="11">
        <v>1</v>
      </c>
      <c r="AB661" s="11">
        <v>0</v>
      </c>
      <c r="AC661" s="11">
        <v>0</v>
      </c>
      <c r="AD661" s="11">
        <v>2</v>
      </c>
      <c r="AE661" s="11">
        <v>0</v>
      </c>
      <c r="AF661" s="11">
        <v>0</v>
      </c>
    </row>
    <row r="662" spans="1:32">
      <c r="A662" t="s">
        <v>70</v>
      </c>
      <c r="B662">
        <v>2025</v>
      </c>
      <c r="C662" t="str">
        <f t="shared" si="31"/>
        <v>2025-Q2</v>
      </c>
      <c r="D662" t="s">
        <v>64</v>
      </c>
      <c r="E662" t="str">
        <f t="shared" si="30"/>
        <v>North Central</v>
      </c>
      <c r="F662" s="10">
        <v>14</v>
      </c>
      <c r="G662" s="10">
        <v>77</v>
      </c>
      <c r="H662" s="10">
        <v>7</v>
      </c>
      <c r="I662" s="10">
        <v>98</v>
      </c>
      <c r="J662" s="10">
        <v>239</v>
      </c>
      <c r="K662" s="10">
        <v>25</v>
      </c>
      <c r="L662" s="10">
        <v>264</v>
      </c>
      <c r="M662" s="10">
        <v>506</v>
      </c>
      <c r="N662" s="6">
        <f t="shared" si="32"/>
        <v>9.4696969696969696E-2</v>
      </c>
      <c r="O662" s="11">
        <v>43</v>
      </c>
      <c r="P662" s="11">
        <v>0</v>
      </c>
      <c r="Q662" s="11">
        <v>4</v>
      </c>
      <c r="R662" s="11">
        <v>8</v>
      </c>
      <c r="S662" s="11">
        <v>24</v>
      </c>
      <c r="T662" s="11">
        <v>0</v>
      </c>
      <c r="U662" s="11">
        <v>0</v>
      </c>
      <c r="V662" s="11">
        <v>8</v>
      </c>
      <c r="W662" s="11">
        <v>10</v>
      </c>
      <c r="X662" s="11">
        <v>0</v>
      </c>
      <c r="Y662" s="11">
        <v>0</v>
      </c>
      <c r="Z662" s="11">
        <v>6</v>
      </c>
      <c r="AA662" s="11">
        <v>0</v>
      </c>
      <c r="AB662" s="11">
        <v>0</v>
      </c>
      <c r="AC662" s="11">
        <v>0</v>
      </c>
      <c r="AD662" s="11">
        <v>0</v>
      </c>
      <c r="AE662" s="11">
        <v>1</v>
      </c>
      <c r="AF662" s="11">
        <v>5</v>
      </c>
    </row>
    <row r="663" spans="1:32">
      <c r="A663" t="s">
        <v>70</v>
      </c>
      <c r="B663">
        <v>2025</v>
      </c>
      <c r="C663" t="str">
        <f t="shared" si="31"/>
        <v>2025-Q2</v>
      </c>
      <c r="D663" t="s">
        <v>65</v>
      </c>
      <c r="E663" t="str">
        <f t="shared" si="30"/>
        <v>South South</v>
      </c>
      <c r="F663" s="10">
        <v>4</v>
      </c>
      <c r="G663" s="10">
        <v>10</v>
      </c>
      <c r="H663" s="10">
        <v>5</v>
      </c>
      <c r="I663" s="10">
        <v>19</v>
      </c>
      <c r="J663" s="10">
        <v>16</v>
      </c>
      <c r="K663" s="10">
        <v>9</v>
      </c>
      <c r="L663" s="10">
        <v>25</v>
      </c>
      <c r="M663" s="10">
        <v>103</v>
      </c>
      <c r="N663" s="6">
        <f t="shared" si="32"/>
        <v>0.36</v>
      </c>
      <c r="O663" s="11">
        <v>16</v>
      </c>
      <c r="P663" s="11">
        <v>1</v>
      </c>
      <c r="Q663" s="11">
        <v>2</v>
      </c>
      <c r="R663" s="11">
        <v>1</v>
      </c>
      <c r="S663" s="11">
        <v>1</v>
      </c>
      <c r="T663" s="11"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  <c r="AE663" s="11">
        <v>0</v>
      </c>
      <c r="AF663" s="11">
        <v>0</v>
      </c>
    </row>
    <row r="664" spans="1:32">
      <c r="A664" t="s">
        <v>70</v>
      </c>
      <c r="B664">
        <v>2025</v>
      </c>
      <c r="C664" t="str">
        <f t="shared" si="31"/>
        <v>2025-Q2</v>
      </c>
      <c r="D664" t="s">
        <v>66</v>
      </c>
      <c r="E664" t="str">
        <f t="shared" si="30"/>
        <v>North West</v>
      </c>
      <c r="F664" s="10">
        <v>9</v>
      </c>
      <c r="G664" s="10">
        <v>21</v>
      </c>
      <c r="H664" s="10">
        <v>0</v>
      </c>
      <c r="I664" s="10">
        <v>30</v>
      </c>
      <c r="J664" s="10">
        <v>145</v>
      </c>
      <c r="K664" s="10">
        <v>15</v>
      </c>
      <c r="L664" s="10">
        <v>160</v>
      </c>
      <c r="M664" s="10">
        <v>222</v>
      </c>
      <c r="N664" s="6">
        <f t="shared" si="32"/>
        <v>9.375E-2</v>
      </c>
      <c r="O664" s="11">
        <v>25</v>
      </c>
      <c r="P664" s="11">
        <v>3</v>
      </c>
      <c r="Q664" s="11">
        <v>0</v>
      </c>
      <c r="R664" s="11">
        <v>0</v>
      </c>
      <c r="S664" s="11">
        <v>2</v>
      </c>
      <c r="T664" s="11">
        <v>0</v>
      </c>
      <c r="U664" s="11">
        <v>0</v>
      </c>
      <c r="V664" s="11">
        <v>1</v>
      </c>
      <c r="W664" s="11">
        <v>0</v>
      </c>
      <c r="X664" s="11">
        <v>0</v>
      </c>
      <c r="Y664" s="11">
        <v>1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2</v>
      </c>
    </row>
    <row r="665" spans="1:32">
      <c r="A665" t="s">
        <v>70</v>
      </c>
      <c r="B665">
        <v>2025</v>
      </c>
      <c r="C665" t="str">
        <f t="shared" si="31"/>
        <v>2025-Q2</v>
      </c>
      <c r="D665" t="s">
        <v>67</v>
      </c>
      <c r="E665" t="str">
        <f t="shared" si="30"/>
        <v>North East</v>
      </c>
      <c r="F665" s="10">
        <v>3</v>
      </c>
      <c r="G665" s="10">
        <v>24</v>
      </c>
      <c r="H665" s="10">
        <v>0</v>
      </c>
      <c r="I665" s="10">
        <v>27</v>
      </c>
      <c r="J665" s="10">
        <v>86</v>
      </c>
      <c r="K665" s="10">
        <v>4</v>
      </c>
      <c r="L665" s="10">
        <v>90</v>
      </c>
      <c r="M665" s="10">
        <v>120</v>
      </c>
      <c r="N665" s="6">
        <f t="shared" si="32"/>
        <v>4.4444444444444446E-2</v>
      </c>
      <c r="O665" s="11">
        <v>19</v>
      </c>
      <c r="P665" s="11">
        <v>0</v>
      </c>
      <c r="Q665" s="11">
        <v>4</v>
      </c>
      <c r="R665" s="11">
        <v>0</v>
      </c>
      <c r="S665" s="11">
        <v>0</v>
      </c>
      <c r="T665" s="11">
        <v>0</v>
      </c>
      <c r="U665" s="11">
        <v>0</v>
      </c>
      <c r="V665" s="11">
        <v>1</v>
      </c>
      <c r="W665" s="11">
        <v>2</v>
      </c>
      <c r="X665" s="11">
        <v>0</v>
      </c>
      <c r="Y665" s="11">
        <v>2</v>
      </c>
      <c r="Z665" s="11">
        <v>1</v>
      </c>
      <c r="AA665" s="11">
        <v>0</v>
      </c>
      <c r="AB665" s="11">
        <v>0</v>
      </c>
      <c r="AC665" s="11">
        <v>0</v>
      </c>
      <c r="AD665" s="11">
        <v>0</v>
      </c>
      <c r="AE665" s="11">
        <v>0</v>
      </c>
      <c r="AF665" s="11">
        <v>3</v>
      </c>
    </row>
    <row r="666" spans="1:32">
      <c r="A666" t="s">
        <v>70</v>
      </c>
      <c r="B666">
        <v>2025</v>
      </c>
      <c r="C666" t="str">
        <f t="shared" si="31"/>
        <v>2025-Q2</v>
      </c>
      <c r="D666" t="s">
        <v>68</v>
      </c>
      <c r="E666" t="str">
        <f t="shared" si="30"/>
        <v>North East</v>
      </c>
      <c r="F666" s="10">
        <v>14</v>
      </c>
      <c r="G666" s="10">
        <v>32</v>
      </c>
      <c r="H666" s="10">
        <v>0</v>
      </c>
      <c r="I666" s="10">
        <v>46</v>
      </c>
      <c r="J666" s="10">
        <v>285</v>
      </c>
      <c r="K666" s="10">
        <v>33</v>
      </c>
      <c r="L666" s="10">
        <v>318</v>
      </c>
      <c r="M666" s="10">
        <v>401</v>
      </c>
      <c r="N666" s="6">
        <f t="shared" si="32"/>
        <v>0.10377358490566038</v>
      </c>
      <c r="O666" s="11">
        <v>50</v>
      </c>
      <c r="P666" s="11">
        <v>0</v>
      </c>
      <c r="Q666" s="11">
        <v>9</v>
      </c>
      <c r="R666" s="11">
        <v>3</v>
      </c>
      <c r="S666" s="11">
        <v>0</v>
      </c>
      <c r="T666" s="11">
        <v>4</v>
      </c>
      <c r="U666" s="11">
        <v>0</v>
      </c>
      <c r="V666" s="11">
        <v>6</v>
      </c>
      <c r="W666" s="11">
        <v>0</v>
      </c>
      <c r="X666" s="11">
        <v>0</v>
      </c>
      <c r="Y666" s="11">
        <v>1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1</v>
      </c>
      <c r="AF666" s="11">
        <v>0</v>
      </c>
    </row>
    <row r="667" spans="1:32">
      <c r="A667" t="s">
        <v>70</v>
      </c>
      <c r="B667">
        <v>2025</v>
      </c>
      <c r="C667" t="str">
        <f t="shared" si="31"/>
        <v>2025-Q2</v>
      </c>
      <c r="D667" t="s">
        <v>69</v>
      </c>
      <c r="E667" t="str">
        <f t="shared" si="30"/>
        <v>North West</v>
      </c>
      <c r="F667" s="10">
        <v>6</v>
      </c>
      <c r="G667" s="10">
        <v>9</v>
      </c>
      <c r="H667" s="10">
        <v>0</v>
      </c>
      <c r="I667" s="10">
        <v>15</v>
      </c>
      <c r="J667" s="10">
        <v>96</v>
      </c>
      <c r="K667" s="10">
        <v>17</v>
      </c>
      <c r="L667" s="10">
        <v>113</v>
      </c>
      <c r="M667" s="10">
        <v>166</v>
      </c>
      <c r="N667" s="6">
        <f t="shared" si="32"/>
        <v>0.15044247787610621</v>
      </c>
      <c r="O667" s="11">
        <v>21</v>
      </c>
      <c r="P667" s="11">
        <v>0</v>
      </c>
      <c r="Q667" s="11">
        <v>1</v>
      </c>
      <c r="R667" s="11">
        <v>0</v>
      </c>
      <c r="S667" s="11">
        <v>0</v>
      </c>
      <c r="T667" s="11">
        <v>0</v>
      </c>
      <c r="U667" s="11">
        <v>0</v>
      </c>
      <c r="V667" s="11">
        <v>1</v>
      </c>
      <c r="W667" s="11">
        <v>1</v>
      </c>
      <c r="X667" s="11">
        <v>0</v>
      </c>
      <c r="Y667" s="11">
        <v>2</v>
      </c>
      <c r="Z667" s="11">
        <v>2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Transport Data_Messy</vt:lpstr>
      <vt:lpstr>Tranport Data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Patience Bakare</dc:creator>
  <cp:lastModifiedBy>Patience Bakare</cp:lastModifiedBy>
  <dcterms:created xsi:type="dcterms:W3CDTF">2025-11-25T15:42:22Z</dcterms:created>
  <dcterms:modified xsi:type="dcterms:W3CDTF">2025-11-26T13:03:41Z</dcterms:modified>
</cp:coreProperties>
</file>